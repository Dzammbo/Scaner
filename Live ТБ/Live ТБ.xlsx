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38964bd4e840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518d3d0de3904d0e"/>
    <x:sheet xmlns:r="http://schemas.openxmlformats.org/officeDocument/2006/relationships" name="Реестр" sheetId="2" r:id="Rb8b4f380b534441c"/>
    <x:sheet xmlns:r="http://schemas.openxmlformats.org/officeDocument/2006/relationships" name="Правила" sheetId="3" r:id="R3d7c7b229e7d42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"/>
    <x:numFmt numFmtId="202" formatCode="0.0%"/>
    <x:numFmt numFmtId="203" formatCode="dd.mm.yyyy hh:mm"/>
    <x:numFmt numFmtId="204" formatCode="dd.mm.yyyy hh:mm:ss"/>
  </x:numFmts>
  <x:fonts count="8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  <x:font>
      <x:b/>
      <x:sz val="15"/>
      <x:name val="Times New Roman"/>
    </x:font>
    <x:font>
      <x:sz val="11"/>
      <x:color rgb="FF666666"/>
      <x:name val="Times New Roman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6" fillId="0" borderId="0" xfId="0" applyNumberFormat="1" applyFont="1" applyFill="1" applyBorder="1"/>
    <x:xf numFmtId="0" fontId="3" fillId="5" borderId="0" xfId="0" applyNumberFormat="1" applyFont="1" applyFill="1" applyBorder="1"/>
    <x:xf numFmtId="0" fontId="5" fillId="0" borderId="0" xfId="0" applyNumberFormat="1" applyFont="1" applyFill="1" applyBorder="1"/>
    <x:xf numFmtId="202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right"/>
    </x:xf>
    <x:xf numFmtId="201" fontId="3" fillId="0" borderId="0" xfId="0" applyNumberFormat="1" applyFont="1" applyFill="1" applyBorder="1" applyAlignment="1">
      <x:alignment horizontal="right"/>
    </x:xf>
    <x:xf numFmtId="202" fontId="3" fillId="0" borderId="0" xfId="0" applyNumberFormat="1" applyFont="1" applyFill="1" applyBorder="1" applyAlignment="1">
      <x:alignment horizontal="right"/>
    </x:xf>
    <x:xf numFmtId="0" fontId="3" fillId="6" borderId="0" xfId="0" applyNumberFormat="1" applyFont="1" applyFill="1" applyBorder="1"/>
    <x:xf numFmtId="201" fontId="3" fillId="6" borderId="0" xfId="0" applyNumberFormat="1" applyFont="1" applyFill="1" applyBorder="1" applyAlignment="1">
      <x:alignment horizontal="right"/>
    </x:xf>
    <x:xf numFmtId="202" fontId="3" fillId="6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dfb8d0602843e5" /><Relationship Type="http://schemas.openxmlformats.org/officeDocument/2006/relationships/theme" Target="/xl/theme/theme1.xml" Id="R343ac47785cc447a" /><Relationship Type="http://schemas.openxmlformats.org/officeDocument/2006/relationships/sharedStrings" Target="/xl/sharedStrings.xml" Id="R8e15040d945e459f" /><Relationship Type="http://schemas.openxmlformats.org/officeDocument/2006/relationships/worksheet" Target="/xl/worksheets/sheet1.xml" Id="R518d3d0de3904d0e" /><Relationship Type="http://schemas.openxmlformats.org/officeDocument/2006/relationships/worksheet" Target="/xl/worksheets/sheet2.xml" Id="Rb8b4f380b534441c" /><Relationship Type="http://schemas.openxmlformats.org/officeDocument/2006/relationships/worksheet" Target="/xl/worksheets/sheet3.xml" Id="R3d7c7b229e7d42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9" hidden="0" customWidth="1"/>
    <x:col min="2" max="2" width="25" hidden="0" customWidth="1"/>
    <x:col min="3" max="3" width="25" hidden="0" customWidth="1"/>
    <x:col min="4" max="4" width="2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5"/>
      <x:c r="B1" s="5"/>
      <x:c r="C1" s="5"/>
      <x:c r="D1" s="5"/>
    </x:row>
    <x:row r="2" ht="27" customHeight="1">
      <x:c r="A2" s="120" t="str">
        <x:v>Дневник Live ТБ</x:v>
      </x:c>
      <x:c r="B2" s="5"/>
      <x:c r="C2" s="5"/>
      <x:c r="D2" s="5"/>
      <x:c r="E2"/>
      <x:c r="F2"/>
      <x:c r="G2"/>
      <x:c r="H2"/>
    </x:row>
    <x:row r="3" ht="24" customHeight="1">
      <x:c r="A3" s="5" t="str">
        <x:v>Два варианта прогнозов. Условный размер каждого: 1 единица.</x:v>
      </x:c>
      <x:c r="B3" s="5"/>
      <x:c r="C3" s="5"/>
      <x:c r="D3" s="5"/>
      <x:c r="E3"/>
      <x:c r="F3"/>
      <x:c r="G3"/>
      <x:c r="H3"/>
    </x:row>
    <x:row r="4">
      <x:c r="A4" s="5"/>
      <x:c r="B4" s="5"/>
      <x:c r="C4" s="5"/>
      <x:c r="D4" s="5"/>
      <x:c r="E4"/>
      <x:c r="F4"/>
      <x:c r="G4"/>
      <x:c r="H4"/>
    </x:row>
    <x:row r="5" ht="34" customHeight="1">
      <x:c r="A5" s="116" t="str">
        <x:v>Показатель</x:v>
      </x:c>
      <x:c r="B5" s="116" t="str">
        <x:v>История без разделения</x:v>
      </x:c>
      <x:c r="C5" s="116" t="str">
        <x:v>Оптимальный</x:v>
      </x:c>
      <x:c r="D5" s="116" t="str">
        <x:v>Агрессивный</x:v>
      </x:c>
      <x:c r="E5"/>
      <x:c r="F5"/>
      <x:c r="G5"/>
      <x:c r="H5"/>
    </x:row>
    <x:row r="6" ht="23" customHeight="1">
      <x:c r="A6" s="5" t="str">
        <x:v>Всего прогнозов</x:v>
      </x:c>
      <x:c r="B6" s="124" t="n">
        <x:f>COUNTIFS('Реестр'!$Y$6:$Y$505,"История без разделения")</x:f>
        <x:v>53</x:v>
      </x:c>
      <x:c r="C6" s="124" t="n">
        <x:f>COUNTIFS('Реестр'!$Y$6:$Y$505,"Оптимальный")</x:f>
        <x:v>10</x:v>
      </x:c>
      <x:c r="D6" s="124" t="n">
        <x:f>COUNTIFS('Реестр'!$Y$6:$Y$505,"Агрессивный")</x:f>
        <x:v>10</x:v>
      </x:c>
      <x:c r="E6"/>
      <x:c r="F6"/>
      <x:c r="G6"/>
      <x:c r="H6"/>
    </x:row>
    <x:row r="7" ht="23" customHeight="1">
      <x:c r="A7" s="5" t="str">
        <x:v>Рассчитано</x:v>
      </x:c>
      <x:c r="B7" s="124" t="n">
        <x:f>COUNTIFS('Реестр'!$Y$6:$Y$505,"История без разделения",'Реестр'!$W$6:$W$505,"Рассчитан")</x:f>
        <x:v>53</x:v>
      </x:c>
      <x:c r="C7" s="124" t="n">
        <x:f>COUNTIFS('Реестр'!$Y$6:$Y$505,"Оптимальный",'Реестр'!$W$6:$W$505,"Рассчитан")</x:f>
        <x:v>3</x:v>
      </x:c>
      <x:c r="D7" s="124" t="n">
        <x:f>COUNTIFS('Реестр'!$Y$6:$Y$505,"Агрессивный",'Реестр'!$W$6:$W$505,"Рассчитан")</x:f>
        <x:v>4</x:v>
      </x:c>
      <x:c r="E7"/>
      <x:c r="F7"/>
      <x:c r="G7"/>
      <x:c r="H7"/>
    </x:row>
    <x:row r="8" ht="23" customHeight="1">
      <x:c r="A8" s="5" t="str">
        <x:v>Открыто</x:v>
      </x:c>
      <x:c r="B8" s="124" t="n">
        <x:f>COUNTIFS('Реестр'!$Y$6:$Y$505,"История без разделения",'Реестр'!$W$6:$W$505,"Открыт")</x:f>
        <x:v>0</x:v>
      </x:c>
      <x:c r="C8" s="124" t="n">
        <x:f>COUNTIFS('Реестр'!$Y$6:$Y$505,"Оптимальный",'Реестр'!$W$6:$W$505,"Открыт")</x:f>
        <x:v>7</x:v>
      </x:c>
      <x:c r="D8" s="124" t="n">
        <x:f>COUNTIFS('Реестр'!$Y$6:$Y$505,"Агрессивный",'Реестр'!$W$6:$W$505,"Открыт")</x:f>
        <x:v>6</x:v>
      </x:c>
      <x:c r="E8"/>
      <x:c r="F8"/>
      <x:c r="G8"/>
      <x:c r="H8"/>
    </x:row>
    <x:row r="9" ht="23" customHeight="1">
      <x:c r="A9" s="5" t="str">
        <x:v>Полный выигрыш</x:v>
      </x:c>
      <x:c r="B9" s="124" t="n">
        <x:f>COUNTIFS('Реестр'!$Y$6:$Y$505,"История без разделения",'Реестр'!$U$6:$U$505,"Выигрыш")+COUNTIFS('Реестр'!$Y$6:$Y$505,"История без разделения",'Реестр'!$U$6:$U$505,"Плюс")</x:f>
        <x:v>24</x:v>
      </x:c>
      <x:c r="C9" s="124" t="n">
        <x:f>COUNTIFS('Реестр'!$Y$6:$Y$505,"Оптимальный",'Реестр'!$U$6:$U$505,"Выигрыш")+COUNTIFS('Реестр'!$Y$6:$Y$505,"Оптимальный",'Реестр'!$U$6:$U$505,"Плюс")</x:f>
        <x:v>1</x:v>
      </x:c>
      <x:c r="D9" s="124" t="n">
        <x:f>COUNTIFS('Реестр'!$Y$6:$Y$505,"Агрессивный",'Реестр'!$U$6:$U$505,"Выигрыш")+COUNTIFS('Реестр'!$Y$6:$Y$505,"Агрессивный",'Реестр'!$U$6:$U$505,"Плюс")</x:f>
        <x:v>0</x:v>
      </x:c>
      <x:c r="E9"/>
      <x:c r="F9"/>
      <x:c r="G9"/>
      <x:c r="H9"/>
    </x:row>
    <x:row r="10" ht="23" customHeight="1">
      <x:c r="A10" s="5" t="str">
        <x:v>Полувыигрыш</x:v>
      </x:c>
      <x:c r="B10" s="124" t="n">
        <x:f>COUNTIFS('Реестр'!$Y$6:$Y$505,"История без разделения",'Реестр'!$U$6:$U$505,"Полувыигрыш")+COUNTIFS('Реестр'!$Y$6:$Y$505,"История без разделения",'Реестр'!$U$6:$U$505,"Полуплюс")</x:f>
        <x:v>4</x:v>
      </x:c>
      <x:c r="C10" s="124" t="n">
        <x:f>COUNTIFS('Реестр'!$Y$6:$Y$505,"Оптимальный",'Реестр'!$U$6:$U$505,"Полувыигрыш")+COUNTIFS('Реестр'!$Y$6:$Y$505,"Оптимальный",'Реестр'!$U$6:$U$505,"Полуплюс")</x:f>
        <x:v>0</x:v>
      </x:c>
      <x:c r="D10" s="124" t="n">
        <x:f>COUNTIFS('Реестр'!$Y$6:$Y$505,"Агрессивный",'Реестр'!$U$6:$U$505,"Полувыигрыш")+COUNTIFS('Реестр'!$Y$6:$Y$505,"Агрессивный",'Реестр'!$U$6:$U$505,"Полуплюс")</x:f>
        <x:v>0</x:v>
      </x:c>
      <x:c r="E10"/>
      <x:c r="F10"/>
      <x:c r="G10"/>
      <x:c r="H10"/>
    </x:row>
    <x:row r="11" ht="23" customHeight="1">
      <x:c r="A11" s="5" t="str">
        <x:v>Возврат</x:v>
      </x:c>
      <x:c r="B11" s="124" t="n">
        <x:f>COUNTIFS('Реестр'!$Y$6:$Y$505,"История без разделения",'Реестр'!$U$6:$U$505,"Возврат")</x:f>
        <x:v>3</x:v>
      </x:c>
      <x:c r="C11" s="124" t="n">
        <x:f>COUNTIFS('Реестр'!$Y$6:$Y$505,"Оптимальный",'Реестр'!$U$6:$U$505,"Возврат")</x:f>
        <x:v>0</x:v>
      </x:c>
      <x:c r="D11" s="124" t="n">
        <x:f>COUNTIFS('Реестр'!$Y$6:$Y$505,"Агрессивный",'Реестр'!$U$6:$U$505,"Возврат")</x:f>
        <x:v>1</x:v>
      </x:c>
      <x:c r="E11"/>
      <x:c r="F11"/>
      <x:c r="G11"/>
      <x:c r="H11"/>
    </x:row>
    <x:row r="12" ht="23" customHeight="1">
      <x:c r="A12" s="5" t="str">
        <x:v>Полупроигрыш</x:v>
      </x:c>
      <x:c r="B12" s="124" t="n">
        <x:f>COUNTIFS('Реестр'!$Y$6:$Y$505,"История без разделения",'Реестр'!$U$6:$U$505,"Полупроигрыш")+COUNTIFS('Реестр'!$Y$6:$Y$505,"История без разделения",'Реестр'!$U$6:$U$505,"Полуминус")</x:f>
        <x:v>5</x:v>
      </x:c>
      <x:c r="C12" s="124" t="n">
        <x:f>COUNTIFS('Реестр'!$Y$6:$Y$505,"Оптимальный",'Реестр'!$U$6:$U$505,"Полупроигрыш")+COUNTIFS('Реестр'!$Y$6:$Y$505,"Оптимальный",'Реестр'!$U$6:$U$505,"Полуминус")</x:f>
        <x:v>0</x:v>
      </x:c>
      <x:c r="D12" s="124" t="n">
        <x:f>COUNTIFS('Реестр'!$Y$6:$Y$505,"Агрессивный",'Реестр'!$U$6:$U$505,"Полупроигрыш")+COUNTIFS('Реестр'!$Y$6:$Y$505,"Агрессивный",'Реестр'!$U$6:$U$505,"Полуминус")</x:f>
        <x:v>0</x:v>
      </x:c>
      <x:c r="E12"/>
      <x:c r="F12"/>
      <x:c r="G12"/>
      <x:c r="H12"/>
    </x:row>
    <x:row r="13" ht="23" customHeight="1">
      <x:c r="A13" s="5" t="str">
        <x:v>Поражение</x:v>
      </x:c>
      <x:c r="B13" s="124" t="n">
        <x:f>COUNTIFS('Реестр'!$Y$6:$Y$505,"История без разделения",'Реестр'!$U$6:$U$505,"Поражение")+COUNTIFS('Реестр'!$Y$6:$Y$505,"История без разделения",'Реестр'!$U$6:$U$505,"Минус")</x:f>
        <x:v>17</x:v>
      </x:c>
      <x:c r="C13" s="124" t="n">
        <x:f>COUNTIFS('Реестр'!$Y$6:$Y$505,"Оптимальный",'Реестр'!$U$6:$U$505,"Поражение")+COUNTIFS('Реестр'!$Y$6:$Y$505,"Оптимальный",'Реестр'!$U$6:$U$505,"Минус")</x:f>
        <x:v>2</x:v>
      </x:c>
      <x:c r="D13" s="124" t="n">
        <x:f>COUNTIFS('Реестр'!$Y$6:$Y$505,"Агрессивный",'Реестр'!$U$6:$U$505,"Поражение")+COUNTIFS('Реестр'!$Y$6:$Y$505,"Агрессивный",'Реестр'!$U$6:$U$505,"Минус")</x:f>
        <x:v>3</x:v>
      </x:c>
      <x:c r="E13"/>
      <x:c r="F13"/>
      <x:c r="G13"/>
      <x:c r="H13"/>
    </x:row>
    <x:row r="14" ht="23" customHeight="1">
      <x:c r="A14" s="127" t="str">
        <x:v>Итог, ед.</x:v>
      </x:c>
      <x:c r="B14" s="128" t="n">
        <x:f>SUMIFS('Реестр'!$V$6:$V$505,'Реестр'!$Y$6:$Y$505,"История без разделения",'Реестр'!$W$6:$W$505,"Рассчитан")</x:f>
        <x:v>3.7</x:v>
      </x:c>
      <x:c r="C14" s="128" t="n">
        <x:f>SUMIFS('Реестр'!$V$6:$V$505,'Реестр'!$Y$6:$Y$505,"Оптимальный",'Реестр'!$W$6:$W$505,"Рассчитан")</x:f>
        <x:v>-1.4</x:v>
      </x:c>
      <x:c r="D14" s="128" t="n">
        <x:f>SUMIFS('Реестр'!$V$6:$V$505,'Реестр'!$Y$6:$Y$505,"Агрессивный",'Реестр'!$W$6:$W$505,"Рассчитан")</x:f>
        <x:v>-3</x:v>
      </x:c>
      <x:c r="E14"/>
      <x:c r="F14"/>
      <x:c r="G14"/>
      <x:c r="H14"/>
    </x:row>
    <x:row r="15" ht="23" customHeight="1">
      <x:c r="A15" s="127" t="str">
        <x:v>ROI рассчитанных</x:v>
      </x:c>
      <x:c r="B15" s="129" t="n">
        <x:f>IF(B7=0,"",B14/B7)</x:f>
        <x:v>0.06981132075471698</x:v>
      </x:c>
      <x:c r="C15" s="129" t="n">
        <x:f>IF(C7=0,"",C14/C7)</x:f>
        <x:v>-0.4666666666666666</x:v>
      </x:c>
      <x:c r="D15" s="129" t="n">
        <x:f>IF(D7=0,"",D14/D7)</x:f>
        <x:v>-0.75</x:v>
      </x:c>
      <x:c r="E15"/>
      <x:c r="F15"/>
      <x:c r="G15"/>
      <x:c r="H15"/>
    </x:row>
    <x:row r="16" ht="23" customHeight="1">
      <x:c r="A16" s="5" t="str">
        <x:v>Средний коэф. рассчитанных</x:v>
      </x:c>
      <x:c r="B16" s="125" t="n">
        <x:f>IF(B7=0,"",SUMIFS('Реестр'!$J$6:$J$505,'Реестр'!$Y$6:$Y$505,"История без разделения",'Реестр'!$W$6:$W$505,"Рассчитан")/B7)</x:f>
        <x:v>1.9047169811320754</x:v>
      </x:c>
      <x:c r="C16" s="125" t="n">
        <x:f>IF(C7=0,"",SUMIFS('Реестр'!$J$6:$J$505,'Реестр'!$Y$6:$Y$505,"Оптимальный",'Реестр'!$W$6:$W$505,"Рассчитан")/C7)</x:f>
        <x:v>1.5527666666666669</x:v>
      </x:c>
      <x:c r="D16" s="125" t="n">
        <x:f>IF(D7=0,"",SUMIFS('Реестр'!$J$6:$J$505,'Реестр'!$Y$6:$Y$505,"Агрессивный",'Реестр'!$W$6:$W$505,"Рассчитан")/D7)</x:f>
        <x:v>2.0625</x:v>
      </x:c>
      <x:c r="E16"/>
      <x:c r="F16"/>
      <x:c r="G16"/>
      <x:c r="H16"/>
    </x:row>
    <x:row r="17" ht="23" customHeight="1">
      <x:c r="A17" s="5" t="str">
        <x:v>Доля положительных результатов</x:v>
      </x:c>
      <x:c r="B17" s="126" t="n">
        <x:f>IF(B7=0,"",(B9+B10)/B7)</x:f>
        <x:v>0.5283018867924528</x:v>
      </x:c>
      <x:c r="C17" s="126" t="n">
        <x:f>IF(C7=0,"",(C9+C10)/C7)</x:f>
        <x:v>0.3333333333333333</x:v>
      </x:c>
      <x:c r="D17" s="126" t="n">
        <x:f>IF(D7=0,"",(D9+D10)/D7)</x:f>
        <x:v>0</x:v>
      </x:c>
    </x:row>
    <x:row r="18" ht="23" customHeight="1">
      <x:c r="A18" s="5"/>
      <x:c r="B18" s="124"/>
      <x:c r="C18" s="124"/>
      <x:c r="D18" s="124"/>
    </x:row>
    <x:row r="19" ht="23" customHeight="1">
      <x:c r="A19" s="122" t="str">
        <x:v>Сравнение на общих рассчитанных парах</x:v>
      </x:c>
      <x:c r="B19" s="124"/>
      <x:c r="C19" s="124"/>
      <x:c r="D19" s="124"/>
    </x:row>
    <x:row r="20" ht="23" customHeight="1">
      <x:c r="A20" s="5" t="str">
        <x:v>Сопоставимых пар</x:v>
      </x:c>
      <x:c r="B20" s="124"/>
      <x:c r="C20" s="124" t="n">
        <x:f>COUNTIFS('Реестр'!$Y$6:$Y$505,"Оптимальный",'Реестр'!$AE$6:$AE$505,"Да")</x:f>
        <x:v>3</x:v>
      </x:c>
      <x:c r="D20" s="124" t="n">
        <x:f>COUNTIFS('Реестр'!$Y$6:$Y$505,"Агрессивный",'Реестр'!$AE$6:$AE$505,"Да")</x:f>
        <x:v>3</x:v>
      </x:c>
    </x:row>
    <x:row r="21" ht="23" customHeight="1">
      <x:c r="A21" s="127" t="str">
        <x:v>Итог по парам, ед.</x:v>
      </x:c>
      <x:c r="B21" s="128"/>
      <x:c r="C21" s="128" t="n">
        <x:f>SUMIFS('Реестр'!$V$6:$V$505,'Реестр'!$Y$6:$Y$505,"Оптимальный",'Реестр'!$AE$6:$AE$505,"Да")</x:f>
        <x:v>-1.4</x:v>
      </x:c>
      <x:c r="D21" s="128" t="n">
        <x:f>SUMIFS('Реестр'!$V$6:$V$505,'Реестр'!$Y$6:$Y$505,"Агрессивный",'Реестр'!$AE$6:$AE$505,"Да")</x:f>
        <x:v>-2</x:v>
      </x:c>
    </x:row>
    <x:row r="22" ht="23" customHeight="1">
      <x:c r="A22" s="127" t="str">
        <x:v>ROI по парам</x:v>
      </x:c>
      <x:c r="B22" s="129"/>
      <x:c r="C22" s="129" t="n">
        <x:f>IF(C20=0,"",C21/C20)</x:f>
        <x:v>-0.4666666666666666</x:v>
      </x:c>
      <x:c r="D22" s="129" t="n">
        <x:f>IF(D20=0,"",D21/D20)</x:f>
        <x:v>-0.6666666666666666</x:v>
      </x:c>
    </x:row>
    <x:row r="23" ht="23" customHeight="1">
      <x:c r="A23" s="5" t="str">
        <x:v>Средний коэф. по парам</x:v>
      </x:c>
      <x:c r="B23" s="125"/>
      <x:c r="C23" s="125" t="n">
        <x:f>IF(C20=0,"",SUMIFS('Реестр'!$J$6:$J$505,'Реестр'!$Y$6:$Y$505,"Оптимальный",'Реестр'!$AE$6:$AE$505,"Да")/C20)</x:f>
        <x:v>1.5527666666666669</x:v>
      </x:c>
      <x:c r="D23" s="125" t="n">
        <x:f>IF(D20=0,"",SUMIFS('Реестр'!$J$6:$J$505,'Реестр'!$Y$6:$Y$505,"Агрессивный",'Реестр'!$AE$6:$AE$505,"Да")/D20)</x:f>
        <x:v>2.058333333333333</x:v>
      </x:c>
    </x:row>
    <x:row r="24">
      <x:c r="A24" s="5"/>
      <x:c r="B24" s="5"/>
      <x:c r="C24" s="5"/>
      <x:c r="D24" s="5"/>
    </x:row>
    <x:row r="25" ht="32" customHeight="1">
      <x:c r="A25" s="131" t="str">
        <x:v>Доля положительных: полные и половинные выигрыши / все рассчитанные, включая возвраты.</x:v>
      </x:c>
      <x:c r="B25" s="131"/>
      <x:c r="C25" s="131"/>
      <x:c r="D25" s="131"/>
    </x:row>
    <x:row r="26" ht="32" customHeight="1">
      <x:c r="A26" s="131" t="str">
        <x:v>История: 53 рассчитанных live-прогноза за 13.10.2026. Старые категории не назначаются задним числом.</x:v>
      </x:c>
      <x:c r="B26" s="131"/>
      <x:c r="C26" s="131"/>
      <x:c r="D26" s="131"/>
    </x:row>
    <x:row r="27" ht="32" customHeight="1">
      <x:c r="A27" s="131" t="str">
        <x:v>Фактические выборы и суммы: отдельный Дневник исходов.xlsx. Обновление Live: 14.10.2026.</x:v>
      </x:c>
      <x:c r="B27" s="131"/>
      <x:c r="C27" s="131"/>
      <x:c r="D27" s="131"/>
    </x:row>
    <x:row r="29">
      <x:c r="A29" s="132" t="str">
        <x:v>История по этапам</x:v>
      </x:c>
      <x:c r="B29" s="132" t="str">
        <x:v>Прогнозов</x:v>
      </x:c>
      <x:c r="C29" s="132" t="str">
        <x:v>Итог, ед.</x:v>
      </x:c>
      <x:c r="D29" s="132" t="str">
        <x:v>ROI</x:v>
      </x:c>
    </x:row>
    <x:row r="30">
      <x:c r="A30" s="5" t="str">
        <x:v>До правила топ-5</x:v>
      </x:c>
      <x:c r="B30" s="5" t="n">
        <x:f>COUNTIFS('Реестр'!$AG$6:$AG$505,A30)</x:f>
        <x:v>43</x:v>
      </x:c>
      <x:c r="C30" s="118" t="n">
        <x:f>SUMIFS('Реестр'!$V$6:$V$505,'Реестр'!$AG$6:$AG$505,A30)</x:f>
        <x:v>0.6000000000000004</x:v>
      </x:c>
      <x:c r="D30" s="123" t="n">
        <x:f>IF(B30=0,"",C30/B30)</x:f>
        <x:v>0.013953488372093033</x:v>
      </x:c>
    </x:row>
    <x:row r="31">
      <x:c r="A31" s="5" t="str">
        <x:v>Топ-5</x:v>
      </x:c>
      <x:c r="B31" s="5" t="n">
        <x:f>COUNTIFS('Реестр'!$AG$6:$AG$505,A31)</x:f>
        <x:v>10</x:v>
      </x:c>
      <x:c r="C31" s="118" t="n">
        <x:f>SUMIFS('Реестр'!$V$6:$V$505,'Реестр'!$AG$6:$AG$505,A31)</x:f>
        <x:v>3.1000000000000005</x:v>
      </x:c>
      <x:c r="D31" s="123" t="n">
        <x:f>IF(B31=0,"",C31/B31)</x:f>
        <x:v>0.31000000000000005</x:v>
      </x:c>
    </x:row>
    <x:row r="32">
      <x:c r="A32" s="5"/>
      <x:c r="B32" s="5"/>
      <x:c r="C32" s="5"/>
      <x:c r="D32" s="5"/>
    </x:row>
    <x:row r="33">
      <x:c r="A33" s="133" t="str">
        <x:v>Источник истории: итоговый отчёт за 13.10.2026. Два прематчевых варианта остаются в исходном архиве и не входят в Live ТБ.</x:v>
      </x:c>
      <x:c r="B33" s="133"/>
      <x:c r="C33" s="133"/>
      <x:c r="D33" s="133"/>
    </x:row>
    <x:row r="34">
      <x:c r="A34" s="133"/>
      <x:c r="B34" s="133"/>
      <x:c r="C34" s="133"/>
      <x:c r="D34" s="133"/>
    </x:row>
  </x:sheetData>
  <x:mergeCells>
    <x:mergeCell ref="A2:D2"/>
    <x:mergeCell ref="A3:D3"/>
    <x:mergeCell ref="A19:D19"/>
    <x:mergeCell ref="A25:D25"/>
    <x:mergeCell ref="A26:D26"/>
    <x:mergeCell ref="A27:D27"/>
    <x:mergeCell ref="A33:D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  <x:col min="32" max="32" width="45" hidden="0" customWidth="1"/>
    <x:col min="33" max="33" width="24" hidden="0" customWidth="1"/>
    <x:col min="25" max="25" width="27" hidden="0" customWidth="1"/>
    <x:col min="26" max="26" width="30" hidden="0" customWidth="1"/>
    <x:col min="27" max="27" width="18" hidden="0" customWidth="1"/>
    <x:col min="28" max="28" width="18" hidden="0" customWidth="1"/>
    <x:col min="29" max="29" width="24" hidden="0" customWidth="1"/>
    <x:col min="30" max="30" width="24" hidden="0" customWidth="1"/>
    <x:col min="31" max="31" width="2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Прогнозы Джарвиса. История сохранена; с 14.10.2026 два варианта на матч. Фактические выборы пользователя ведутся отдельно.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  <x:c r="Y5" s="117" t="str">
        <x:v>Контур</x:v>
      </x:c>
      <x:c r="Z5" s="117" t="str">
        <x:v>ID пары</x:v>
      </x:c>
      <x:c r="AA5" s="117" t="str">
        <x:v>Период рынка</x:v>
      </x:c>
      <x:c r="AB5" s="117" t="str">
        <x:v>Линия ТБ</x:v>
      </x:c>
      <x:c r="AC5" s="117" t="str">
        <x:v>Время снимка МСК</x:v>
      </x:c>
      <x:c r="AD5" s="117" t="str">
        <x:v>Время вывода МСК</x:v>
      </x:c>
      <x:c r="AE5" s="117" t="str">
        <x:v>Сопоставимая пара</x:v>
      </x:c>
      <x:c r="AF5" s="116" t="str">
        <x:v>Источник результата</x:v>
      </x:c>
      <x:c r="AG5" s="116" t="str">
        <x:v>Этап правил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 t="str">
        <x:v>0-2</x:v>
      </x:c>
      <x:c r="U6" s="79" t="str">
        <x:v>Поражение</x:v>
      </x:c>
      <x:c r="V6" s="88" t="n">
        <x:f>IF(A6="","",IF(U6="","",IF(U6="Выигрыш",J6-1,IF(U6="Полувыигрыш",(J6-1)/2,IF(U6="Возврат",0,IF(U6="Полупроигрыш",-0.5,IF(U6="Поражение",-1,"Проверить результат")))))))</x:f>
        <x:v>-1</x:v>
      </x:c>
      <x:c r="W6" s="79" t="str">
        <x:f>IF(A6="","",IF(U6="","Открыт",IF(ISNUMBER(V6),"Рассчитан","Проверить результат")))</x:f>
        <x:v>Рассчитан</x:v>
      </x:c>
      <x:c r="X6" s="94" t="str">
        <x:v>Первый тест команды live</x:v>
      </x:c>
      <x:c r="Y6" s="5" t="str">
        <x:v>История без разделения</x:v>
      </x:c>
      <x:c r="Z6" s="5"/>
      <x:c r="AA6" s="5"/>
      <x:c r="AB6" s="118"/>
      <x:c r="AC6" s="119"/>
      <x:c r="AD6" s="119"/>
      <x:c r="AE6" s="5"/>
      <x:c r="AF6" s="5" t="str">
        <x:v>BetsAPI event ID 12477002; итоговый отчёт 13.10.2026, № 3</x:v>
      </x:c>
      <x:c r="AG6" s="5" t="str">
        <x:v>До правила топ-5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 t="str">
        <x:v>3-2</x:v>
      </x:c>
      <x:c r="U7" s="80" t="str">
        <x:v>Поражение</x:v>
      </x:c>
      <x:c r="V7" s="89" t="n">
        <x:f>IF(A7="","",IF(U7="","",IF(U7="Выигрыш",J7-1,IF(U7="Полувыигрыш",(J7-1)/2,IF(U7="Возврат",0,IF(U7="Полупроигрыш",-0.5,IF(U7="Поражение",-1,"Проверить результат")))))))</x:f>
        <x:v>-1</x:v>
      </x:c>
      <x:c r="W7" s="80" t="str">
        <x:f>IF(A7="","",IF(U7="","Открыт",IF(ISNUMBER(V7),"Рассчитан","Проверить результат")))</x:f>
        <x:v>Рассчитан</x:v>
      </x:c>
      <x:c r="X7" s="98" t="str">
        <x:v>Агрессивный второй кандидат</x:v>
      </x:c>
      <x:c r="Y7" s="5" t="str">
        <x:v>История без разделения</x:v>
      </x:c>
      <x:c r="Z7" s="5"/>
      <x:c r="AA7" s="5"/>
      <x:c r="AB7" s="118"/>
      <x:c r="AC7" s="119"/>
      <x:c r="AD7" s="119"/>
      <x:c r="AE7" s="5"/>
      <x:c r="AF7" s="5" t="str">
        <x:v>BetsAPI event ID 12299758; итоговый отчёт 13.10.2026, № 4</x:v>
      </x:c>
      <x:c r="AG7" s="5" t="str">
        <x:v>До правила топ-5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 t="str">
        <x:v>2-0</x:v>
      </x:c>
      <x:c r="U8" s="80" t="str">
        <x:v>Выигрыш</x:v>
      </x:c>
      <x:c r="V8" s="89" t="n">
        <x:f>IF(A8="","",IF(U8="","",IF(U8="Выигрыш",J8-1,IF(U8="Полувыигрыш",(J8-1)/2,IF(U8="Возврат",0,IF(U8="Полупроигрыш",-0.5,IF(U8="Поражение",-1,"Проверить результат")))))))</x:f>
        <x:v>0.825</x:v>
      </x:c>
      <x:c r="W8" s="80" t="str">
        <x:f>IF(A8="","",IF(U8="","Открыт",IF(ISNUMBER(V8),"Рассчитан","Проверить результат")))</x:f>
        <x:v>Рассчитан</x:v>
      </x:c>
      <x:c r="X8" s="98" t="str">
        <x:v>Основной кандидат текущего запуска</x:v>
      </x:c>
      <x:c r="Y8" s="5" t="str">
        <x:v>История без разделения</x:v>
      </x:c>
      <x:c r="Z8" s="5"/>
      <x:c r="AA8" s="5"/>
      <x:c r="AB8" s="118"/>
      <x:c r="AC8" s="119"/>
      <x:c r="AD8" s="119"/>
      <x:c r="AE8" s="5"/>
      <x:c r="AF8" s="5" t="str">
        <x:v>BetsAPI event ID 13234372; итоговый отчёт 13.10.2026, № 5</x:v>
      </x:c>
      <x:c r="AG8" s="5" t="str">
        <x:v>До правила топ-5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 t="str">
        <x:v>2-3</x:v>
      </x:c>
      <x:c r="U9" s="80" t="str">
        <x:v>Поражение</x:v>
      </x:c>
      <x:c r="V9" s="89" t="n">
        <x:f>IF(A9="","",IF(U9="","",IF(U9="Выигрыш",J9-1,IF(U9="Полувыигрыш",(J9-1)/2,IF(U9="Возврат",0,IF(U9="Полупроигрыш",-0.5,IF(U9="Поражение",-1,"Проверить результат")))))))</x:f>
        <x:v>-1</x:v>
      </x:c>
      <x:c r="W9" s="80" t="str">
        <x:f>IF(A9="","",IF(U9="","Открыт",IF(ISNUMBER(V9),"Рассчитан","Проверить результат")))</x:f>
        <x:v>Рассчитан</x:v>
      </x:c>
      <x:c r="X9" s="98" t="str">
        <x:v>Агрессивный кандидат по открытому сценарию</x:v>
      </x:c>
      <x:c r="Y9" s="5" t="str">
        <x:v>История без разделения</x:v>
      </x:c>
      <x:c r="Z9" s="5"/>
      <x:c r="AA9" s="5"/>
      <x:c r="AB9" s="118"/>
      <x:c r="AC9" s="119"/>
      <x:c r="AD9" s="119"/>
      <x:c r="AE9" s="5"/>
      <x:c r="AF9" s="5" t="str">
        <x:v>BetsAPI event ID 13285570; итоговый отчёт 13.10.2026, № 6</x:v>
      </x:c>
      <x:c r="AG9" s="5" t="str">
        <x:v>До правила топ-5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 t="str">
        <x:v>2-3</x:v>
      </x:c>
      <x:c r="U10" s="80" t="str">
        <x:v>Выигрыш</x:v>
      </x:c>
      <x:c r="V10" s="89" t="n">
        <x:f>IF(A10="","",IF(U10="","",IF(U10="Выигрыш",J10-1,IF(U10="Полувыигрыш",(J10-1)/2,IF(U10="Возврат",0,IF(U10="Полупроигрыш",-0.5,IF(U10="Поражение",-1,"Проверить результат")))))))</x:f>
        <x:v>0.9750000000000001</x:v>
      </x:c>
      <x:c r="W10" s="80" t="str">
        <x:f>IF(A10="","",IF(U10="","Открыт",IF(ISNUMBER(V10),"Рассчитан","Проверить результат")))</x:f>
        <x:v>Рассчитан</x:v>
      </x:c>
      <x:c r="X10" s="98" t="str">
        <x:v>Линия с возвратом при одном дополнительном голе</x:v>
      </x:c>
      <x:c r="Y10" s="5" t="str">
        <x:v>История без разделения</x:v>
      </x:c>
      <x:c r="Z10" s="5"/>
      <x:c r="AA10" s="5"/>
      <x:c r="AB10" s="118"/>
      <x:c r="AC10" s="119"/>
      <x:c r="AD10" s="119"/>
      <x:c r="AE10" s="5"/>
      <x:c r="AF10" s="5" t="str">
        <x:v>BetsAPI event ID 13234373; итоговый отчёт 13.10.2026, № 7</x:v>
      </x:c>
      <x:c r="AG10" s="5" t="str">
        <x:v>До правила топ-5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 t="str">
        <x:v>1-4</x:v>
      </x:c>
      <x:c r="U11" s="80" t="str">
        <x:v>Выигрыш</x:v>
      </x:c>
      <x:c r="V11" s="89" t="n">
        <x:f>IF(A11="","",IF(U11="","",IF(U11="Выигрыш",J11-1,IF(U11="Полувыигрыш",(J11-1)/2,IF(U11="Возврат",0,IF(U11="Полупроигрыш",-0.5,IF(U11="Поражение",-1,"Проверить результат")))))))</x:f>
        <x:v>0.8500000000000001</x:v>
      </x:c>
      <x:c r="W11" s="80" t="str">
        <x:f>IF(A11="","",IF(U11="","Открыт",IF(ISNUMBER(V11),"Рассчитан","Проверить результат")))</x:f>
        <x:v>Рассчитан</x:v>
      </x:c>
      <x:c r="X11" s="98" t="str">
        <x:v>Высокая дисперсия из-за реализации выше xG</x:v>
      </x:c>
      <x:c r="Y11" s="5" t="str">
        <x:v>История без разделения</x:v>
      </x:c>
      <x:c r="Z11" s="5"/>
      <x:c r="AA11" s="5"/>
      <x:c r="AB11" s="118"/>
      <x:c r="AC11" s="119"/>
      <x:c r="AD11" s="119"/>
      <x:c r="AE11" s="5"/>
      <x:c r="AF11" s="5" t="str">
        <x:v>BetsAPI event ID 12202850; итоговый отчёт 13.10.2026, № 8</x:v>
      </x:c>
      <x:c r="AG11" s="5" t="str">
        <x:v>До правила топ-5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 t="str">
        <x:v>1-0</x:v>
      </x:c>
      <x:c r="U12" s="80" t="str">
        <x:v>Поражение</x:v>
      </x:c>
      <x:c r="V12" s="89" t="n">
        <x:f>IF(A12="","",IF(U12="","",IF(U12="Выигрыш",J12-1,IF(U12="Полувыигрыш",(J12-1)/2,IF(U12="Возврат",0,IF(U12="Полупроигрыш",-0.5,IF(U12="Поражение",-1,"Проверить результат")))))))</x:f>
        <x:v>-1</x:v>
      </x:c>
      <x:c r="W12" s="80" t="str">
        <x:f>IF(A12="","",IF(U12="","Открыт",IF(ISNUMBER(V12),"Рассчитан","Проверить результат")))</x:f>
        <x:v>Рассчитан</x:v>
      </x:c>
      <x:c r="X12" s="98" t="str">
        <x:v>Защитная азиатская линия: второй гол даёт полуплюс</x:v>
      </x:c>
      <x:c r="Y12" s="5" t="str">
        <x:v>История без разделения</x:v>
      </x:c>
      <x:c r="Z12" s="5"/>
      <x:c r="AA12" s="5"/>
      <x:c r="AB12" s="118"/>
      <x:c r="AC12" s="119"/>
      <x:c r="AD12" s="119"/>
      <x:c r="AE12" s="5"/>
      <x:c r="AF12" s="5" t="str">
        <x:v>BetsAPI event ID 13234392; итоговый отчёт 13.10.2026, № 9</x:v>
      </x:c>
      <x:c r="AG12" s="5" t="str">
        <x:v>До правила топ-5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 t="str">
        <x:v>0-2</x:v>
      </x:c>
      <x:c r="U13" s="80" t="str">
        <x:v>Полупроигрыш</x:v>
      </x:c>
      <x:c r="V13" s="89" t="n">
        <x:f>IF(A13="","",IF(U13="","",IF(U13="Выигрыш",J13-1,IF(U13="Полувыигрыш",(J13-1)/2,IF(U13="Возврат",0,IF(U13="Полупроигрыш",-0.5,IF(U13="Поражение",-1,"Проверить результат")))))))</x:f>
        <x:v>-0.5</x:v>
      </x:c>
      <x:c r="W13" s="80" t="str">
        <x:f>IF(A13="","",IF(U13="","Открыт",IF(ISNUMBER(V13),"Рассчитан","Проверить результат")))</x:f>
        <x:v>Рассчитан</x:v>
      </x:c>
      <x:c r="X13" s="98" t="str">
        <x:v>Главный кандидат: фаворит в большинстве и резко нарастил давление</x:v>
      </x:c>
      <x:c r="Y13" s="5" t="str">
        <x:v>История без разделения</x:v>
      </x:c>
      <x:c r="Z13" s="5"/>
      <x:c r="AA13" s="5"/>
      <x:c r="AB13" s="118"/>
      <x:c r="AC13" s="119"/>
      <x:c r="AD13" s="119"/>
      <x:c r="AE13" s="5"/>
      <x:c r="AF13" s="5" t="str">
        <x:v>BetsAPI event ID 12325195; итоговый отчёт 13.10.2026, № 10</x:v>
      </x:c>
      <x:c r="AG13" s="5" t="str">
        <x:v>До правила топ-5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 t="str">
        <x:v>3-2</x:v>
      </x:c>
      <x:c r="U14" s="80" t="str">
        <x:v>Полупроигрыш</x:v>
      </x:c>
      <x:c r="V14" s="89" t="n">
        <x:f>IF(A14="","",IF(U14="","",IF(U14="Выигрыш",J14-1,IF(U14="Полувыигрыш",(J14-1)/2,IF(U14="Возврат",0,IF(U14="Полупроигрыш",-0.5,IF(U14="Поражение",-1,"Проверить результат")))))))</x:f>
        <x:v>-0.5</x:v>
      </x:c>
      <x:c r="W14" s="80" t="str">
        <x:f>IF(A14="","",IF(U14="","Открыт",IF(ISNUMBER(V14),"Рассчитан","Проверить результат")))</x:f>
        <x:v>Рассчитан</x:v>
      </x:c>
      <x:c r="X14" s="98" t="str">
        <x:v>Сильная атакующая динамика, но очень высокая линия</x:v>
      </x:c>
      <x:c r="Y14" s="5" t="str">
        <x:v>История без разделения</x:v>
      </x:c>
      <x:c r="Z14" s="5"/>
      <x:c r="AA14" s="5"/>
      <x:c r="AB14" s="118"/>
      <x:c r="AC14" s="119"/>
      <x:c r="AD14" s="119"/>
      <x:c r="AE14" s="5"/>
      <x:c r="AF14" s="5" t="str">
        <x:v>BetsAPI event ID 13285445; итоговый отчёт 13.10.2026, № 11</x:v>
      </x:c>
      <x:c r="AG14" s="5" t="str">
        <x:v>До правила топ-5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 t="str">
        <x:v>2-0</x:v>
      </x:c>
      <x:c r="U15" s="80" t="str">
        <x:v>Возврат</x:v>
      </x:c>
      <x:c r="V15" s="89" t="n">
        <x:f>IF(A15="","",IF(U15="","",IF(U15="Выигрыш",J15-1,IF(U15="Полувыигрыш",(J15-1)/2,IF(U15="Возврат",0,IF(U15="Полупроигрыш",-0.5,IF(U15="Поражение",-1,"Проверить результат")))))))</x:f>
        <x:v>0</x:v>
      </x:c>
      <x:c r="W15" s="80" t="str">
        <x:f>IF(A15="","",IF(U15="","Открыт",IF(ISNUMBER(V15),"Рассчитан","Проверить результат")))</x:f>
        <x:v>Рассчитан</x:v>
      </x:c>
      <x:c r="X15" s="98" t="str">
        <x:v>Кандидат по удалению и территориальному превосходству фаворита</x:v>
      </x:c>
      <x:c r="Y15" s="5" t="str">
        <x:v>История без разделения</x:v>
      </x:c>
      <x:c r="Z15" s="5"/>
      <x:c r="AA15" s="5"/>
      <x:c r="AB15" s="118"/>
      <x:c r="AC15" s="119"/>
      <x:c r="AD15" s="119"/>
      <x:c r="AE15" s="5"/>
      <x:c r="AF15" s="5" t="str">
        <x:v>BetsAPI event ID 12062993; итоговый отчёт 13.10.2026, № 12</x:v>
      </x:c>
      <x:c r="AG15" s="5" t="str">
        <x:v>До правила топ-5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 t="str">
        <x:v>2-3</x:v>
      </x:c>
      <x:c r="U16" s="80" t="str">
        <x:v>Выигрыш</x:v>
      </x:c>
      <x:c r="V16" s="89" t="n">
        <x:f>IF(A16="","",IF(U16="","",IF(U16="Выигрыш",J16-1,IF(U16="Полувыигрыш",(J16-1)/2,IF(U16="Возврат",0,IF(U16="Полупроигрыш",-0.5,IF(U16="Поражение",-1,"Проверить результат")))))))</x:f>
        <x:v>0.7749999999999999</x:v>
      </x:c>
      <x:c r="W16" s="80" t="str">
        <x:f>IF(A16="","",IF(U16="","Открыт",IF(ISNUMBER(V16),"Рассчитан","Проверить результат")))</x:f>
        <x:v>Рассчитан</x:v>
      </x:c>
      <x:c r="X16" s="98" t="str">
        <x:v>Продолжение открытого матча после свежего гола</x:v>
      </x:c>
      <x:c r="Y16" s="5" t="str">
        <x:v>История без разделения</x:v>
      </x:c>
      <x:c r="Z16" s="5"/>
      <x:c r="AA16" s="5"/>
      <x:c r="AB16" s="118"/>
      <x:c r="AC16" s="119"/>
      <x:c r="AD16" s="119"/>
      <x:c r="AE16" s="5"/>
      <x:c r="AF16" s="5" t="str">
        <x:v>BetsAPI event ID 12126208; итоговый отчёт 13.10.2026, № 13</x:v>
      </x:c>
      <x:c r="AG16" s="5" t="str">
        <x:v>До правила топ-5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 t="str">
        <x:v>1-3</x:v>
      </x:c>
      <x:c r="U17" s="80" t="str">
        <x:v>Полувыигрыш</x:v>
      </x:c>
      <x:c r="V17" s="89" t="n">
        <x:f>IF(A17="","",IF(U17="","",IF(U17="Выигрыш",J17-1,IF(U17="Полувыигрыш",(J17-1)/2,IF(U17="Возврат",0,IF(U17="Полупроигрыш",-0.5,IF(U17="Поражение",-1,"Проверить результат")))))))</x:f>
        <x:v>0.4625</x:v>
      </x:c>
      <x:c r="W17" s="80" t="str">
        <x:f>IF(A17="","",IF(U17="","Открыт",IF(ISNUMBER(V17),"Рассчитан","Проверить результат")))</x:f>
        <x:v>Рассчитан</x:v>
      </x:c>
      <x:c r="X17" s="98" t="str">
        <x:v>Финляндия подтверждает статус фаворита качеством моментов</x:v>
      </x:c>
      <x:c r="Y17" s="5" t="str">
        <x:v>История без разделения</x:v>
      </x:c>
      <x:c r="Z17" s="5"/>
      <x:c r="AA17" s="5"/>
      <x:c r="AB17" s="118"/>
      <x:c r="AC17" s="119"/>
      <x:c r="AD17" s="119"/>
      <x:c r="AE17" s="5"/>
      <x:c r="AF17" s="5" t="str">
        <x:v>BetsAPI event ID 12062983; итоговый отчёт 13.10.2026, № 14</x:v>
      </x:c>
      <x:c r="AG17" s="5" t="str">
        <x:v>До правила топ-5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 t="str">
        <x:v>0-1</x:v>
      </x:c>
      <x:c r="U18" s="80" t="str">
        <x:v>Поражение</x:v>
      </x:c>
      <x:c r="V18" s="89" t="n">
        <x:f>IF(A18="","",IF(U18="","",IF(U18="Выигрыш",J18-1,IF(U18="Полувыигрыш",(J18-1)/2,IF(U18="Возврат",0,IF(U18="Полупроигрыш",-0.5,IF(U18="Поражение",-1,"Проверить результат")))))))</x:f>
        <x:v>-1</x:v>
      </x:c>
      <x:c r="W18" s="80" t="str">
        <x:f>IF(A18="","",IF(U18="","Открыт",IF(ISNUMBER(V18),"Рассчитан","Проверить результат")))</x:f>
        <x:v>Рассчитан</x:v>
      </x:c>
      <x:c r="X18" s="98" t="str">
        <x:v>Низкая линия при пяти ударах в створ</x:v>
      </x:c>
      <x:c r="Y18" s="5" t="str">
        <x:v>История без разделения</x:v>
      </x:c>
      <x:c r="Z18" s="5"/>
      <x:c r="AA18" s="5"/>
      <x:c r="AB18" s="118"/>
      <x:c r="AC18" s="119"/>
      <x:c r="AD18" s="119"/>
      <x:c r="AE18" s="5"/>
      <x:c r="AF18" s="5" t="str">
        <x:v>BetsAPI event ID 12063011; итоговый отчёт 13.10.2026, № 15</x:v>
      </x:c>
      <x:c r="AG18" s="5" t="str">
        <x:v>До правила топ-5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 t="str">
        <x:v>1-1</x:v>
      </x:c>
      <x:c r="U19" s="80" t="str">
        <x:v>Поражение</x:v>
      </x:c>
      <x:c r="V19" s="89" t="n">
        <x:f>IF(A19="","",IF(U19="","",IF(U19="Выигрыш",J19-1,IF(U19="Полувыигрыш",(J19-1)/2,IF(U19="Возврат",0,IF(U19="Полупроигрыш",-0.5,IF(U19="Поражение",-1,"Проверить результат")))))))</x:f>
        <x:v>-1</x:v>
      </x:c>
      <x:c r="W19" s="80" t="str">
        <x:f>IF(A19="","",IF(U19="","Открыт",IF(ISNUMBER(V19),"Рассчитан","Проверить результат")))</x:f>
        <x:v>Рассчитан</x:v>
      </x:c>
      <x:c r="X19" s="98" t="str">
        <x:v>Умеренный кандидат после свежего ответного гола</x:v>
      </x:c>
      <x:c r="Y19" s="5" t="str">
        <x:v>История без разделения</x:v>
      </x:c>
      <x:c r="Z19" s="5"/>
      <x:c r="AA19" s="5"/>
      <x:c r="AB19" s="118"/>
      <x:c r="AC19" s="119"/>
      <x:c r="AD19" s="119"/>
      <x:c r="AE19" s="5"/>
      <x:c r="AF19" s="5" t="str">
        <x:v>BetsAPI event ID 13285678; итоговый отчёт 13.10.2026, № 16</x:v>
      </x:c>
      <x:c r="AG19" s="5" t="str">
        <x:v>До правила топ-5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 t="str">
        <x:v>1-3</x:v>
      </x:c>
      <x:c r="U20" s="80" t="str">
        <x:v>Выигрыш</x:v>
      </x:c>
      <x:c r="V20" s="89" t="n">
        <x:f>IF(A20="","",IF(U20="","",IF(U20="Выигрыш",J20-1,IF(U20="Полувыигрыш",(J20-1)/2,IF(U20="Возврат",0,IF(U20="Полупроигрыш",-0.5,IF(U20="Поражение",-1,"Проверить результат")))))))</x:f>
        <x:v>0.8999999999999999</x:v>
      </x:c>
      <x:c r="W20" s="80" t="str">
        <x:f>IF(A20="","",IF(U20="","Открыт",IF(ISNUMBER(V20),"Рассчитан","Проверить результат")))</x:f>
        <x:v>Рассчитан</x:v>
      </x:c>
      <x:c r="X20" s="98" t="str">
        <x:v>Сильное давление фаворита при низкой линии</x:v>
      </x:c>
      <x:c r="Y20" s="5" t="str">
        <x:v>История без разделения</x:v>
      </x:c>
      <x:c r="Z20" s="5"/>
      <x:c r="AA20" s="5"/>
      <x:c r="AB20" s="118"/>
      <x:c r="AC20" s="119"/>
      <x:c r="AD20" s="119"/>
      <x:c r="AE20" s="5"/>
      <x:c r="AF20" s="5" t="str">
        <x:v>BetsAPI event ID 12325194; итоговый отчёт 13.10.2026, № 17</x:v>
      </x:c>
      <x:c r="AG20" s="5" t="str">
        <x:v>До правила топ-5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 t="str">
        <x:v>1-1</x:v>
      </x:c>
      <x:c r="U21" s="80" t="str">
        <x:v>Поражение</x:v>
      </x:c>
      <x:c r="V21" s="89" t="n">
        <x:f>IF(A21="","",IF(U21="","",IF(U21="Выигрыш",J21-1,IF(U21="Полувыигрыш",(J21-1)/2,IF(U21="Возврат",0,IF(U21="Полупроигрыш",-0.5,IF(U21="Поражение",-1,"Проверить результат")))))))</x:f>
        <x:v>-1</x:v>
      </x:c>
      <x:c r="W21" s="80" t="str">
        <x:f>IF(A21="","",IF(U21="","Открыт",IF(ISNUMBER(V21),"Рассчитан","Проверить результат")))</x:f>
        <x:v>Рассчитан</x:v>
      </x:c>
      <x:c r="X21" s="98" t="str">
        <x:v>Новый юношеский кандидат текущего снимка</x:v>
      </x:c>
      <x:c r="Y21" s="5" t="str">
        <x:v>История без разделения</x:v>
      </x:c>
      <x:c r="Z21" s="5"/>
      <x:c r="AA21" s="5"/>
      <x:c r="AB21" s="118"/>
      <x:c r="AC21" s="119"/>
      <x:c r="AD21" s="119"/>
      <x:c r="AE21" s="5"/>
      <x:c r="AF21" s="5" t="str">
        <x:v>BetsAPI event ID 12471952; итоговый отчёт 13.10.2026, № 18</x:v>
      </x:c>
      <x:c r="AG21" s="5" t="str">
        <x:v>До правила топ-5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 t="str">
        <x:v>4-3</x:v>
      </x:c>
      <x:c r="U22" s="80" t="str">
        <x:v>Выигрыш</x:v>
      </x:c>
      <x:c r="V22" s="89" t="n">
        <x:f>IF(A22="","",IF(U22="","",IF(U22="Выигрыш",J22-1,IF(U22="Полувыигрыш",(J22-1)/2,IF(U22="Возврат",0,IF(U22="Полупроигрыш",-0.5,IF(U22="Поражение",-1,"Проверить результат")))))))</x:f>
        <x:v>0.8500000000000001</x:v>
      </x:c>
      <x:c r="W22" s="80" t="str">
        <x:f>IF(A22="","",IF(U22="","Открыт",IF(ISNUMBER(V22),"Рассчитан","Проверить результат")))</x:f>
        <x:v>Рассчитан</x:v>
      </x:c>
      <x:c r="X22" s="98" t="str">
        <x:v>Быстрый live-отбор 21:27 МСК; при ровно двух дополнительных голах ТБ 2,25 даёт полуминус</x:v>
      </x:c>
      <x:c r="Y22" s="5" t="str">
        <x:v>История без разделения</x:v>
      </x:c>
      <x:c r="Z22" s="5"/>
      <x:c r="AA22" s="5"/>
      <x:c r="AB22" s="118"/>
      <x:c r="AC22" s="119"/>
      <x:c r="AD22" s="119"/>
      <x:c r="AE22" s="5"/>
      <x:c r="AF22" s="5" t="str">
        <x:v>BetsAPI event ID 12407691; итоговый отчёт 13.10.2026, № 19</x:v>
      </x:c>
      <x:c r="AG22" s="5" t="str">
        <x:v>До правила топ-5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 t="str">
        <x:v>0-0</x:v>
      </x:c>
      <x:c r="U23" s="80" t="str">
        <x:v>Поражение</x:v>
      </x:c>
      <x:c r="V23" s="89" t="n">
        <x:f>IF(A23="","",IF(U23="","",IF(U23="Выигрыш",J23-1,IF(U23="Полувыигрыш",(J23-1)/2,IF(U23="Возврат",0,IF(U23="Полупроигрыш",-0.5,IF(U23="Поражение",-1,"Проверить результат")))))))</x:f>
        <x:v>-1</x:v>
      </x:c>
      <x:c r="W23" s="80" t="str">
        <x:f>IF(A23="","",IF(U23="","Открыт",IF(ISNUMBER(V23),"Рассчитан","Проверить результат")))</x:f>
        <x:v>Рассчитан</x:v>
      </x:c>
      <x:c r="X23" s="98" t="str">
        <x:v>Быстрый live-отбор 21:27 МСК</x:v>
      </x:c>
      <x:c r="Y23" s="5" t="str">
        <x:v>История без разделения</x:v>
      </x:c>
      <x:c r="Z23" s="5"/>
      <x:c r="AA23" s="5"/>
      <x:c r="AB23" s="118"/>
      <x:c r="AC23" s="119"/>
      <x:c r="AD23" s="119"/>
      <x:c r="AE23" s="5"/>
      <x:c r="AF23" s="5" t="str">
        <x:v>BetsAPI event ID 12403135; итоговый отчёт 13.10.2026, № 20</x:v>
      </x:c>
      <x:c r="AG23" s="5" t="str">
        <x:v>До правила топ-5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 t="str">
        <x:v>5-6</x:v>
      </x:c>
      <x:c r="U24" s="80" t="str">
        <x:v>Выигрыш</x:v>
      </x:c>
      <x:c r="V24" s="89" t="n">
        <x:f>IF(A24="","",IF(U24="","",IF(U24="Выигрыш",J24-1,IF(U24="Полувыигрыш",(J24-1)/2,IF(U24="Возврат",0,IF(U24="Полупроигрыш",-0.5,IF(U24="Поражение",-1,"Проверить результат")))))))</x:f>
        <x:v>0.75</x:v>
      </x:c>
      <x:c r="W24" s="80" t="str">
        <x:f>IF(A24="","",IF(U24="","Открыт",IF(ISNUMBER(V24),"Рассчитан","Проверить результат")))</x:f>
        <x:v>Рассчитан</x:v>
      </x:c>
      <x:c r="X24" s="98" t="str">
        <x:v>Быстрый live-отбор 21:27 МСК; повышенный риск после пяти ранних голов</x:v>
      </x:c>
      <x:c r="Y24" s="5" t="str">
        <x:v>История без разделения</x:v>
      </x:c>
      <x:c r="Z24" s="5"/>
      <x:c r="AA24" s="5"/>
      <x:c r="AB24" s="118"/>
      <x:c r="AC24" s="119"/>
      <x:c r="AD24" s="119"/>
      <x:c r="AE24" s="5"/>
      <x:c r="AF24" s="5" t="str">
        <x:v>BetsAPI event ID 12403105; итоговый отчёт 13.10.2026, № 21</x:v>
      </x:c>
      <x:c r="AG24" s="5" t="str">
        <x:v>До правила топ-5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 t="str">
        <x:v>1-0</x:v>
      </x:c>
      <x:c r="U25" s="80" t="str">
        <x:v>Поражение</x:v>
      </x:c>
      <x:c r="V25" s="89" t="n">
        <x:f>IF(A25="","",IF(U25="","",IF(U25="Выигрыш",J25-1,IF(U25="Полувыигрыш",(J25-1)/2,IF(U25="Возврат",0,IF(U25="Полупроигрыш",-0.5,IF(U25="Поражение",-1,"Проверить результат")))))))</x:f>
        <x:v>-1</x:v>
      </x:c>
      <x:c r="W25" s="80" t="str">
        <x:f>IF(A25="","",IF(U25="","Открыт",IF(ISNUMBER(V25),"Рассчитан","Проверить результат")))</x:f>
        <x:v>Рассчитан</x:v>
      </x:c>
      <x:c r="X25" s="98" t="str">
        <x:v>Быстрый live-отбор 21:27 МСК; два дополнительных гола дают полувыигрыш</x:v>
      </x:c>
      <x:c r="Y25" s="5" t="str">
        <x:v>История без разделения</x:v>
      </x:c>
      <x:c r="Z25" s="5"/>
      <x:c r="AA25" s="5"/>
      <x:c r="AB25" s="118"/>
      <x:c r="AC25" s="119"/>
      <x:c r="AD25" s="119"/>
      <x:c r="AE25" s="5"/>
      <x:c r="AF25" s="5" t="str">
        <x:v>BetsAPI event ID 13217859; итоговый отчёт 13.10.2026, № 22</x:v>
      </x:c>
      <x:c r="AG25" s="5" t="str">
        <x:v>До правила топ-5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 t="str">
        <x:v>2-2</x:v>
      </x:c>
      <x:c r="U26" s="80" t="str">
        <x:v>Возврат</x:v>
      </x:c>
      <x:c r="V26" s="89" t="n">
        <x:f>IF(A26="","",IF(U26="","",IF(U26="Выигрыш",J26-1,IF(U26="Полувыигрыш",(J26-1)/2,IF(U26="Возврат",0,IF(U26="Полупроигрыш",-0.5,IF(U26="Поражение",-1,"Проверить результат")))))))</x:f>
        <x:v>0</x:v>
      </x:c>
      <x:c r="W26" s="80" t="str">
        <x:f>IF(A26="","",IF(U26="","Открыт",IF(ISNUMBER(V26),"Рассчитан","Проверить результат")))</x:f>
        <x:v>Рассчитан</x:v>
      </x:c>
      <x:c r="X26" s="98" t="str">
        <x:v>Лучший текущий сценарий снимка; быстрый live-отбор 21:27 МСК</x:v>
      </x:c>
      <x:c r="Y26" s="5" t="str">
        <x:v>История без разделения</x:v>
      </x:c>
      <x:c r="Z26" s="5"/>
      <x:c r="AA26" s="5"/>
      <x:c r="AB26" s="118"/>
      <x:c r="AC26" s="119"/>
      <x:c r="AD26" s="119"/>
      <x:c r="AE26" s="5"/>
      <x:c r="AF26" s="5" t="str">
        <x:v>BetsAPI event ID 12375322; итоговый отчёт 13.10.2026, № 23</x:v>
      </x:c>
      <x:c r="AG26" s="5" t="str">
        <x:v>До правила топ-5</x:v>
      </x:c>
    </x:row>
    <x:row r="27">
      <x:c r="A27" s="80" t="n">
        <x:v>22</x:v>
      </x:c>
      <x:c r="B27" s="80" t="str">
        <x:v>12407688</x:v>
      </x:c>
      <x:c r="C27" s="83" t="str">
        <x:v>13.10.2026 21:37</x:v>
      </x:c>
      <x:c r="D27" s="80" t="str">
        <x:v>Англия - Трофей Английской лиги</x:v>
      </x:c>
      <x:c r="E27" s="80" t="str">
        <x:v>Олдем - Лидс U21</x:v>
      </x:c>
      <x:c r="F27" s="86" t="n">
        <x:v>37</x:v>
      </x:c>
      <x:c r="G27" s="80" t="str">
        <x:v>1:1</x:v>
      </x:c>
      <x:c r="H27" s="95" t="str">
        <x:v>Открытый обмен при высокой фактической угрозе и инициативе молодёжного Лидса</x:v>
      </x:c>
      <x:c r="I27" s="95" t="str">
        <x:v>ТБ 4,25 всего матча</x:v>
      </x:c>
      <x:c r="J27" s="96" t="n">
        <x:v>2</x:v>
      </x:c>
      <x:c r="K27" s="97" t="n">
        <x:v>3</x:v>
      </x:c>
      <x:c r="L27" s="98" t="str">
        <x:v>Владение 36:64; удары 10; в створ 4; угловые 6; xG 1,12:0,83</x:v>
      </x:c>
      <x:c r="M27" s="98" t="str">
        <x:v>Один свежий снимок; раздельная динамика за 10–15 минут недоступна</x:v>
      </x:c>
      <x:c r="N27" s="98" t="str">
        <x:v>Суммарный xG 1,95 и шесть угловых к 37-й минуте; счёт остаётся конкурентным</x:v>
      </x:c>
      <x:c r="O27" s="98" t="str">
        <x:v>Высокая линия; для полного выигрыша нужны ещё три гола</x:v>
      </x:c>
      <x:c r="P27" s="98" t="str">
        <x:v>Высокая</x:v>
      </x:c>
      <x:c r="Q27" s="80" t="str">
        <x:v>ПОДХОДИТ В LIVE</x:v>
      </x:c>
      <x:c r="R27" s="80" t="str">
        <x:v>ТБ live v1 от 13.10.2026</x:v>
      </x:c>
      <x:c r="S27" s="80" t="str">
        <x:v>BetsAPI / Bet365</x:v>
      </x:c>
      <x:c r="T27" s="80" t="str">
        <x:v>4-2</x:v>
      </x:c>
      <x:c r="U27" s="80" t="str">
        <x:v>Выигрыш</x:v>
      </x:c>
      <x:c r="V27" s="89" t="n">
        <x:f>IF(A27="","",IF(U27="","",IF(U27="Выигрыш",J27-1,IF(U27="Полувыигрыш",(J27-1)/2,IF(U27="Возврат",0,IF(U27="Полупроигрыш",-0.5,IF(U27="Поражение",-1,"Проверить результат")))))))</x:f>
        <x:v>1</x:v>
      </x:c>
      <x:c r="W27" s="80" t="str">
        <x:f>IF(A27="","",IF(U27="","Открыт",IF(ISNUMBER(V27),"Рассчитан","Проверить результат")))</x:f>
        <x:v>Рассчитан</x:v>
      </x:c>
      <x:c r="X27" s="98" t="str">
        <x:v>Быстрый live-отбор 21:37 МСК; один из трёх лучших кандидатов снимка</x:v>
      </x:c>
      <x:c r="Y27" s="5" t="str">
        <x:v>История без разделения</x:v>
      </x:c>
      <x:c r="Z27" s="5"/>
      <x:c r="AA27" s="5"/>
      <x:c r="AB27" s="118"/>
      <x:c r="AC27" s="119"/>
      <x:c r="AD27" s="119"/>
      <x:c r="AE27" s="5"/>
      <x:c r="AF27" s="5" t="str">
        <x:v>BetsAPI event ID 12407688; итоговый отчёт 13.10.2026, № 24</x:v>
      </x:c>
      <x:c r="AG27" s="5" t="str">
        <x:v>До правила топ-5</x:v>
      </x:c>
    </x:row>
    <x:row r="28">
      <x:c r="A28" s="80" t="n">
        <x:v>23</x:v>
      </x:c>
      <x:c r="B28" s="80" t="str">
        <x:v>13285866</x:v>
      </x:c>
      <x:c r="C28" s="83" t="str">
        <x:v>13.10.2026 21:37</x:v>
      </x:c>
      <x:c r="D28" s="80" t="str">
        <x:v>Бразилия - Кубок Гояс U20</x:v>
      </x:c>
      <x:c r="E28" s="80" t="str">
        <x:v>Апаресида U20 - Итаусу U20</x:v>
      </x:c>
      <x:c r="F28" s="86" t="n">
        <x:v>38</x:v>
      </x:c>
      <x:c r="G28" s="80" t="str">
        <x:v>0:1</x:v>
      </x:c>
      <x:c r="H28" s="95" t="str">
        <x:v>Двусторонняя активность сохраняется, хозяева вынуждены отыгрываться</x:v>
      </x:c>
      <x:c r="I28" s="95" t="str">
        <x:v>ТБ 2,75 всего матча</x:v>
      </x:c>
      <x:c r="J28" s="96" t="n">
        <x:v>1.825</x:v>
      </x:c>
      <x:c r="K28" s="97" t="n">
        <x:v>3</x:v>
      </x:c>
      <x:c r="L28" s="98" t="str">
        <x:v>Удары 9; в створ 5; угловые 3; опасные атаки 23:24</x:v>
      </x:c>
      <x:c r="M28" s="98" t="str">
        <x:v>Один свежий снимок; раздельная динамика за 10–15 минут недоступна</x:v>
      </x:c>
      <x:c r="N28" s="98" t="str">
        <x:v>Пять ударов в створ и равная атакующая активность; молодёжный турнир</x:v>
      </x:c>
      <x:c r="O28" s="98" t="str">
        <x:v>Два дополнительных гола дают только полувыигрыш; xG недоступен</x:v>
      </x:c>
      <x:c r="P28" s="98" t="str">
        <x:v>Средняя</x:v>
      </x:c>
      <x:c r="Q28" s="80" t="str">
        <x:v>ПОДХОДИТ В LIVE</x:v>
      </x:c>
      <x:c r="R28" s="80" t="str">
        <x:v>ТБ live v1 от 13.10.2026</x:v>
      </x:c>
      <x:c r="S28" s="80" t="str">
        <x:v>BetsAPI / Bet365</x:v>
      </x:c>
      <x:c r="T28" s="80" t="str">
        <x:v>2-3</x:v>
      </x:c>
      <x:c r="U28" s="80" t="str">
        <x:v>Выигрыш</x:v>
      </x:c>
      <x:c r="V28" s="89" t="n">
        <x:f>IF(A28="","",IF(U28="","",IF(U28="Выигрыш",J28-1,IF(U28="Полувыигрыш",(J28-1)/2,IF(U28="Возврат",0,IF(U28="Полупроигрыш",-0.5,IF(U28="Поражение",-1,"Проверить результат")))))))</x:f>
        <x:v>0.825</x:v>
      </x:c>
      <x:c r="W28" s="80" t="str">
        <x:f>IF(A28="","",IF(U28="","Открыт",IF(ISNUMBER(V28),"Рассчитан","Проверить результат")))</x:f>
        <x:v>Рассчитан</x:v>
      </x:c>
      <x:c r="X28" s="98" t="str">
        <x:v>Быстрый live-отбор 21:37 МСК; один из трёх лучших кандидатов снимка</x:v>
      </x:c>
      <x:c r="Y28" s="5" t="str">
        <x:v>История без разделения</x:v>
      </x:c>
      <x:c r="Z28" s="5"/>
      <x:c r="AA28" s="5"/>
      <x:c r="AB28" s="118"/>
      <x:c r="AC28" s="119"/>
      <x:c r="AD28" s="119"/>
      <x:c r="AE28" s="5"/>
      <x:c r="AF28" s="5" t="str">
        <x:v>BetsAPI event ID 13285866; итоговый отчёт 13.10.2026, № 25</x:v>
      </x:c>
      <x:c r="AG28" s="5" t="str">
        <x:v>До правила топ-5</x:v>
      </x:c>
    </x:row>
    <x:row r="29">
      <x:c r="A29" s="80" t="n">
        <x:v>24</x:v>
      </x:c>
      <x:c r="B29" s="80" t="str">
        <x:v>12403337</x:v>
      </x:c>
      <x:c r="C29" s="83" t="str">
        <x:v>13.10.2026 21:37</x:v>
      </x:c>
      <x:c r="D29" s="80" t="str">
        <x:v>Англия - Кубок Национальной лиги</x:v>
      </x:c>
      <x:c r="E29" s="80" t="str">
        <x:v>Хартлпул - Ньюкасл U21</x:v>
      </x:c>
      <x:c r="F29" s="86" t="n">
        <x:v>37</x:v>
      </x:c>
      <x:c r="G29" s="80" t="str">
        <x:v>1:2</x:v>
      </x:c>
      <x:c r="H29" s="95" t="str">
        <x:v>Конкурентный счёт и высокая двусторонняя ударная активность</x:v>
      </x:c>
      <x:c r="I29" s="95" t="str">
        <x:v>ТБ 5,25 всего матча</x:v>
      </x:c>
      <x:c r="J29" s="96" t="n">
        <x:v>1.95</x:v>
      </x:c>
      <x:c r="K29" s="97" t="n">
        <x:v>3</x:v>
      </x:c>
      <x:c r="L29" s="98" t="str">
        <x:v>Удары 12; в створ 6; угловые 5; опасные атаки 18:13</x:v>
      </x:c>
      <x:c r="M29" s="98" t="str">
        <x:v>Один свежий снимок; раздельная динамика за 10–15 минут недоступна</x:v>
      </x:c>
      <x:c r="N29" s="98" t="str">
        <x:v>Шесть ударов в створ и пять угловых; отстающий Хартлпул сохраняет мотивацию</x:v>
      </x:c>
      <x:c r="O29" s="98" t="str">
        <x:v>Линия уже учитывает три ранних гола; нужны ещё три гола</x:v>
      </x:c>
      <x:c r="P29" s="98" t="str">
        <x:v>Средняя</x:v>
      </x:c>
      <x:c r="Q29" s="80" t="str">
        <x:v>ПОДХОДИТ В LIVE</x:v>
      </x:c>
      <x:c r="R29" s="80" t="str">
        <x:v>ТБ live v1 от 13.10.2026</x:v>
      </x:c>
      <x:c r="S29" s="80" t="str">
        <x:v>BetsAPI / Bet365</x:v>
      </x:c>
      <x:c r="T29" s="80" t="str">
        <x:v>1-2</x:v>
      </x:c>
      <x:c r="U29" s="80" t="str">
        <x:v>Поражение</x:v>
      </x:c>
      <x:c r="V29" s="89" t="n">
        <x:f>IF(A29="","",IF(U29="","",IF(U29="Выигрыш",J29-1,IF(U29="Полувыигрыш",(J29-1)/2,IF(U29="Возврат",0,IF(U29="Полупроигрыш",-0.5,IF(U29="Поражение",-1,"Проверить результат")))))))</x:f>
        <x:v>-1</x:v>
      </x:c>
      <x:c r="W29" s="80" t="str">
        <x:f>IF(A29="","",IF(U29="","Открыт",IF(ISNUMBER(V29),"Рассчитан","Проверить результат")))</x:f>
        <x:v>Рассчитан</x:v>
      </x:c>
      <x:c r="X29" s="98" t="str">
        <x:v>Быстрый live-отбор 21:37 МСК; риск высокой линии</x:v>
      </x:c>
      <x:c r="Y29" s="5" t="str">
        <x:v>История без разделения</x:v>
      </x:c>
      <x:c r="Z29" s="5"/>
      <x:c r="AA29" s="5"/>
      <x:c r="AB29" s="118"/>
      <x:c r="AC29" s="119"/>
      <x:c r="AD29" s="119"/>
      <x:c r="AE29" s="5"/>
      <x:c r="AF29" s="5" t="str">
        <x:v>BetsAPI event ID 12403337; итоговый отчёт 13.10.2026, № 26</x:v>
      </x:c>
      <x:c r="AG29" s="5" t="str">
        <x:v>До правила топ-5</x:v>
      </x:c>
    </x:row>
    <x:row r="30">
      <x:c r="A30" s="80" t="n">
        <x:v>25</x:v>
      </x:c>
      <x:c r="B30" s="80" t="str">
        <x:v>12403104</x:v>
      </x:c>
      <x:c r="C30" s="83" t="str">
        <x:v>13.10.2026 21:37</x:v>
      </x:c>
      <x:c r="D30" s="80" t="str">
        <x:v>Англия - Кубок Национальной лиги</x:v>
      </x:c>
      <x:c r="E30" s="80" t="str">
        <x:v>Саттон Юнайтед - Вест Бромвич U21</x:v>
      </x:c>
      <x:c r="F30" s="86" t="n">
        <x:v>37</x:v>
      </x:c>
      <x:c r="G30" s="80" t="str">
        <x:v>2:1</x:v>
      </x:c>
      <x:c r="H30" s="95" t="str">
        <x:v>Саттон продолжает создавать моменты при конкурентном счёте</x:v>
      </x:c>
      <x:c r="I30" s="95" t="str">
        <x:v>ТБ 5,25 всего матча</x:v>
      </x:c>
      <x:c r="J30" s="96" t="n">
        <x:v>1.825</x:v>
      </x:c>
      <x:c r="K30" s="97" t="n">
        <x:v>3</x:v>
      </x:c>
      <x:c r="L30" s="98" t="str">
        <x:v>Удары 9; в створ 6; угловые 6; опасные атаки 29:6</x:v>
      </x:c>
      <x:c r="M30" s="98" t="str">
        <x:v>Один свежий снимок; раздельная динамика за 10–15 минут недоступна</x:v>
      </x:c>
      <x:c r="N30" s="98" t="str">
        <x:v>Шесть ударов в створ и явное территориальное давление Саттона</x:v>
      </x:c>
      <x:c r="O30" s="98" t="str">
        <x:v>Высокая линия; активность гостей слабая; нужны ещё три гола</x:v>
      </x:c>
      <x:c r="P30" s="98" t="str">
        <x:v>Средняя</x:v>
      </x:c>
      <x:c r="Q30" s="80" t="str">
        <x:v>ПОДХОДИТ В LIVE</x:v>
      </x:c>
      <x:c r="R30" s="80" t="str">
        <x:v>ТБ live v1 от 13.10.2026</x:v>
      </x:c>
      <x:c r="S30" s="80" t="str">
        <x:v>BetsAPI / Bet365</x:v>
      </x:c>
      <x:c r="T30" s="80" t="str">
        <x:v>3-2</x:v>
      </x:c>
      <x:c r="U30" s="80" t="str">
        <x:v>Полупроигрыш</x:v>
      </x:c>
      <x:c r="V30" s="89" t="n">
        <x:f>IF(A30="","",IF(U30="","",IF(U30="Выигрыш",J30-1,IF(U30="Полувыигрыш",(J30-1)/2,IF(U30="Возврат",0,IF(U30="Полупроигрыш",-0.5,IF(U30="Поражение",-1,"Проверить результат")))))))</x:f>
        <x:v>-0.5</x:v>
      </x:c>
      <x:c r="W30" s="80" t="str">
        <x:f>IF(A30="","",IF(U30="","Открыт",IF(ISNUMBER(V30),"Рассчитан","Проверить результат")))</x:f>
        <x:v>Рассчитан</x:v>
      </x:c>
      <x:c r="X30" s="98" t="str">
        <x:v>Быстрый live-отбор 21:37 МСК; риск высокой линии</x:v>
      </x:c>
      <x:c r="Y30" s="5" t="str">
        <x:v>История без разделения</x:v>
      </x:c>
      <x:c r="Z30" s="5"/>
      <x:c r="AA30" s="5"/>
      <x:c r="AB30" s="118"/>
      <x:c r="AC30" s="119"/>
      <x:c r="AD30" s="119"/>
      <x:c r="AE30" s="5"/>
      <x:c r="AF30" s="5" t="str">
        <x:v>BetsAPI event ID 12403104; итоговый отчёт 13.10.2026, № 27</x:v>
      </x:c>
      <x:c r="AG30" s="5" t="str">
        <x:v>До правила топ-5</x:v>
      </x:c>
    </x:row>
    <x:row r="31">
      <x:c r="A31" s="80" t="n">
        <x:v>26</x:v>
      </x:c>
      <x:c r="B31" s="80" t="str">
        <x:v>12319683</x:v>
      </x:c>
      <x:c r="C31" s="83" t="str">
        <x:v>13.10.2026 21:37</x:v>
      </x:c>
      <x:c r="D31" s="80" t="str">
        <x:v>ЮАР - Премьер-лига</x:v>
      </x:c>
      <x:c r="E31" s="80" t="str">
        <x:v>Дурбан Сити - Амазулу</x:v>
      </x:c>
      <x:c r="F31" s="86" t="n">
        <x:v>47</x:v>
      </x:c>
      <x:c r="G31" s="80" t="str">
        <x:v>0:2</x:v>
      </x:c>
      <x:c r="H31" s="95" t="str">
        <x:v>Дурбан вынужден раскрываться после двух пропущенных голов</x:v>
      </x:c>
      <x:c r="I31" s="95" t="str">
        <x:v>ТБ 3,25 всего матча</x:v>
      </x:c>
      <x:c r="J31" s="96" t="n">
        <x:v>1.975</x:v>
      </x:c>
      <x:c r="K31" s="97" t="n">
        <x:v>2</x:v>
      </x:c>
      <x:c r="L31" s="98" t="str">
        <x:v>Удары 9; в створ 4; угловые 7; опасные атаки 40:33</x:v>
      </x:c>
      <x:c r="M31" s="98" t="str">
        <x:v>Один свежий снимок; раздельная динамика за 10–15 минут недоступна</x:v>
      </x:c>
      <x:c r="N31" s="98" t="str">
        <x:v>Семь угловых и 73 опасные атаки; два дополнительных гола дают полный выигрыш</x:v>
      </x:c>
      <x:c r="O31" s="98" t="str">
        <x:v>Все четыре удара в створ у Амазулу; атакующая эффективность хозяев пока слабая</x:v>
      </x:c>
      <x:c r="P31" s="98" t="str">
        <x:v>Средняя</x:v>
      </x:c>
      <x:c r="Q31" s="80" t="str">
        <x:v>ПОДХОДИТ В LIVE</x:v>
      </x:c>
      <x:c r="R31" s="80" t="str">
        <x:v>ТБ live v1 от 13.10.2026</x:v>
      </x:c>
      <x:c r="S31" s="80" t="str">
        <x:v>BetsAPI / Bet365</x:v>
      </x:c>
      <x:c r="T31" s="80" t="str">
        <x:v>1-2</x:v>
      </x:c>
      <x:c r="U31" s="80" t="str">
        <x:v>Полупроигрыш</x:v>
      </x:c>
      <x:c r="V31" s="89" t="n">
        <x:f>IF(A31="","",IF(U31="","",IF(U31="Выигрыш",J31-1,IF(U31="Полувыигрыш",(J31-1)/2,IF(U31="Возврат",0,IF(U31="Полупроигрыш",-0.5,IF(U31="Поражение",-1,"Проверить результат")))))))</x:f>
        <x:v>-0.5</x:v>
      </x:c>
      <x:c r="W31" s="80" t="str">
        <x:f>IF(A31="","",IF(U31="","Открыт",IF(ISNUMBER(V31),"Рассчитан","Проверить результат")))</x:f>
        <x:v>Рассчитан</x:v>
      </x:c>
      <x:c r="X31" s="98" t="str">
        <x:v>Быстрый live-отбор 21:37 МСК; один из трёх лучших кандидатов снимка</x:v>
      </x:c>
      <x:c r="Y31" s="5" t="str">
        <x:v>История без разделения</x:v>
      </x:c>
      <x:c r="Z31" s="5"/>
      <x:c r="AA31" s="5"/>
      <x:c r="AB31" s="118"/>
      <x:c r="AC31" s="119"/>
      <x:c r="AD31" s="119"/>
      <x:c r="AE31" s="5"/>
      <x:c r="AF31" s="5" t="str">
        <x:v>BetsAPI event ID 12319683; итоговый отчёт 13.10.2026, № 28</x:v>
      </x:c>
      <x:c r="AG31" s="5" t="str">
        <x:v>До правила топ-5</x:v>
      </x:c>
    </x:row>
    <x:row r="32">
      <x:c r="A32" s="80" t="n">
        <x:v>27</x:v>
      </x:c>
      <x:c r="B32" s="80" t="str">
        <x:v>12319678</x:v>
      </x:c>
      <x:c r="C32" s="83" t="str">
        <x:v>13.10.2026 21:37</x:v>
      </x:c>
      <x:c r="D32" s="80" t="str">
        <x:v>ЮАР - Премьер-лига</x:v>
      </x:c>
      <x:c r="E32" s="80" t="str">
        <x:v>Ричардс-Бей - Мамелоди Сандаунс</x:v>
      </x:c>
      <x:c r="F32" s="86" t="n">
        <x:v>47</x:v>
      </x:c>
      <x:c r="G32" s="80" t="str">
        <x:v>1:2</x:v>
      </x:c>
      <x:c r="H32" s="95" t="str">
        <x:v>Доминирующий Мамелоди сохраняет давление при незакрытом счёте</x:v>
      </x:c>
      <x:c r="I32" s="95" t="str">
        <x:v>ТБ 4,5 всего матча</x:v>
      </x:c>
      <x:c r="J32" s="96" t="n">
        <x:v>1.9</x:v>
      </x:c>
      <x:c r="K32" s="97" t="n">
        <x:v>2</x:v>
      </x:c>
      <x:c r="L32" s="98" t="str">
        <x:v>Владение 23:77; в створ 2:3; угловые 1:5; xG 0,32:1,07; ключевые передачи 1:13</x:v>
      </x:c>
      <x:c r="M32" s="98" t="str">
        <x:v>Один свежий снимок; раздельная динамика за 10–15 минут недоступна</x:v>
      </x:c>
      <x:c r="N32" s="98" t="str">
        <x:v>Мамелоди полностью контролирует игру; для выигрыша нужны ещё два гола</x:v>
      </x:c>
      <x:c r="O32" s="98" t="str">
        <x:v>Линия требует пять итоговых голов; хозяева почти не создают</x:v>
      </x:c>
      <x:c r="P32" s="98" t="str">
        <x:v>Высокая</x:v>
      </x:c>
      <x:c r="Q32" s="80" t="str">
        <x:v>ПОДХОДИТ В LIVE</x:v>
      </x:c>
      <x:c r="R32" s="80" t="str">
        <x:v>ТБ live v1 от 13.10.2026</x:v>
      </x:c>
      <x:c r="S32" s="80" t="str">
        <x:v>BetsAPI / Bet365</x:v>
      </x:c>
      <x:c r="T32" s="80" t="str">
        <x:v>1-4</x:v>
      </x:c>
      <x:c r="U32" s="80" t="str">
        <x:v>Выигрыш</x:v>
      </x:c>
      <x:c r="V32" s="89" t="n">
        <x:f>IF(A32="","",IF(U32="","",IF(U32="Выигрыш",J32-1,IF(U32="Полувыигрыш",(J32-1)/2,IF(U32="Возврат",0,IF(U32="Полупроигрыш",-0.5,IF(U32="Поражение",-1,"Проверить результат")))))))</x:f>
        <x:v>0.8999999999999999</x:v>
      </x:c>
      <x:c r="W32" s="80" t="str">
        <x:f>IF(A32="","",IF(U32="","Открыт",IF(ISNUMBER(V32),"Рассчитан","Проверить результат")))</x:f>
        <x:v>Рассчитан</x:v>
      </x:c>
      <x:c r="X32" s="98" t="str">
        <x:v>Быстрый live-отбор 21:37 МСК</x:v>
      </x:c>
      <x:c r="Y32" s="5" t="str">
        <x:v>История без разделения</x:v>
      </x:c>
      <x:c r="Z32" s="5"/>
      <x:c r="AA32" s="5"/>
      <x:c r="AB32" s="118"/>
      <x:c r="AC32" s="119"/>
      <x:c r="AD32" s="119"/>
      <x:c r="AE32" s="5"/>
      <x:c r="AF32" s="5" t="str">
        <x:v>BetsAPI event ID 12319678; итоговый отчёт 13.10.2026, № 29</x:v>
      </x:c>
      <x:c r="AG32" s="5" t="str">
        <x:v>До правила топ-5</x:v>
      </x:c>
    </x:row>
    <x:row r="33">
      <x:c r="A33" s="80" t="n">
        <x:v>28</x:v>
      </x:c>
      <x:c r="B33" s="80" t="str">
        <x:v>13246864</x:v>
      </x:c>
      <x:c r="C33" s="83" t="str">
        <x:v>13.10.2026 21:37</x:v>
      </x:c>
      <x:c r="D33" s="80" t="str">
        <x:v>Марокко - Ботола</x:v>
      </x:c>
      <x:c r="E33" s="80" t="str">
        <x:v>РСБ Беркан - Ренессанс Земамра</x:v>
      </x:c>
      <x:c r="F33" s="86" t="n">
        <x:v>37</x:v>
      </x:c>
      <x:c r="G33" s="80" t="str">
        <x:v>0:2</x:v>
      </x:c>
      <x:c r="H33" s="95" t="str">
        <x:v>Беркан уступает два мяча, но продолжает владеть инициативой</x:v>
      </x:c>
      <x:c r="I33" s="95" t="str">
        <x:v>ТБ 3,75 всего матча</x:v>
      </x:c>
      <x:c r="J33" s="96" t="n">
        <x:v>1.975</x:v>
      </x:c>
      <x:c r="K33" s="97" t="n">
        <x:v>3</x:v>
      </x:c>
      <x:c r="L33" s="98" t="str">
        <x:v>Владение 68:32; удары 9; в створ 3; угловые 3; опасные атаки 31:9</x:v>
      </x:c>
      <x:c r="M33" s="98" t="str">
        <x:v>Один свежий снимок; раздельная динамика за 10–15 минут недоступна</x:v>
      </x:c>
      <x:c r="N33" s="98" t="str">
        <x:v>Проигрывающий фаворит давит и вынужден раскрываться</x:v>
      </x:c>
      <x:c r="O33" s="98" t="str">
        <x:v>Реализация моментов невысокая; два дополнительных гола дают только полувыигрыш</x:v>
      </x:c>
      <x:c r="P33" s="98" t="str">
        <x:v>Средняя</x:v>
      </x:c>
      <x:c r="Q33" s="80" t="str">
        <x:v>ПОДХОДИТ В LIVE</x:v>
      </x:c>
      <x:c r="R33" s="80" t="str">
        <x:v>ТБ live v1 от 13.10.2026</x:v>
      </x:c>
      <x:c r="S33" s="80" t="str">
        <x:v>BetsAPI / Bet365</x:v>
      </x:c>
      <x:c r="T33" s="80" t="str">
        <x:v>2-2</x:v>
      </x:c>
      <x:c r="U33" s="80" t="str">
        <x:v>Полувыигрыш</x:v>
      </x:c>
      <x:c r="V33" s="89" t="n">
        <x:f>IF(A33="","",IF(U33="","",IF(U33="Выигрыш",J33-1,IF(U33="Полувыигрыш",(J33-1)/2,IF(U33="Возврат",0,IF(U33="Полупроигрыш",-0.5,IF(U33="Поражение",-1,"Проверить результат")))))))</x:f>
        <x:v>0.48750000000000004</x:v>
      </x:c>
      <x:c r="W33" s="80" t="str">
        <x:f>IF(A33="","",IF(U33="","Открыт",IF(ISNUMBER(V33),"Рассчитан","Проверить результат")))</x:f>
        <x:v>Рассчитан</x:v>
      </x:c>
      <x:c r="X33" s="98" t="str">
        <x:v>Быстрый live-отбор 21:37 МСК</x:v>
      </x:c>
      <x:c r="Y33" s="5" t="str">
        <x:v>История без разделения</x:v>
      </x:c>
      <x:c r="Z33" s="5"/>
      <x:c r="AA33" s="5"/>
      <x:c r="AB33" s="118"/>
      <x:c r="AC33" s="119"/>
      <x:c r="AD33" s="119"/>
      <x:c r="AE33" s="5"/>
      <x:c r="AF33" s="5" t="str">
        <x:v>BetsAPI event ID 13246864; итоговый отчёт 13.10.2026, № 30</x:v>
      </x:c>
      <x:c r="AG33" s="5" t="str">
        <x:v>До правила топ-5</x:v>
      </x:c>
    </x:row>
    <x:row r="34">
      <x:c r="A34" s="80" t="n">
        <x:v>29</x:v>
      </x:c>
      <x:c r="B34" s="80" t="str">
        <x:v>13267993</x:v>
      </x:c>
      <x:c r="C34" s="83" t="str">
        <x:v>13.10.2026 21:37</x:v>
      </x:c>
      <x:c r="D34" s="80" t="str">
        <x:v>Бразилия - Чемпионат Пернамбуку U20</x:v>
      </x:c>
      <x:c r="E34" s="80" t="str">
        <x:v>Америка ПЕ U20 - Ретро U20</x:v>
      </x:c>
      <x:c r="F34" s="86" t="n">
        <x:v>40</x:v>
      </x:c>
      <x:c r="G34" s="80" t="str">
        <x:v>0:0</x:v>
      </x:c>
      <x:c r="H34" s="95" t="str">
        <x:v>Высокий объём атак при низкой линии тотала</x:v>
      </x:c>
      <x:c r="I34" s="95" t="str">
        <x:v>ТБ 1,75 всего матча</x:v>
      </x:c>
      <x:c r="J34" s="96" t="n">
        <x:v>1.775</x:v>
      </x:c>
      <x:c r="K34" s="97" t="n">
        <x:v>3</x:v>
      </x:c>
      <x:c r="L34" s="98" t="str">
        <x:v>Удары 12; в створ 2; опасные атаки 31:42; владение 47:53</x:v>
      </x:c>
      <x:c r="M34" s="98" t="str">
        <x:v>Один свежий снимок; раздельная динамика за 10–15 минут недоступна</x:v>
      </x:c>
      <x:c r="N34" s="98" t="str">
        <x:v>Двенадцать ударов и 73 опасные атаки; молодёжный матч; низкая линия</x:v>
      </x:c>
      <x:c r="O34" s="98" t="str">
        <x:v>Только два удара в створ; при двух итоговых голах будет лишь полувыигрыш</x:v>
      </x:c>
      <x:c r="P34" s="98" t="str">
        <x:v>Средняя</x:v>
      </x:c>
      <x:c r="Q34" s="80" t="str">
        <x:v>ПОДХОДИТ В LIVE</x:v>
      </x:c>
      <x:c r="R34" s="80" t="str">
        <x:v>ТБ live v1 от 13.10.2026</x:v>
      </x:c>
      <x:c r="S34" s="80" t="str">
        <x:v>BetsAPI / Bet365</x:v>
      </x:c>
      <x:c r="T34" s="80" t="str">
        <x:v>0-4</x:v>
      </x:c>
      <x:c r="U34" s="80" t="str">
        <x:v>Выигрыш</x:v>
      </x:c>
      <x:c r="V34" s="89" t="n">
        <x:f>IF(A34="","",IF(U34="","",IF(U34="Выигрыш",J34-1,IF(U34="Полувыигрыш",(J34-1)/2,IF(U34="Возврат",0,IF(U34="Полупроигрыш",-0.5,IF(U34="Поражение",-1,"Проверить результат")))))))</x:f>
        <x:v>0.7749999999999999</x:v>
      </x:c>
      <x:c r="W34" s="80" t="str">
        <x:f>IF(A34="","",IF(U34="","Открыт",IF(ISNUMBER(V34),"Рассчитан","Проверить результат")))</x:f>
        <x:v>Рассчитан</x:v>
      </x:c>
      <x:c r="X34" s="98" t="str">
        <x:v>Быстрый live-отбор 21:37 МСК; низкая точность ударов</x:v>
      </x:c>
      <x:c r="Y34" s="5" t="str">
        <x:v>История без разделения</x:v>
      </x:c>
      <x:c r="Z34" s="5"/>
      <x:c r="AA34" s="5"/>
      <x:c r="AB34" s="118"/>
      <x:c r="AC34" s="119"/>
      <x:c r="AD34" s="119"/>
      <x:c r="AE34" s="5"/>
      <x:c r="AF34" s="5" t="str">
        <x:v>BetsAPI event ID 13267993; итоговый отчёт 13.10.2026, № 31</x:v>
      </x:c>
      <x:c r="AG34" s="5" t="str">
        <x:v>До правила топ-5</x:v>
      </x:c>
    </x:row>
    <x:row r="35">
      <x:c r="A35" s="80" t="n">
        <x:v>30</x:v>
      </x:c>
      <x:c r="B35" s="80" t="str">
        <x:v>12159729</x:v>
      </x:c>
      <x:c r="C35" s="83" t="str">
        <x:v>13.10.2026 21:37</x:v>
      </x:c>
      <x:c r="D35" s="80" t="str">
        <x:v>Австрия - Земельная лига</x:v>
      </x:c>
      <x:c r="E35" s="80" t="str">
        <x:v>Лебринг - Шладминг</x:v>
      </x:c>
      <x:c r="F35" s="86" t="n">
        <x:v>49</x:v>
      </x:c>
      <x:c r="G35" s="80" t="str">
        <x:v>1:0</x:v>
      </x:c>
      <x:c r="H35" s="95" t="str">
        <x:v>Лебринг сохраняет преимущество по моментам, гости должны раскрываться</x:v>
      </x:c>
      <x:c r="I35" s="95" t="str">
        <x:v>ТБ 2,5 всего матча</x:v>
      </x:c>
      <x:c r="J35" s="96" t="n">
        <x:v>1.875</x:v>
      </x:c>
      <x:c r="K35" s="97" t="n">
        <x:v>2</x:v>
      </x:c>
      <x:c r="L35" s="98" t="str">
        <x:v>Владение 59:41; удары 13; в створ 3; угловые 3; опасные атаки 20:5</x:v>
      </x:c>
      <x:c r="M35" s="98" t="str">
        <x:v>Один свежий снимок; раздельная динамика за 10–15 минут недоступна</x:v>
      </x:c>
      <x:c r="N35" s="98" t="str">
        <x:v>Высокий объём ударов; ещё два гола дают полный выигрыш</x:v>
      </x:c>
      <x:c r="O35" s="98" t="str">
        <x:v>Только три удара в створ; Шладминг создаёт мало опасных атак</x:v>
      </x:c>
      <x:c r="P35" s="98" t="str">
        <x:v>Средняя</x:v>
      </x:c>
      <x:c r="Q35" s="80" t="str">
        <x:v>ПОДХОДИТ В LIVE</x:v>
      </x:c>
      <x:c r="R35" s="80" t="str">
        <x:v>ТБ live v1 от 13.10.2026</x:v>
      </x:c>
      <x:c r="S35" s="80" t="str">
        <x:v>BetsAPI / Bet365</x:v>
      </x:c>
      <x:c r="T35" s="80" t="str">
        <x:v>4-0</x:v>
      </x:c>
      <x:c r="U35" s="80" t="str">
        <x:v>Выигрыш</x:v>
      </x:c>
      <x:c r="V35" s="89" t="n">
        <x:f>IF(A35="","",IF(U35="","",IF(U35="Выигрыш",J35-1,IF(U35="Полувыигрыш",(J35-1)/2,IF(U35="Возврат",0,IF(U35="Полупроигрыш",-0.5,IF(U35="Поражение",-1,"Проверить результат")))))))</x:f>
        <x:v>0.875</x:v>
      </x:c>
      <x:c r="W35" s="80" t="str">
        <x:f>IF(A35="","",IF(U35="","Открыт",IF(ISNUMBER(V35),"Рассчитан","Проверить результат")))</x:f>
        <x:v>Рассчитан</x:v>
      </x:c>
      <x:c r="X35" s="98" t="str">
        <x:v>Быстрый live-отбор 21:37 МСК</x:v>
      </x:c>
      <x:c r="Y35" s="5" t="str">
        <x:v>История без разделения</x:v>
      </x:c>
      <x:c r="Z35" s="5"/>
      <x:c r="AA35" s="5"/>
      <x:c r="AB35" s="118"/>
      <x:c r="AC35" s="119"/>
      <x:c r="AD35" s="119"/>
      <x:c r="AE35" s="5"/>
      <x:c r="AF35" s="5" t="str">
        <x:v>BetsAPI event ID 12159729; итоговый отчёт 13.10.2026, № 32</x:v>
      </x:c>
      <x:c r="AG35" s="5" t="str">
        <x:v>До правила топ-5</x:v>
      </x:c>
    </x:row>
    <x:row r="36">
      <x:c r="A36" s="80" t="n">
        <x:v>31</x:v>
      </x:c>
      <x:c r="B36" s="80" t="str">
        <x:v>12063004</x:v>
      </x:c>
      <x:c r="C36" s="83" t="str">
        <x:v>13.10.2026 21:37</x:v>
      </x:c>
      <x:c r="D36" s="80" t="str">
        <x:v>Женщины - квалификация чемпионата мира</x:v>
      </x:c>
      <x:c r="E36" s="80" t="str">
        <x:v>Исландия - Хорватия</x:v>
      </x:c>
      <x:c r="F36" s="86" t="n">
        <x:v>51</x:v>
      </x:c>
      <x:c r="G36" s="80" t="str">
        <x:v>2:0</x:v>
      </x:c>
      <x:c r="H36" s="95" t="str">
        <x:v>Исландия полностью доминирует и продолжает создавать моменты</x:v>
      </x:c>
      <x:c r="I36" s="95" t="str">
        <x:v>ТБ 3,75 всего матча</x:v>
      </x:c>
      <x:c r="J36" s="96" t="n">
        <x:v>1.95</x:v>
      </x:c>
      <x:c r="K36" s="97" t="n">
        <x:v>3</x:v>
      </x:c>
      <x:c r="L36" s="98" t="str">
        <x:v>Владение 71:29; удары 12:0; в створ 5:0; угловые 7:0; опасные атаки 66:19</x:v>
      </x:c>
      <x:c r="M36" s="98" t="str">
        <x:v>Один свежий снимок; раздельная динамика за 10–15 минут недоступна</x:v>
      </x:c>
      <x:c r="N36" s="98" t="str">
        <x:v>Полное статистическое превосходство Исландии; семь угловых и пять ударов в створ</x:v>
      </x:c>
      <x:c r="O36" s="98" t="str">
        <x:v>Сценарий односторонний; два дополнительных гола дают только полувыигрыш; 51-я минута</x:v>
      </x:c>
      <x:c r="P36" s="98" t="str">
        <x:v>Высокая</x:v>
      </x:c>
      <x:c r="Q36" s="80" t="str">
        <x:v>ПОДХОДИТ В LIVE</x:v>
      </x:c>
      <x:c r="R36" s="80" t="str">
        <x:v>ТБ live v1 от 13.10.2026</x:v>
      </x:c>
      <x:c r="S36" s="80" t="str">
        <x:v>BetsAPI / Bet365</x:v>
      </x:c>
      <x:c r="T36" s="80" t="str">
        <x:v>5-0</x:v>
      </x:c>
      <x:c r="U36" s="80" t="str">
        <x:v>Выигрыш</x:v>
      </x:c>
      <x:c r="V36" s="89" t="n">
        <x:f>IF(A36="","",IF(U36="","",IF(U36="Выигрыш",J36-1,IF(U36="Полувыигрыш",(J36-1)/2,IF(U36="Возврат",0,IF(U36="Полупроигрыш",-0.5,IF(U36="Поражение",-1,"Проверить результат")))))))</x:f>
        <x:v>0.95</x:v>
      </x:c>
      <x:c r="W36" s="80" t="str">
        <x:f>IF(A36="","",IF(U36="","Открыт",IF(ISNUMBER(V36),"Рассчитан","Проверить результат")))</x:f>
        <x:v>Рассчитан</x:v>
      </x:c>
      <x:c r="X36" s="98" t="str">
        <x:v>Быстрый live-отбор 21:37 МСК; односторонний сценарий</x:v>
      </x:c>
      <x:c r="Y36" s="5" t="str">
        <x:v>История без разделения</x:v>
      </x:c>
      <x:c r="Z36" s="5"/>
      <x:c r="AA36" s="5"/>
      <x:c r="AB36" s="118"/>
      <x:c r="AC36" s="119"/>
      <x:c r="AD36" s="119"/>
      <x:c r="AE36" s="5"/>
      <x:c r="AF36" s="5" t="str">
        <x:v>BetsAPI event ID 12063004; итоговый отчёт 13.10.2026, № 33</x:v>
      </x:c>
      <x:c r="AG36" s="5" t="str">
        <x:v>До правила топ-5</x:v>
      </x:c>
    </x:row>
    <x:row r="37">
      <x:c r="A37" s="80" t="n">
        <x:v>32</x:v>
      </x:c>
      <x:c r="B37" s="80" t="str">
        <x:v>13288669</x:v>
      </x:c>
      <x:c r="C37" s="83" t="str">
        <x:v>13.10.2026 21:50</x:v>
      </x:c>
      <x:c r="D37" s="80" t="str">
        <x:v>Польша - IV лига</x:v>
      </x:c>
      <x:c r="E37" s="80" t="str">
        <x:v>Полония Лазиска-Гурне - Пшемша-Севеж</x:v>
      </x:c>
      <x:c r="F37" s="86" t="n">
        <x:v>55</x:v>
      </x:c>
      <x:c r="G37" s="80" t="str">
        <x:v>0:0</x:v>
      </x:c>
      <x:c r="H37" s="95" t="str">
        <x:v>Высокая плотность ударов в створ при низкой линии</x:v>
      </x:c>
      <x:c r="I37" s="95" t="str">
        <x:v>ТБ 1,25 всего матча</x:v>
      </x:c>
      <x:c r="J37" s="96" t="n">
        <x:v>1.875</x:v>
      </x:c>
      <x:c r="K37" s="97" t="n">
        <x:v>2</x:v>
      </x:c>
      <x:c r="L37" s="98" t="str">
        <x:v>Удары 5:11; в створ 3:6; опасные атаки 41:35; угловые 3:2; владение 45:55</x:v>
      </x:c>
      <x:c r="M37" s="98" t="str">
        <x:v>Один свежий снимок; раздельная динамика за 10–15 минут недоступна</x:v>
      </x:c>
      <x:c r="N37" s="98" t="str">
        <x:v>Девять ударов в створ при нулевом счёте; низкая линия</x:v>
      </x:c>
      <x:c r="O37" s="98" t="str">
        <x:v>Осталось около 35 минут; один гол даёт полупроигрыш</x:v>
      </x:c>
      <x:c r="P37" s="98" t="str">
        <x:v>Средняя</x:v>
      </x:c>
      <x:c r="Q37" s="80" t="str">
        <x:v>ПОДХОДИТ В LIVE</x:v>
      </x:c>
      <x:c r="R37" s="80" t="str">
        <x:v>ТБ live v1 от 13.10.2026</x:v>
      </x:c>
      <x:c r="S37" s="80" t="str">
        <x:v>BetsAPI / Bet365</x:v>
      </x:c>
      <x:c r="T37" s="80" t="str">
        <x:v>0-0</x:v>
      </x:c>
      <x:c r="U37" s="80" t="str">
        <x:v>Поражение</x:v>
      </x:c>
      <x:c r="V37" s="89" t="n">
        <x:f>IF(A37="","",IF(U37="","",IF(U37="Выигрыш",J37-1,IF(U37="Полувыигрыш",(J37-1)/2,IF(U37="Возврат",0,IF(U37="Полупроигрыш",-0.5,IF(U37="Поражение",-1,"Проверить результат")))))))</x:f>
        <x:v>-1</x:v>
      </x:c>
      <x:c r="W37" s="80" t="str">
        <x:f>IF(A37="","",IF(U37="","Открыт",IF(ISNUMBER(V37),"Рассчитан","Проверить результат")))</x:f>
        <x:v>Рассчитан</x:v>
      </x:c>
      <x:c r="X37" s="98" t="str">
        <x:v>Быстрый live-отбор 21:50 МСК; лучший кандидат снимка по плотности ударов в створ</x:v>
      </x:c>
      <x:c r="Y37" s="5" t="str">
        <x:v>История без разделения</x:v>
      </x:c>
      <x:c r="Z37" s="5"/>
      <x:c r="AA37" s="5"/>
      <x:c r="AB37" s="118"/>
      <x:c r="AC37" s="119"/>
      <x:c r="AD37" s="119"/>
      <x:c r="AE37" s="5"/>
      <x:c r="AF37" s="5" t="str">
        <x:v>BetsAPI event ID 13288669; итоговый отчёт 13.10.2026, № 34</x:v>
      </x:c>
      <x:c r="AG37" s="5" t="str">
        <x:v>До правила топ-5</x:v>
      </x:c>
    </x:row>
    <x:row r="38">
      <x:c r="A38" s="80" t="n">
        <x:v>33</x:v>
      </x:c>
      <x:c r="B38" s="80" t="str">
        <x:v>12407699</x:v>
      </x:c>
      <x:c r="C38" s="83" t="str">
        <x:v>13.10.2026 21:50</x:v>
      </x:c>
      <x:c r="D38" s="80" t="str">
        <x:v>Англия - Трофей Английской лиги</x:v>
      </x:c>
      <x:c r="E38" s="80" t="str">
        <x:v>Челтнем - Тоттенхэм U21</x:v>
      </x:c>
      <x:c r="F38" s="86" t="n">
        <x:v>45</x:v>
      </x:c>
      <x:c r="G38" s="80" t="str">
        <x:v>1:0</x:v>
      </x:c>
      <x:c r="H38" s="95" t="str">
        <x:v>Тоттенхэм U21 уступает и должен раскрываться после перерыва</x:v>
      </x:c>
      <x:c r="I38" s="95" t="str">
        <x:v>ТБ 3 всего матча</x:v>
      </x:c>
      <x:c r="J38" s="96" t="n">
        <x:v>1.85</x:v>
      </x:c>
      <x:c r="K38" s="97" t="n">
        <x:v>3</x:v>
      </x:c>
      <x:c r="L38" s="98" t="str">
        <x:v>Удары 7:4; в створ 3:1; опасные атаки 26:20; угловые 4:4; владение 45:55; xG 1,27:0,68</x:v>
      </x:c>
      <x:c r="M38" s="98" t="str">
        <x:v>Один свежий снимок; раздельная динамика за 10–15 минут недоступна</x:v>
      </x:c>
      <x:c r="N38" s="98" t="str">
        <x:v>Суммарный xG 1,95; одиннадцать ударов и восемь угловых</x:v>
      </x:c>
      <x:c r="O38" s="98" t="str">
        <x:v>У гостей только один удар в створ; два новых гола дают лишь возврат</x:v>
      </x:c>
      <x:c r="P38" s="98" t="str">
        <x:v>Высокая</x:v>
      </x:c>
      <x:c r="Q38" s="80" t="str">
        <x:v>ПОДХОДИТ В LIVE</x:v>
      </x:c>
      <x:c r="R38" s="80" t="str">
        <x:v>ТБ live v1 от 13.10.2026</x:v>
      </x:c>
      <x:c r="S38" s="80" t="str">
        <x:v>BetsAPI / Bet365</x:v>
      </x:c>
      <x:c r="T38" s="80" t="str">
        <x:v>2-2</x:v>
      </x:c>
      <x:c r="U38" s="80" t="str">
        <x:v>Выигрыш</x:v>
      </x:c>
      <x:c r="V38" s="89" t="n">
        <x:f>IF(A38="","",IF(U38="","",IF(U38="Выигрыш",J38-1,IF(U38="Полувыигрыш",(J38-1)/2,IF(U38="Возврат",0,IF(U38="Полупроигрыш",-0.5,IF(U38="Поражение",-1,"Проверить результат")))))))</x:f>
        <x:v>0.8500000000000001</x:v>
      </x:c>
      <x:c r="W38" s="80" t="str">
        <x:f>IF(A38="","",IF(U38="","Открыт",IF(ISNUMBER(V38),"Рассчитан","Проверить результат")))</x:f>
        <x:v>Рассчитан</x:v>
      </x:c>
      <x:c r="X38" s="98" t="str">
        <x:v>Быстрый live-отбор 21:50 МСК</x:v>
      </x:c>
      <x:c r="Y38" s="5" t="str">
        <x:v>История без разделения</x:v>
      </x:c>
      <x:c r="Z38" s="5"/>
      <x:c r="AA38" s="5"/>
      <x:c r="AB38" s="118"/>
      <x:c r="AC38" s="119"/>
      <x:c r="AD38" s="119"/>
      <x:c r="AE38" s="5"/>
      <x:c r="AF38" s="5" t="str">
        <x:v>BetsAPI event ID 12407699; итоговый отчёт 13.10.2026, № 35</x:v>
      </x:c>
      <x:c r="AG38" s="5" t="str">
        <x:v>До правила топ-5</x:v>
      </x:c>
    </x:row>
    <x:row r="39">
      <x:c r="A39" s="80" t="n">
        <x:v>34</x:v>
      </x:c>
      <x:c r="B39" s="80" t="str">
        <x:v>12457698</x:v>
      </x:c>
      <x:c r="C39" s="83" t="str">
        <x:v>13.10.2026 21:50</x:v>
      </x:c>
      <x:c r="D39" s="80" t="str">
        <x:v>Азия - Лига чемпионов АФК</x:v>
      </x:c>
      <x:c r="E39" s="80" t="str">
        <x:v>Аль-Иттихад Джидда - Шабаб Аль-Ахли</x:v>
      </x:c>
      <x:c r="F39" s="86" t="n">
        <x:v>35</x:v>
      </x:c>
      <x:c r="G39" s="80" t="str">
        <x:v>0:2</x:v>
      </x:c>
      <x:c r="H39" s="95" t="str">
        <x:v>Аль-Иттихад проигрывает два мяча и продолжает территориальное давление</x:v>
      </x:c>
      <x:c r="I39" s="95" t="str">
        <x:v>ТБ 4,25 всего матча</x:v>
      </x:c>
      <x:c r="J39" s="96" t="n">
        <x:v>2.025</x:v>
      </x:c>
      <x:c r="K39" s="97" t="n">
        <x:v>3</x:v>
      </x:c>
      <x:c r="L39" s="98" t="str">
        <x:v>Удары 8:5; в створ 4:2; опасные атаки 25:6; угловые 3:0; владение 68:32; xG 0,25:1,19</x:v>
      </x:c>
      <x:c r="M39" s="98" t="str">
        <x:v>Один свежий снимок; раздельная динамика за 10–15 минут недоступна</x:v>
      </x:c>
      <x:c r="N39" s="98" t="str">
        <x:v>Тринадцать ударов и шесть в створ; проигрывающая команда владеет инициативой</x:v>
      </x:c>
      <x:c r="O39" s="98" t="str">
        <x:v>xG хозяев только 0,25; два дополнительных гола дают полупроигрыш</x:v>
      </x:c>
      <x:c r="P39" s="98" t="str">
        <x:v>Высокая</x:v>
      </x:c>
      <x:c r="Q39" s="80" t="str">
        <x:v>ПОДХОДИТ В LIVE</x:v>
      </x:c>
      <x:c r="R39" s="80" t="str">
        <x:v>ТБ live v1 от 13.10.2026</x:v>
      </x:c>
      <x:c r="S39" s="80" t="str">
        <x:v>BetsAPI / Bet365</x:v>
      </x:c>
      <x:c r="T39" s="80" t="str">
        <x:v>1-2</x:v>
      </x:c>
      <x:c r="U39" s="80" t="str">
        <x:v>Поражение</x:v>
      </x:c>
      <x:c r="V39" s="89" t="n">
        <x:f>IF(A39="","",IF(U39="","",IF(U39="Выигрыш",J39-1,IF(U39="Полувыигрыш",(J39-1)/2,IF(U39="Возврат",0,IF(U39="Полупроигрыш",-0.5,IF(U39="Поражение",-1,"Проверить результат")))))))</x:f>
        <x:v>-1</x:v>
      </x:c>
      <x:c r="W39" s="80" t="str">
        <x:f>IF(A39="","",IF(U39="","Открыт",IF(ISNUMBER(V39),"Рассчитан","Проверить результат")))</x:f>
        <x:v>Рассчитан</x:v>
      </x:c>
      <x:c r="X39" s="98" t="str">
        <x:v>Быстрый live-отбор 21:50 МСК</x:v>
      </x:c>
      <x:c r="Y39" s="5" t="str">
        <x:v>История без разделения</x:v>
      </x:c>
      <x:c r="Z39" s="5"/>
      <x:c r="AA39" s="5"/>
      <x:c r="AB39" s="118"/>
      <x:c r="AC39" s="119"/>
      <x:c r="AD39" s="119"/>
      <x:c r="AE39" s="5"/>
      <x:c r="AF39" s="5" t="str">
        <x:v>BetsAPI event ID 12457698; итоговый отчёт 13.10.2026, № 36</x:v>
      </x:c>
      <x:c r="AG39" s="5" t="str">
        <x:v>До правила топ-5</x:v>
      </x:c>
    </x:row>
    <x:row r="40">
      <x:c r="A40" s="80" t="n">
        <x:v>35</x:v>
      </x:c>
      <x:c r="B40" s="80" t="str">
        <x:v>13285299</x:v>
      </x:c>
      <x:c r="C40" s="83" t="str">
        <x:v>13.10.2026 21:50</x:v>
      </x:c>
      <x:c r="D40" s="80" t="str">
        <x:v>Аргентина - Лига резервов</x:v>
      </x:c>
      <x:c r="E40" s="80" t="str">
        <x:v>Док-Суд резерв - Дефенсорес Унидос резерв</x:v>
      </x:c>
      <x:c r="F40" s="86" t="n">
        <x:v>45</x:v>
      </x:c>
      <x:c r="G40" s="80" t="str">
        <x:v>2:1</x:v>
      </x:c>
      <x:c r="H40" s="95" t="str">
        <x:v>Конкурентный счёт и сохраняющееся преимущество хозяев по активности</x:v>
      </x:c>
      <x:c r="I40" s="95" t="str">
        <x:v>ТБ 4,5 всего матча</x:v>
      </x:c>
      <x:c r="J40" s="96" t="n">
        <x:v>1.9</x:v>
      </x:c>
      <x:c r="K40" s="97" t="n">
        <x:v>2</x:v>
      </x:c>
      <x:c r="L40" s="98" t="str">
        <x:v>Удары 7:3; в створ 4:2; опасные атаки 43:26; угловые 0:1; владение 52:48</x:v>
      </x:c>
      <x:c r="M40" s="98" t="str">
        <x:v>Один свежий снимок; раздельная динамика за 10–15 минут недоступна</x:v>
      </x:c>
      <x:c r="N40" s="98" t="str">
        <x:v>Три гола и шесть ударов в створ за первый тайм</x:v>
      </x:c>
      <x:c r="O40" s="98" t="str">
        <x:v>Только один угловой; гости создают заметно меньше</x:v>
      </x:c>
      <x:c r="P40" s="98" t="str">
        <x:v>Средняя</x:v>
      </x:c>
      <x:c r="Q40" s="80" t="str">
        <x:v>ПОДХОДИТ В LIVE</x:v>
      </x:c>
      <x:c r="R40" s="80" t="str">
        <x:v>ТБ live v1 от 13.10.2026</x:v>
      </x:c>
      <x:c r="S40" s="80" t="str">
        <x:v>BetsAPI / Bet365</x:v>
      </x:c>
      <x:c r="T40" s="80" t="str">
        <x:v>4-1</x:v>
      </x:c>
      <x:c r="U40" s="80" t="str">
        <x:v>Выигрыш</x:v>
      </x:c>
      <x:c r="V40" s="89" t="n">
        <x:f>IF(A40="","",IF(U40="","",IF(U40="Выигрыш",J40-1,IF(U40="Полувыигрыш",(J40-1)/2,IF(U40="Возврат",0,IF(U40="Полупроигрыш",-0.5,IF(U40="Поражение",-1,"Проверить результат")))))))</x:f>
        <x:v>0.8999999999999999</x:v>
      </x:c>
      <x:c r="W40" s="80" t="str">
        <x:f>IF(A40="","",IF(U40="","Открыт",IF(ISNUMBER(V40),"Рассчитан","Проверить результат")))</x:f>
        <x:v>Рассчитан</x:v>
      </x:c>
      <x:c r="X40" s="98" t="str">
        <x:v>Быстрый live-отбор 21:50 МСК</x:v>
      </x:c>
      <x:c r="Y40" s="5" t="str">
        <x:v>История без разделения</x:v>
      </x:c>
      <x:c r="Z40" s="5"/>
      <x:c r="AA40" s="5"/>
      <x:c r="AB40" s="118"/>
      <x:c r="AC40" s="119"/>
      <x:c r="AD40" s="119"/>
      <x:c r="AE40" s="5"/>
      <x:c r="AF40" s="5" t="str">
        <x:v>BetsAPI event ID 13285299; итоговый отчёт 13.10.2026, № 37</x:v>
      </x:c>
      <x:c r="AG40" s="5" t="str">
        <x:v>До правила топ-5</x:v>
      </x:c>
    </x:row>
    <x:row r="41">
      <x:c r="A41" s="80" t="n">
        <x:v>36</x:v>
      </x:c>
      <x:c r="B41" s="80" t="str">
        <x:v>12319680</x:v>
      </x:c>
      <x:c r="C41" s="83" t="str">
        <x:v>13.10.2026 21:50</x:v>
      </x:c>
      <x:c r="D41" s="80" t="str">
        <x:v>ЮАР - Премьер-лига</x:v>
      </x:c>
      <x:c r="E41" s="80" t="str">
        <x:v>Кайзер Чифс - Стелленбос</x:v>
      </x:c>
      <x:c r="F41" s="86" t="n">
        <x:v>60</x:v>
      </x:c>
      <x:c r="G41" s="80" t="str">
        <x:v>1:1</x:v>
      </x:c>
      <x:c r="H41" s="95" t="str">
        <x:v>Ничья при территориальном преимуществе Кайзер Чифс и активности обеих команд</x:v>
      </x:c>
      <x:c r="I41" s="95" t="str">
        <x:v>ТБ 2,75 всего матча</x:v>
      </x:c>
      <x:c r="J41" s="96" t="n">
        <x:v>1.95</x:v>
      </x:c>
      <x:c r="K41" s="97" t="n">
        <x:v>2</x:v>
      </x:c>
      <x:c r="L41" s="98" t="str">
        <x:v>Удары 5:5; в створ 1:1; опасные атаки 42:30; угловые 3:3; владение 66:34; xG 0,67:0,55</x:v>
      </x:c>
      <x:c r="M41" s="98" t="str">
        <x:v>Один свежий снимок; раздельная динамика за 10–15 минут недоступна</x:v>
      </x:c>
      <x:c r="N41" s="98" t="str">
        <x:v>Суммарный xG 1,22; обе команды забили; один гол даёт полувыигрыш</x:v>
      </x:c>
      <x:c r="O41" s="98" t="str">
        <x:v>Только два удара в створ; верхняя граница рабочего окна</x:v>
      </x:c>
      <x:c r="P41" s="98" t="str">
        <x:v>Высокая</x:v>
      </x:c>
      <x:c r="Q41" s="80" t="str">
        <x:v>ПОДХОДИТ В LIVE</x:v>
      </x:c>
      <x:c r="R41" s="80" t="str">
        <x:v>ТБ live v1 от 13.10.2026</x:v>
      </x:c>
      <x:c r="S41" s="80" t="str">
        <x:v>BetsAPI / Bet365</x:v>
      </x:c>
      <x:c r="T41" s="80" t="str">
        <x:v>1-1</x:v>
      </x:c>
      <x:c r="U41" s="80" t="str">
        <x:v>Поражение</x:v>
      </x:c>
      <x:c r="V41" s="89" t="n">
        <x:f>IF(A41="","",IF(U41="","",IF(U41="Выигрыш",J41-1,IF(U41="Полувыигрыш",(J41-1)/2,IF(U41="Возврат",0,IF(U41="Полупроигрыш",-0.5,IF(U41="Поражение",-1,"Проверить результат")))))))</x:f>
        <x:v>-1</x:v>
      </x:c>
      <x:c r="W41" s="80" t="str">
        <x:f>IF(A41="","",IF(U41="","Открыт",IF(ISNUMBER(V41),"Рассчитан","Проверить результат")))</x:f>
        <x:v>Рассчитан</x:v>
      </x:c>
      <x:c r="X41" s="98" t="str">
        <x:v>Быстрый live-отбор 21:50 МСК; повышенный временной риск</x:v>
      </x:c>
      <x:c r="Y41" s="5" t="str">
        <x:v>История без разделения</x:v>
      </x:c>
      <x:c r="Z41" s="5"/>
      <x:c r="AA41" s="5"/>
      <x:c r="AB41" s="118"/>
      <x:c r="AC41" s="119"/>
      <x:c r="AD41" s="119"/>
      <x:c r="AE41" s="5"/>
      <x:c r="AF41" s="5" t="str">
        <x:v>BetsAPI event ID 12319680; итоговый отчёт 13.10.2026, № 38</x:v>
      </x:c>
      <x:c r="AG41" s="5" t="str">
        <x:v>До правила топ-5</x:v>
      </x:c>
    </x:row>
    <x:row r="42">
      <x:c r="A42" s="80" t="n">
        <x:v>37</x:v>
      </x:c>
      <x:c r="B42" s="80" t="str">
        <x:v>13217858</x:v>
      </x:c>
      <x:c r="C42" s="83" t="str">
        <x:v>13.10.2026 21:50</x:v>
      </x:c>
      <x:c r="D42" s="80" t="str">
        <x:v>Аргентина - Лига профессиональных резервов</x:v>
      </x:c>
      <x:c r="E42" s="80" t="str">
        <x:v>Атлетико Рафаэла резерв - Эстудиантес Рио-Куарто резерв</x:v>
      </x:c>
      <x:c r="F42" s="86" t="n">
        <x:v>30</x:v>
      </x:c>
      <x:c r="G42" s="80" t="str">
        <x:v>0:0</x:v>
      </x:c>
      <x:c r="H42" s="95" t="str">
        <x:v>Равная активная игра при низкой линии тотала</x:v>
      </x:c>
      <x:c r="I42" s="95" t="str">
        <x:v>ТБ 1,5 всего матча</x:v>
      </x:c>
      <x:c r="J42" s="96" t="n">
        <x:v>1.9</x:v>
      </x:c>
      <x:c r="K42" s="97" t="n">
        <x:v>2</x:v>
      </x:c>
      <x:c r="L42" s="98" t="str">
        <x:v>Удары 4:5; в створ 1:2; опасные атаки 21:33; угловые 1:2; владение 54:46</x:v>
      </x:c>
      <x:c r="M42" s="98" t="str">
        <x:v>Один свежий снимок; раздельная динамика за 10–15 минут недоступна</x:v>
      </x:c>
      <x:c r="N42" s="98" t="str">
        <x:v>Девять ударов, три в створ и около часа игрового времени</x:v>
      </x:c>
      <x:c r="O42" s="98" t="str">
        <x:v>Нет явного доминирующего источника моментов; xG недоступен</x:v>
      </x:c>
      <x:c r="P42" s="98" t="str">
        <x:v>Средняя</x:v>
      </x:c>
      <x:c r="Q42" s="80" t="str">
        <x:v>ПОДХОДИТ В LIVE</x:v>
      </x:c>
      <x:c r="R42" s="80" t="str">
        <x:v>ТБ live v1 от 13.10.2026</x:v>
      </x:c>
      <x:c r="S42" s="80" t="str">
        <x:v>BetsAPI / Bet365</x:v>
      </x:c>
      <x:c r="T42" s="80" t="str">
        <x:v>1-1</x:v>
      </x:c>
      <x:c r="U42" s="80" t="str">
        <x:v>Выигрыш</x:v>
      </x:c>
      <x:c r="V42" s="89" t="n">
        <x:f>IF(A42="","",IF(U42="","",IF(U42="Выигрыш",J42-1,IF(U42="Полувыигрыш",(J42-1)/2,IF(U42="Возврат",0,IF(U42="Полупроигрыш",-0.5,IF(U42="Поражение",-1,"Проверить результат")))))))</x:f>
        <x:v>0.8999999999999999</x:v>
      </x:c>
      <x:c r="W42" s="80" t="str">
        <x:f>IF(A42="","",IF(U42="","Открыт",IF(ISNUMBER(V42),"Рассчитан","Проверить результат")))</x:f>
        <x:v>Рассчитан</x:v>
      </x:c>
      <x:c r="X42" s="98" t="str">
        <x:v>Быстрый live-отбор 21:50 МСК</x:v>
      </x:c>
      <x:c r="Y42" s="5" t="str">
        <x:v>История без разделения</x:v>
      </x:c>
      <x:c r="Z42" s="5"/>
      <x:c r="AA42" s="5"/>
      <x:c r="AB42" s="118"/>
      <x:c r="AC42" s="119"/>
      <x:c r="AD42" s="119"/>
      <x:c r="AE42" s="5"/>
      <x:c r="AF42" s="5" t="str">
        <x:v>BetsAPI event ID 13217858; итоговый отчёт 13.10.2026, № 39</x:v>
      </x:c>
      <x:c r="AG42" s="5" t="str">
        <x:v>До правила топ-5</x:v>
      </x:c>
    </x:row>
    <x:row r="43">
      <x:c r="A43" s="80" t="n">
        <x:v>38</x:v>
      </x:c>
      <x:c r="B43" s="80" t="str">
        <x:v>13285298</x:v>
      </x:c>
      <x:c r="C43" s="83" t="str">
        <x:v>13.10.2026 21:50</x:v>
      </x:c>
      <x:c r="D43" s="80" t="str">
        <x:v>Аргентина - Лига резервов</x:v>
      </x:c>
      <x:c r="E43" s="80" t="str">
        <x:v>Кильмес резерв - Депортиво Арменио резерв</x:v>
      </x:c>
      <x:c r="F43" s="86" t="n">
        <x:v>40</x:v>
      </x:c>
      <x:c r="G43" s="80" t="str">
        <x:v>1:0</x:v>
      </x:c>
      <x:c r="H43" s="95" t="str">
        <x:v>Гости уступают, владеют мячом и должны менять игру</x:v>
      </x:c>
      <x:c r="I43" s="95" t="str">
        <x:v>ТБ 2,5 всего матча</x:v>
      </x:c>
      <x:c r="J43" s="96" t="n">
        <x:v>2</x:v>
      </x:c>
      <x:c r="K43" s="97" t="n">
        <x:v>2</x:v>
      </x:c>
      <x:c r="L43" s="98" t="str">
        <x:v>Удары 5:1; в створ 2:1; опасные атаки 33:26; угловые 3:1; владение 47:53; пенальти 1:0</x:v>
      </x:c>
      <x:c r="M43" s="98" t="str">
        <x:v>Один свежий снимок; раздельная динамика за 10–15 минут недоступна</x:v>
      </x:c>
      <x:c r="N43" s="98" t="str">
        <x:v>Проигрывающая команда сохраняет владение; конкурентный счёт</x:v>
      </x:c>
      <x:c r="O43" s="98" t="str">
        <x:v>Только шесть ударов; первый гол забит с пенальти; xG недоступен</x:v>
      </x:c>
      <x:c r="P43" s="98" t="str">
        <x:v>Средняя</x:v>
      </x:c>
      <x:c r="Q43" s="80" t="str">
        <x:v>ПОДХОДИТ В LIVE</x:v>
      </x:c>
      <x:c r="R43" s="80" t="str">
        <x:v>ТБ live v1 от 13.10.2026</x:v>
      </x:c>
      <x:c r="S43" s="80" t="str">
        <x:v>BetsAPI / Bet365</x:v>
      </x:c>
      <x:c r="T43" s="80" t="str">
        <x:v>3-0</x:v>
      </x:c>
      <x:c r="U43" s="80" t="str">
        <x:v>Выигрыш</x:v>
      </x:c>
      <x:c r="V43" s="89" t="n">
        <x:f>IF(A43="","",IF(U43="","",IF(U43="Выигрыш",J43-1,IF(U43="Полувыигрыш",(J43-1)/2,IF(U43="Возврат",0,IF(U43="Полупроигрыш",-0.5,IF(U43="Поражение",-1,"Проверить результат")))))))</x:f>
        <x:v>1</x:v>
      </x:c>
      <x:c r="W43" s="80" t="str">
        <x:f>IF(A43="","",IF(U43="","Открыт",IF(ISNUMBER(V43),"Рассчитан","Проверить результат")))</x:f>
        <x:v>Рассчитан</x:v>
      </x:c>
      <x:c r="X43" s="98" t="str">
        <x:v>Быстрый live-отбор 21:50 МСК; пограничный кандидат</x:v>
      </x:c>
      <x:c r="Y43" s="5" t="str">
        <x:v>История без разделения</x:v>
      </x:c>
      <x:c r="Z43" s="5"/>
      <x:c r="AA43" s="5"/>
      <x:c r="AB43" s="118"/>
      <x:c r="AC43" s="119"/>
      <x:c r="AD43" s="119"/>
      <x:c r="AE43" s="5"/>
      <x:c r="AF43" s="5" t="str">
        <x:v>BetsAPI event ID 13285298; итоговый отчёт 13.10.2026, № 40</x:v>
      </x:c>
      <x:c r="AG43" s="5" t="str">
        <x:v>До правила топ-5</x:v>
      </x:c>
    </x:row>
    <x:row r="44">
      <x:c r="A44" s="80" t="n">
        <x:v>39</x:v>
      </x:c>
      <x:c r="B44" s="80" t="str">
        <x:v>12062985</x:v>
      </x:c>
      <x:c r="C44" s="83" t="str">
        <x:v>13.10.2026 21:50</x:v>
      </x:c>
      <x:c r="D44" s="80" t="str">
        <x:v>Женщины - квалификация чемпионата мира</x:v>
      </x:c>
      <x:c r="E44" s="80" t="str">
        <x:v>Португалия - Северная Ирландия</x:v>
      </x:c>
      <x:c r="F44" s="86" t="n">
        <x:v>35</x:v>
      </x:c>
      <x:c r="G44" s="80" t="str">
        <x:v>0:1</x:v>
      </x:c>
      <x:c r="H44" s="95" t="str">
        <x:v>Явный фаворит неожиданно уступает и вынужден усиливать давление</x:v>
      </x:c>
      <x:c r="I44" s="95" t="str">
        <x:v>ТБ 3 всего матча</x:v>
      </x:c>
      <x:c r="J44" s="96" t="n">
        <x:v>1.8</x:v>
      </x:c>
      <x:c r="K44" s="97" t="n">
        <x:v>3</x:v>
      </x:c>
      <x:c r="L44" s="98" t="str">
        <x:v>Удары 5:3; в створ 1:2; опасные атаки 19:8; угловые 3:1; владение 81:19; xG 0,48:0,23</x:v>
      </x:c>
      <x:c r="M44" s="98" t="str">
        <x:v>Один свежий снимок; раздельная динамика за 10–15 минут недоступна</x:v>
      </x:c>
      <x:c r="N44" s="98" t="str">
        <x:v>Огромное владение Португалии; более 55 минут игрового времени</x:v>
      </x:c>
      <x:c r="O44" s="98" t="str">
        <x:v>Суммарный xG только 0,71; два новых гола дают лишь возврат</x:v>
      </x:c>
      <x:c r="P44" s="98" t="str">
        <x:v>Высокая</x:v>
      </x:c>
      <x:c r="Q44" s="80" t="str">
        <x:v>ПОДХОДИТ В LIVE</x:v>
      </x:c>
      <x:c r="R44" s="80" t="str">
        <x:v>ТБ live v1 от 13.10.2026</x:v>
      </x:c>
      <x:c r="S44" s="80" t="str">
        <x:v>BetsAPI / Bet365</x:v>
      </x:c>
      <x:c r="T44" s="80" t="str">
        <x:v>3-1</x:v>
      </x:c>
      <x:c r="U44" s="80" t="str">
        <x:v>Выигрыш</x:v>
      </x:c>
      <x:c r="V44" s="89" t="n">
        <x:f>IF(A44="","",IF(U44="","",IF(U44="Выигрыш",J44-1,IF(U44="Полувыигрыш",(J44-1)/2,IF(U44="Возврат",0,IF(U44="Полупроигрыш",-0.5,IF(U44="Поражение",-1,"Проверить результат")))))))</x:f>
        <x:v>0.8</x:v>
      </x:c>
      <x:c r="W44" s="80" t="str">
        <x:f>IF(A44="","",IF(U44="","Открыт",IF(ISNUMBER(V44),"Рассчитан","Проверить результат")))</x:f>
        <x:v>Рассчитан</x:v>
      </x:c>
      <x:c r="X44" s="98" t="str">
        <x:v>Быстрый live-отбор 21:50 МСК</x:v>
      </x:c>
      <x:c r="Y44" s="5" t="str">
        <x:v>История без разделения</x:v>
      </x:c>
      <x:c r="Z44" s="5"/>
      <x:c r="AA44" s="5"/>
      <x:c r="AB44" s="118"/>
      <x:c r="AC44" s="119"/>
      <x:c r="AD44" s="119"/>
      <x:c r="AE44" s="5"/>
      <x:c r="AF44" s="5" t="str">
        <x:v>BetsAPI event ID 12062985; итоговый отчёт 13.10.2026, № 41</x:v>
      </x:c>
      <x:c r="AG44" s="5" t="str">
        <x:v>До правила топ-5</x:v>
      </x:c>
    </x:row>
    <x:row r="45">
      <x:c r="A45" s="80" t="n">
        <x:v>40</x:v>
      </x:c>
      <x:c r="B45" s="80" t="str">
        <x:v>13217800</x:v>
      </x:c>
      <x:c r="C45" s="83" t="str">
        <x:v>13.10.2026 21:50</x:v>
      </x:c>
      <x:c r="D45" s="80" t="str">
        <x:v>Аргентина - Лига профессиональных резервов</x:v>
      </x:c>
      <x:c r="E45" s="80" t="str">
        <x:v>Индепендьенте резерв - Уракан резерв</x:v>
      </x:c>
      <x:c r="F45" s="86" t="n">
        <x:v>45</x:v>
      </x:c>
      <x:c r="G45" s="80" t="str">
        <x:v>2:0</x:v>
      </x:c>
      <x:c r="H45" s="95" t="str">
        <x:v>Уракан должен раскрываться после перерыва при двухголовом отставании</x:v>
      </x:c>
      <x:c r="I45" s="95" t="str">
        <x:v>ТБ 3,5 всего матча</x:v>
      </x:c>
      <x:c r="J45" s="96" t="n">
        <x:v>2</x:v>
      </x:c>
      <x:c r="K45" s="97" t="n">
        <x:v>2</x:v>
      </x:c>
      <x:c r="L45" s="98" t="str">
        <x:v>Удары 4:3; в створ 3:1; опасные атаки 16:12; угловые 4:4; владение 55:45; пенальти 1:0</x:v>
      </x:c>
      <x:c r="M45" s="98" t="str">
        <x:v>Один свежий снимок; раздельная динамика за 10–15 минут недоступна</x:v>
      </x:c>
      <x:c r="N45" s="98" t="str">
        <x:v>Восемь угловых и четыре удара в створ; впереди второй тайм</x:v>
      </x:c>
      <x:c r="O45" s="98" t="str">
        <x:v>Общий темп ударов невысок; один гол забит с пенальти</x:v>
      </x:c>
      <x:c r="P45" s="98" t="str">
        <x:v>Средняя</x:v>
      </x:c>
      <x:c r="Q45" s="80" t="str">
        <x:v>ПОДХОДИТ В LIVE</x:v>
      </x:c>
      <x:c r="R45" s="80" t="str">
        <x:v>ТБ live v1 от 13.10.2026</x:v>
      </x:c>
      <x:c r="S45" s="80" t="str">
        <x:v>BetsAPI / Bet365</x:v>
      </x:c>
      <x:c r="T45" s="80" t="str">
        <x:v>3-0</x:v>
      </x:c>
      <x:c r="U45" s="80" t="str">
        <x:v>Поражение</x:v>
      </x:c>
      <x:c r="V45" s="89" t="n">
        <x:f>IF(A45="","",IF(U45="","",IF(U45="Выигрыш",J45-1,IF(U45="Полувыигрыш",(J45-1)/2,IF(U45="Возврат",0,IF(U45="Полупроигрыш",-0.5,IF(U45="Поражение",-1,"Проверить результат")))))))</x:f>
        <x:v>-1</x:v>
      </x:c>
      <x:c r="W45" s="80" t="str">
        <x:f>IF(A45="","",IF(U45="","Открыт",IF(ISNUMBER(V45),"Рассчитан","Проверить результат")))</x:f>
        <x:v>Рассчитан</x:v>
      </x:c>
      <x:c r="X45" s="98" t="str">
        <x:v>Быстрый live-отбор 21:50 МСК; пограничный кандидат</x:v>
      </x:c>
      <x:c r="Y45" s="5" t="str">
        <x:v>История без разделения</x:v>
      </x:c>
      <x:c r="Z45" s="5"/>
      <x:c r="AA45" s="5"/>
      <x:c r="AB45" s="118"/>
      <x:c r="AC45" s="119"/>
      <x:c r="AD45" s="119"/>
      <x:c r="AE45" s="5"/>
      <x:c r="AF45" s="5" t="str">
        <x:v>BetsAPI event ID 13217800; итоговый отчёт 13.10.2026, № 42</x:v>
      </x:c>
      <x:c r="AG45" s="5" t="str">
        <x:v>До правила топ-5</x:v>
      </x:c>
    </x:row>
    <x:row r="46">
      <x:c r="A46" s="80" t="n">
        <x:v>41</x:v>
      </x:c>
      <x:c r="B46" s="80" t="str">
        <x:v>12407276</x:v>
      </x:c>
      <x:c r="C46" s="83" t="str">
        <x:v>13.10.2026 21:50</x:v>
      </x:c>
      <x:c r="D46" s="80" t="str">
        <x:v>Англия - Трофей Английской лиги</x:v>
      </x:c>
      <x:c r="E46" s="80" t="str">
        <x:v>Рединг - Челси U21</x:v>
      </x:c>
      <x:c r="F46" s="86" t="n">
        <x:v>45</x:v>
      </x:c>
      <x:c r="G46" s="80" t="str">
        <x:v>0:2</x:v>
      </x:c>
      <x:c r="H46" s="95" t="str">
        <x:v>Рединг должен отыгрываться, а Челси U21 получает пространство для атак</x:v>
      </x:c>
      <x:c r="I46" s="95" t="str">
        <x:v>ТБ 4 всего матча</x:v>
      </x:c>
      <x:c r="J46" s="96" t="n">
        <x:v>1.8</x:v>
      </x:c>
      <x:c r="K46" s="97" t="n">
        <x:v>3</x:v>
      </x:c>
      <x:c r="L46" s="98" t="str">
        <x:v>Удары 8:5; в створ 3:2; опасные атаки 20:20; угловые 4:2; владение 49:51; xG 0,46:1,28</x:v>
      </x:c>
      <x:c r="M46" s="98" t="str">
        <x:v>Один свежий снимок; раздельная динамика за 10–15 минут недоступна</x:v>
      </x:c>
      <x:c r="N46" s="98" t="str">
        <x:v>Тринадцать ударов, пять в створ и суммарный xG 1,74</x:v>
      </x:c>
      <x:c r="O46" s="98" t="str">
        <x:v>Для полного выигрыша нужны ещё три гола; два дают возврат</x:v>
      </x:c>
      <x:c r="P46" s="98" t="str">
        <x:v>Высокая</x:v>
      </x:c>
      <x:c r="Q46" s="80" t="str">
        <x:v>ПОДХОДИТ В LIVE</x:v>
      </x:c>
      <x:c r="R46" s="80" t="str">
        <x:v>ТБ live v1 от 13.10.2026</x:v>
      </x:c>
      <x:c r="S46" s="80" t="str">
        <x:v>BetsAPI / Bet365</x:v>
      </x:c>
      <x:c r="T46" s="80" t="str">
        <x:v>0-2</x:v>
      </x:c>
      <x:c r="U46" s="80" t="str">
        <x:v>Поражение</x:v>
      </x:c>
      <x:c r="V46" s="89" t="n">
        <x:f>IF(A46="","",IF(U46="","",IF(U46="Выигрыш",J46-1,IF(U46="Полувыигрыш",(J46-1)/2,IF(U46="Возврат",0,IF(U46="Полупроигрыш",-0.5,IF(U46="Поражение",-1,"Проверить результат")))))))</x:f>
        <x:v>-1</x:v>
      </x:c>
      <x:c r="W46" s="80" t="str">
        <x:f>IF(A46="","",IF(U46="","Открыт",IF(ISNUMBER(V46),"Рассчитан","Проверить результат")))</x:f>
        <x:v>Рассчитан</x:v>
      </x:c>
      <x:c r="X46" s="98" t="str">
        <x:v>Быстрый live-отбор 21:50 МСК</x:v>
      </x:c>
      <x:c r="Y46" s="5" t="str">
        <x:v>История без разделения</x:v>
      </x:c>
      <x:c r="Z46" s="5"/>
      <x:c r="AA46" s="5"/>
      <x:c r="AB46" s="118"/>
      <x:c r="AC46" s="119"/>
      <x:c r="AD46" s="119"/>
      <x:c r="AE46" s="5"/>
      <x:c r="AF46" s="5" t="str">
        <x:v>BetsAPI event ID 12407276; итоговый отчёт 13.10.2026, № 43</x:v>
      </x:c>
      <x:c r="AG46" s="5" t="str">
        <x:v>До правила топ-5</x:v>
      </x:c>
    </x:row>
    <x:row r="47">
      <x:c r="A47" s="80" t="n">
        <x:v>42</x:v>
      </x:c>
      <x:c r="B47" s="80" t="str">
        <x:v>12403134</x:v>
      </x:c>
      <x:c r="C47" s="83" t="str">
        <x:v>13.10.2026 21:50</x:v>
      </x:c>
      <x:c r="D47" s="80" t="str">
        <x:v>Англия - Кубок Национальной лиги</x:v>
      </x:c>
      <x:c r="E47" s="80" t="str">
        <x:v>Сканторп - Дерби U21</x:v>
      </x:c>
      <x:c r="F47" s="86" t="n">
        <x:v>45</x:v>
      </x:c>
      <x:c r="G47" s="80" t="str">
        <x:v>2:0</x:v>
      </x:c>
      <x:c r="H47" s="95" t="str">
        <x:v>Дерби U21 должен раскрываться, Сканторп сохраняет территориальное преимущество</x:v>
      </x:c>
      <x:c r="I47" s="95" t="str">
        <x:v>ТБ 3,75 всего матча</x:v>
      </x:c>
      <x:c r="J47" s="96" t="n">
        <x:v>1.925</x:v>
      </x:c>
      <x:c r="K47" s="97" t="n">
        <x:v>3</x:v>
      </x:c>
      <x:c r="L47" s="98" t="str">
        <x:v>Удары 6:3; в створ 3:2; опасные атаки 26:10; угловые 5:0; владение 50:50</x:v>
      </x:c>
      <x:c r="M47" s="98" t="str">
        <x:v>Один свежий снимок; раздельная динамика за 10–15 минут недоступна</x:v>
      </x:c>
      <x:c r="N47" s="98" t="str">
        <x:v>Пять ударов в створ и пять угловых; впереди второй тайм</x:v>
      </x:c>
      <x:c r="O47" s="98" t="str">
        <x:v>Активность гостей невысока; два новых гола дают только полувыигрыш</x:v>
      </x:c>
      <x:c r="P47" s="98" t="str">
        <x:v>Средняя</x:v>
      </x:c>
      <x:c r="Q47" s="80" t="str">
        <x:v>ПОДХОДИТ В LIVE</x:v>
      </x:c>
      <x:c r="R47" s="80" t="str">
        <x:v>ТБ live v1 от 13.10.2026</x:v>
      </x:c>
      <x:c r="S47" s="80" t="str">
        <x:v>BetsAPI / Bet365</x:v>
      </x:c>
      <x:c r="T47" s="80" t="str">
        <x:v>2-2</x:v>
      </x:c>
      <x:c r="U47" s="80" t="str">
        <x:v>Полувыигрыш</x:v>
      </x:c>
      <x:c r="V47" s="89" t="n">
        <x:f>IF(A47="","",IF(U47="","",IF(U47="Выигрыш",J47-1,IF(U47="Полувыигрыш",(J47-1)/2,IF(U47="Возврат",0,IF(U47="Полупроигрыш",-0.5,IF(U47="Поражение",-1,"Проверить результат")))))))</x:f>
        <x:v>0.4625</x:v>
      </x:c>
      <x:c r="W47" s="80" t="str">
        <x:f>IF(A47="","",IF(U47="","Открыт",IF(ISNUMBER(V47),"Рассчитан","Проверить результат")))</x:f>
        <x:v>Рассчитан</x:v>
      </x:c>
      <x:c r="X47" s="98" t="str">
        <x:v>Быстрый live-отбор 21:50 МСК</x:v>
      </x:c>
      <x:c r="Y47" s="5" t="str">
        <x:v>История без разделения</x:v>
      </x:c>
      <x:c r="Z47" s="5"/>
      <x:c r="AA47" s="5"/>
      <x:c r="AB47" s="118"/>
      <x:c r="AC47" s="119"/>
      <x:c r="AD47" s="119"/>
      <x:c r="AE47" s="5"/>
      <x:c r="AF47" s="5" t="str">
        <x:v>BetsAPI event ID 12403134; итоговый отчёт 13.10.2026, № 44</x:v>
      </x:c>
      <x:c r="AG47" s="5" t="str">
        <x:v>До правила топ-5</x:v>
      </x:c>
    </x:row>
    <x:row r="48">
      <x:c r="A48" s="80" t="n">
        <x:v>43</x:v>
      </x:c>
      <x:c r="B48" s="80" t="str">
        <x:v>12411994</x:v>
      </x:c>
      <x:c r="C48" s="83" t="str">
        <x:v>13.10.2026 21:50</x:v>
      </x:c>
      <x:c r="D48" s="80" t="str">
        <x:v>Англия - Кубок Премьер-лиги U21</x:v>
      </x:c>
      <x:c r="E48" s="80" t="str">
        <x:v>Бромли U21 - Ковентри U21</x:v>
      </x:c>
      <x:c r="F48" s="86" t="n">
        <x:v>45</x:v>
      </x:c>
      <x:c r="G48" s="80" t="str">
        <x:v>1:0</x:v>
      </x:c>
      <x:c r="H48" s="95" t="str">
        <x:v>Ковентри уступает, но превосходит соперника по владению и активности</x:v>
      </x:c>
      <x:c r="I48" s="95" t="str">
        <x:v>ТБ 2,75 всего матча</x:v>
      </x:c>
      <x:c r="J48" s="96" t="n">
        <x:v>1.975</x:v>
      </x:c>
      <x:c r="K48" s="97" t="n">
        <x:v>3</x:v>
      </x:c>
      <x:c r="L48" s="98" t="str">
        <x:v>Удары 2:6; в створ 1:2; опасные атаки 18:30; угловые 2:2; владение 41:59</x:v>
      </x:c>
      <x:c r="M48" s="98" t="str">
        <x:v>Один свежий снимок; раздельная динамика за 10–15 минут недоступна</x:v>
      </x:c>
      <x:c r="N48" s="98" t="str">
        <x:v>Проигрывающая команда ведёт по ударам и опасным атакам; молодёжный турнир</x:v>
      </x:c>
      <x:c r="O48" s="98" t="str">
        <x:v>Только три удара в створ; два новых гола дают лишь полувыигрыш</x:v>
      </x:c>
      <x:c r="P48" s="98" t="str">
        <x:v>Средняя</x:v>
      </x:c>
      <x:c r="Q48" s="80" t="str">
        <x:v>ПОДХОДИТ В LIVE</x:v>
      </x:c>
      <x:c r="R48" s="80" t="str">
        <x:v>ТБ live v1 от 13.10.2026</x:v>
      </x:c>
      <x:c r="S48" s="80" t="str">
        <x:v>BetsAPI / Bet365</x:v>
      </x:c>
      <x:c r="T48" s="80" t="str">
        <x:v>1-2</x:v>
      </x:c>
      <x:c r="U48" s="80" t="str">
        <x:v>Полувыигрыш</x:v>
      </x:c>
      <x:c r="V48" s="89" t="n">
        <x:f>IF(A48="","",IF(U48="","",IF(U48="Выигрыш",J48-1,IF(U48="Полувыигрыш",(J48-1)/2,IF(U48="Возврат",0,IF(U48="Полупроигрыш",-0.5,IF(U48="Поражение",-1,"Проверить результат")))))))</x:f>
        <x:v>0.48750000000000004</x:v>
      </x:c>
      <x:c r="W48" s="80" t="str">
        <x:f>IF(A48="","",IF(U48="","Открыт",IF(ISNUMBER(V48),"Рассчитан","Проверить результат")))</x:f>
        <x:v>Рассчитан</x:v>
      </x:c>
      <x:c r="X48" s="98" t="str">
        <x:v>Быстрый live-отбор 21:50 МСК</x:v>
      </x:c>
      <x:c r="Y48" s="5" t="str">
        <x:v>История без разделения</x:v>
      </x:c>
      <x:c r="Z48" s="5"/>
      <x:c r="AA48" s="5"/>
      <x:c r="AB48" s="118"/>
      <x:c r="AC48" s="119"/>
      <x:c r="AD48" s="119"/>
      <x:c r="AE48" s="5"/>
      <x:c r="AF48" s="5" t="str">
        <x:v>BetsAPI event ID 12411994; итоговый отчёт 13.10.2026, № 45</x:v>
      </x:c>
      <x:c r="AG48" s="5" t="str">
        <x:v>До правила топ-5</x:v>
      </x:c>
    </x:row>
    <x:row r="49">
      <x:c r="A49" s="80" t="n">
        <x:v>44</x:v>
      </x:c>
      <x:c r="B49" s="80" t="str">
        <x:v>13284855</x:v>
      </x:c>
      <x:c r="C49" s="83" t="str">
        <x:v>13.10.2026 22:18</x:v>
      </x:c>
      <x:c r="D49" s="80" t="str">
        <x:v>Англия - Северная лига, дивизион 1</x:v>
      </x:c>
      <x:c r="E49" s="80" t="str">
        <x:v>Вест Окленд - Беверли Таун</x:v>
      </x:c>
      <x:c r="F49" s="86" t="n">
        <x:v>32</x:v>
      </x:c>
      <x:c r="G49" s="80" t="str">
        <x:v>0:0</x:v>
      </x:c>
      <x:c r="H49" s="95" t="str">
        <x:v>Высокая плотность ударов в створ при нулевом счёте</x:v>
      </x:c>
      <x:c r="I49" s="95" t="str">
        <x:v>ТБ 2,25 всего матча</x:v>
      </x:c>
      <x:c r="J49" s="96" t="n">
        <x:v>2.025</x:v>
      </x:c>
      <x:c r="K49" s="97" t="n">
        <x:v>3</x:v>
      </x:c>
      <x:c r="L49" s="98" t="str">
        <x:v>Удары 9:4; в створ 6:3; опасные атаки 24:20; угловые 3:2; владение 51:49</x:v>
      </x:c>
      <x:c r="M49" s="98" t="str">
        <x:v>Один свежий снимок; раздельная динамика за 10-15 минут недоступна</x:v>
      </x:c>
      <x:c r="N49" s="98" t="str">
        <x:v>Девять ударов в створ без гола; активность распределена между командами</x:v>
      </x:c>
      <x:c r="O49" s="98" t="str">
        <x:v>Два дополнительных гола дают полупроигрыш; xG недоступен</x:v>
      </x:c>
      <x:c r="P49" s="98" t="str">
        <x:v>Средняя</x:v>
      </x:c>
      <x:c r="Q49" s="80" t="str">
        <x:v>ПОДХОДИТ В LIVE</x:v>
      </x:c>
      <x:c r="R49" s="80" t="str">
        <x:v>ТБ live v1 от 13.10.2026</x:v>
      </x:c>
      <x:c r="S49" s="80" t="str">
        <x:v>BetsAPI / Bet365</x:v>
      </x:c>
      <x:c r="T49" s="80" t="str">
        <x:v>2-0</x:v>
      </x:c>
      <x:c r="U49" s="80" t="str">
        <x:v>Полупроигрыш</x:v>
      </x:c>
      <x:c r="V49" s="89" t="n">
        <x:f>IF(A49="","",IF(U49="","",IF(U49="Выигрыш",J49-1,IF(U49="Полувыигрыш",(J49-1)/2,IF(U49="Возврат",0,IF(U49="Полупроигрыш",-0.5,IF(U49="Поражение",-1,"Проверить результат")))))))</x:f>
        <x:v>-0.5</x:v>
      </x:c>
      <x:c r="W49" s="80" t="str">
        <x:f>IF(A49="","",IF(U49="","Открыт",IF(ISNUMBER(V49),"Рассчитан","Проверить результат")))</x:f>
        <x:v>Рассчитан</x:v>
      </x:c>
      <x:c r="X49" s="98" t="str">
        <x:v>Быстрый live-отбор 22:18 МСК; топ-1 прохода</x:v>
      </x:c>
      <x:c r="Y49" s="5" t="str">
        <x:v>История без разделения</x:v>
      </x:c>
      <x:c r="Z49" s="5"/>
      <x:c r="AA49" s="5"/>
      <x:c r="AB49" s="118"/>
      <x:c r="AC49" s="119"/>
      <x:c r="AD49" s="119"/>
      <x:c r="AE49" s="5"/>
      <x:c r="AF49" s="5" t="str">
        <x:v>BetsAPI event ID 13284855; итоговый отчёт 13.10.2026, № 46</x:v>
      </x:c>
      <x:c r="AG49" s="5" t="str">
        <x:v>Топ-5</x:v>
      </x:c>
    </x:row>
    <x:row r="50">
      <x:c r="A50" s="80" t="n">
        <x:v>45</x:v>
      </x:c>
      <x:c r="B50" s="80" t="str">
        <x:v>12273461</x:v>
      </x:c>
      <x:c r="C50" s="83" t="str">
        <x:v>13.10.2026 22:18</x:v>
      </x:c>
      <x:c r="D50" s="80" t="str">
        <x:v>Англия - Северная Премьер-лига</x:v>
      </x:c>
      <x:c r="E50" s="80" t="str">
        <x:v>Юнайтед оф Манчестер - Эмли</x:v>
      </x:c>
      <x:c r="F50" s="86" t="n">
        <x:v>31</x:v>
      </x:c>
      <x:c r="G50" s="80" t="str">
        <x:v>0:0</x:v>
      </x:c>
      <x:c r="H50" s="95" t="str">
        <x:v>Эмли создаёт явное преимущество по ударам и ударам в створ</x:v>
      </x:c>
      <x:c r="I50" s="95" t="str">
        <x:v>ТБ 2 всего матча</x:v>
      </x:c>
      <x:c r="J50" s="96" t="n">
        <x:v>1.775</x:v>
      </x:c>
      <x:c r="K50" s="97" t="n">
        <x:v>3</x:v>
      </x:c>
      <x:c r="L50" s="98" t="str">
        <x:v>Удары 5:10; в створ 2:6; опасные атаки 13:25; угловые 0:1; владение 36:64</x:v>
      </x:c>
      <x:c r="M50" s="98" t="str">
        <x:v>Один свежий снимок; раздельная динамика за 10-15 минут недоступна</x:v>
      </x:c>
      <x:c r="N50" s="98" t="str">
        <x:v>Пятнадцать ударов и восемь в створ; гости заметно активнее</x:v>
      </x:c>
      <x:c r="O50" s="98" t="str">
        <x:v>Два гола дают только возврат; мало угловых; xG недоступен</x:v>
      </x:c>
      <x:c r="P50" s="98" t="str">
        <x:v>Средняя</x:v>
      </x:c>
      <x:c r="Q50" s="80" t="str">
        <x:v>ПОДХОДИТ В LIVE</x:v>
      </x:c>
      <x:c r="R50" s="80" t="str">
        <x:v>ТБ live v1 от 13.10.2026</x:v>
      </x:c>
      <x:c r="S50" s="80" t="str">
        <x:v>BetsAPI / Bet365</x:v>
      </x:c>
      <x:c r="T50" s="80" t="str">
        <x:v>1-1</x:v>
      </x:c>
      <x:c r="U50" s="80" t="str">
        <x:v>Возврат</x:v>
      </x:c>
      <x:c r="V50" s="89" t="n">
        <x:f>IF(A50="","",IF(U50="","",IF(U50="Выигрыш",J50-1,IF(U50="Полувыигрыш",(J50-1)/2,IF(U50="Возврат",0,IF(U50="Полупроигрыш",-0.5,IF(U50="Поражение",-1,"Проверить результат")))))))</x:f>
        <x:v>0</x:v>
      </x:c>
      <x:c r="W50" s="80" t="str">
        <x:f>IF(A50="","",IF(U50="","Открыт",IF(ISNUMBER(V50),"Рассчитан","Проверить результат")))</x:f>
        <x:v>Рассчитан</x:v>
      </x:c>
      <x:c r="X50" s="98" t="str">
        <x:v>Быстрый live-отбор 22:18 МСК; топ-2 прохода</x:v>
      </x:c>
      <x:c r="Y50" s="5" t="str">
        <x:v>История без разделения</x:v>
      </x:c>
      <x:c r="Z50" s="5"/>
      <x:c r="AA50" s="5"/>
      <x:c r="AB50" s="118"/>
      <x:c r="AC50" s="119"/>
      <x:c r="AD50" s="119"/>
      <x:c r="AE50" s="5"/>
      <x:c r="AF50" s="5" t="str">
        <x:v>BetsAPI event ID 12273461; итоговый отчёт 13.10.2026, № 47</x:v>
      </x:c>
      <x:c r="AG50" s="5" t="str">
        <x:v>Топ-5</x:v>
      </x:c>
    </x:row>
    <x:row r="51">
      <x:c r="A51" s="80" t="n">
        <x:v>46</x:v>
      </x:c>
      <x:c r="B51" s="80" t="str">
        <x:v>12261910</x:v>
      </x:c>
      <x:c r="C51" s="83" t="str">
        <x:v>13.10.2026 22:18</x:v>
      </x:c>
      <x:c r="D51" s="80" t="str">
        <x:v>Шотландия - Кубок вызова</x:v>
      </x:c>
      <x:c r="E51" s="80" t="str">
        <x:v>Эдинбург - Сент-Миррен B</x:v>
      </x:c>
      <x:c r="F51" s="86" t="n">
        <x:v>32</x:v>
      </x:c>
      <x:c r="G51" s="80" t="str">
        <x:v>0:1</x:v>
      </x:c>
      <x:c r="H51" s="95" t="str">
        <x:v>Конкурентная игра с преимуществом гостей по качеству атак</x:v>
      </x:c>
      <x:c r="I51" s="95" t="str">
        <x:v>ТБ 3,5 всего матча</x:v>
      </x:c>
      <x:c r="J51" s="96" t="n">
        <x:v>1.95</x:v>
      </x:c>
      <x:c r="K51" s="97" t="n">
        <x:v>3</x:v>
      </x:c>
      <x:c r="L51" s="98" t="str">
        <x:v>Удары 7:7; в створ 3:5; угловые 1:4; опасные атаки 13:25; владение 50:50</x:v>
      </x:c>
      <x:c r="M51" s="98" t="str">
        <x:v>Один свежий снимок; раздельная динамика за 10-15 минут недоступна</x:v>
      </x:c>
      <x:c r="N51" s="98" t="str">
        <x:v>Четырнадцать ударов и восемь в створ; обе команды участвуют в игре</x:v>
      </x:c>
      <x:c r="O51" s="98" t="str">
        <x:v>Для выигрыша нужны ещё три гола; xG недоступен</x:v>
      </x:c>
      <x:c r="P51" s="98" t="str">
        <x:v>Средняя</x:v>
      </x:c>
      <x:c r="Q51" s="80" t="str">
        <x:v>ПОДХОДИТ В LIVE</x:v>
      </x:c>
      <x:c r="R51" s="80" t="str">
        <x:v>ТБ live v1 от 13.10.2026</x:v>
      </x:c>
      <x:c r="S51" s="80" t="str">
        <x:v>BetsAPI / Bet365</x:v>
      </x:c>
      <x:c r="T51" s="80" t="str">
        <x:v>0-5</x:v>
      </x:c>
      <x:c r="U51" s="80" t="str">
        <x:v>Выигрыш</x:v>
      </x:c>
      <x:c r="V51" s="89" t="n">
        <x:f>IF(A51="","",IF(U51="","",IF(U51="Выигрыш",J51-1,IF(U51="Полувыигрыш",(J51-1)/2,IF(U51="Возврат",0,IF(U51="Полупроигрыш",-0.5,IF(U51="Поражение",-1,"Проверить результат")))))))</x:f>
        <x:v>0.95</x:v>
      </x:c>
      <x:c r="W51" s="80" t="str">
        <x:f>IF(A51="","",IF(U51="","Открыт",IF(ISNUMBER(V51),"Рассчитан","Проверить результат")))</x:f>
        <x:v>Рассчитан</x:v>
      </x:c>
      <x:c r="X51" s="98" t="str">
        <x:v>Быстрый live-отбор 22:18 МСК; топ-3 прохода</x:v>
      </x:c>
      <x:c r="Y51" s="5" t="str">
        <x:v>История без разделения</x:v>
      </x:c>
      <x:c r="Z51" s="5"/>
      <x:c r="AA51" s="5"/>
      <x:c r="AB51" s="118"/>
      <x:c r="AC51" s="119"/>
      <x:c r="AD51" s="119"/>
      <x:c r="AE51" s="5"/>
      <x:c r="AF51" s="5" t="str">
        <x:v>BetsAPI event ID 12261910; итоговый отчёт 13.10.2026, № 48</x:v>
      </x:c>
      <x:c r="AG51" s="5" t="str">
        <x:v>Топ-5</x:v>
      </x:c>
    </x:row>
    <x:row r="52">
      <x:c r="A52" s="80" t="n">
        <x:v>47</x:v>
      </x:c>
      <x:c r="B52" s="80" t="str">
        <x:v>13041499</x:v>
      </x:c>
      <x:c r="C52" s="83" t="str">
        <x:v>13.10.2026 22:18</x:v>
      </x:c>
      <x:c r="D52" s="80" t="str">
        <x:v>Лига чемпионов УЕФА</x:v>
      </x:c>
      <x:c r="E52" s="80" t="str">
        <x:v>Викинг - Бавария</x:v>
      </x:c>
      <x:c r="F52" s="86" t="n">
        <x:v>16</x:v>
      </x:c>
      <x:c r="G52" s="80" t="str">
        <x:v>1:0</x:v>
      </x:c>
      <x:c r="H52" s="95" t="str">
        <x:v>Бавария проигрывает и полностью доминирует</x:v>
      </x:c>
      <x:c r="I52" s="95" t="str">
        <x:v>ТБ 4,75 всего матча</x:v>
      </x:c>
      <x:c r="J52" s="96" t="n">
        <x:v>1.925</x:v>
      </x:c>
      <x:c r="K52" s="97" t="n">
        <x:v>5</x:v>
      </x:c>
      <x:c r="L52" s="98" t="str">
        <x:v>Удары 1:6; в створ 1:2; угловые 1:5; опасные атаки 3:18; владение 23:77; xG 0,16:0,21</x:v>
      </x:c>
      <x:c r="M52" s="98" t="str">
        <x:v>Один свежий снимок; раздельная динамика за 10-15 минут недоступна</x:v>
      </x:c>
      <x:c r="N52" s="98" t="str">
        <x:v>Бавария проигрывает, владеет 77% и ведёт по ударам 6:1 и угловым 5:1</x:v>
      </x:c>
      <x:c r="O52" s="98" t="str">
        <x:v>Суммарный xG только 0,37; четыре дополнительных гола дают лишь полувыигрыш</x:v>
      </x:c>
      <x:c r="P52" s="98" t="str">
        <x:v>Высокая</x:v>
      </x:c>
      <x:c r="Q52" s="80" t="str">
        <x:v>ПОДХОДИТ В LIVE</x:v>
      </x:c>
      <x:c r="R52" s="80" t="str">
        <x:v>ТБ live v1 от 13.10.2026</x:v>
      </x:c>
      <x:c r="S52" s="80" t="str">
        <x:v>BetsAPI / Bet365</x:v>
      </x:c>
      <x:c r="T52" s="80" t="str">
        <x:v>3-3</x:v>
      </x:c>
      <x:c r="U52" s="80" t="str">
        <x:v>Выигрыш</x:v>
      </x:c>
      <x:c r="V52" s="89" t="n">
        <x:f>IF(A52="","",IF(U52="","",IF(U52="Выигрыш",J52-1,IF(U52="Полувыигрыш",(J52-1)/2,IF(U52="Возврат",0,IF(U52="Полупроигрыш",-0.5,IF(U52="Поражение",-1,"Проверить результат")))))))</x:f>
        <x:v>0.925</x:v>
      </x:c>
      <x:c r="W52" s="80" t="str">
        <x:f>IF(A52="","",IF(U52="","Открыт",IF(ISNUMBER(V52),"Рассчитан","Проверить результат")))</x:f>
        <x:v>Рассчитан</x:v>
      </x:c>
      <x:c r="X52" s="98" t="str">
        <x:v>Быстрый live-отбор 22:18 МСК; топ-4; агрессивный выбор; подтверждение прематчевого кандидата</x:v>
      </x:c>
      <x:c r="Y52" s="5" t="str">
        <x:v>История без разделения</x:v>
      </x:c>
      <x:c r="Z52" s="5"/>
      <x:c r="AA52" s="5"/>
      <x:c r="AB52" s="118"/>
      <x:c r="AC52" s="119"/>
      <x:c r="AD52" s="119"/>
      <x:c r="AE52" s="5"/>
      <x:c r="AF52" s="5" t="str">
        <x:v>BetsAPI event ID 13041499; итоговый отчёт 13.10.2026, № 49</x:v>
      </x:c>
      <x:c r="AG52" s="5" t="str">
        <x:v>Топ-5</x:v>
      </x:c>
    </x:row>
    <x:row r="53">
      <x:c r="A53" s="80" t="n">
        <x:v>48</x:v>
      </x:c>
      <x:c r="B53" s="80" t="str">
        <x:v>13041972</x:v>
      </x:c>
      <x:c r="C53" s="83" t="str">
        <x:v>13.10.2026 22:18</x:v>
      </x:c>
      <x:c r="D53" s="80" t="str">
        <x:v>Лига чемпионов УЕФА</x:v>
      </x:c>
      <x:c r="E53" s="80" t="str">
        <x:v>Вильярреал - Наполи</x:v>
      </x:c>
      <x:c r="F53" s="86" t="n">
        <x:v>17</x:v>
      </x:c>
      <x:c r="G53" s="80" t="str">
        <x:v>0:1</x:v>
      </x:c>
      <x:c r="H53" s="95" t="str">
        <x:v>Проигрывающий хозяин должен раскрываться</x:v>
      </x:c>
      <x:c r="I53" s="95" t="str">
        <x:v>ТБ 3,25 всего матча</x:v>
      </x:c>
      <x:c r="J53" s="96" t="n">
        <x:v>1.85</x:v>
      </x:c>
      <x:c r="K53" s="97" t="n">
        <x:v>3</x:v>
      </x:c>
      <x:c r="L53" s="98" t="str">
        <x:v>Удары 4:2; в створ 0:2; угловые 3:1; опасные атаки 10:8; владение 58:42; xG 0,44:0,77</x:v>
      </x:c>
      <x:c r="M53" s="98" t="str">
        <x:v>Один свежий снимок; раздельная динамика за 10-15 минут недоступна</x:v>
      </x:c>
      <x:c r="N53" s="98" t="str">
        <x:v>Ранний гол; суммарный xG 1,21; Вильярреал уже подаёт и атакует</x:v>
      </x:c>
      <x:c r="O53" s="98" t="str">
        <x:v>Два дополнительных гола дают полупроигрыш; у хозяев нет ударов в створ</x:v>
      </x:c>
      <x:c r="P53" s="98" t="str">
        <x:v>Высокая</x:v>
      </x:c>
      <x:c r="Q53" s="80" t="str">
        <x:v>ПОДХОДИТ В LIVE</x:v>
      </x:c>
      <x:c r="R53" s="80" t="str">
        <x:v>ТБ live v1 от 13.10.2026</x:v>
      </x:c>
      <x:c r="S53" s="80" t="str">
        <x:v>BetsAPI / Bet365</x:v>
      </x:c>
      <x:c r="T53" s="80" t="str">
        <x:v>3-1</x:v>
      </x:c>
      <x:c r="U53" s="80" t="str">
        <x:v>Выигрыш</x:v>
      </x:c>
      <x:c r="V53" s="89" t="n">
        <x:f>IF(A53="","",IF(U53="","",IF(U53="Выигрыш",J53-1,IF(U53="Полувыигрыш",(J53-1)/2,IF(U53="Возврат",0,IF(U53="Полупроигрыш",-0.5,IF(U53="Поражение",-1,"Проверить результат")))))))</x:f>
        <x:v>0.8500000000000001</x:v>
      </x:c>
      <x:c r="W53" s="80" t="str">
        <x:f>IF(A53="","",IF(U53="","Открыт",IF(ISNUMBER(V53),"Рассчитан","Проверить результат")))</x:f>
        <x:v>Рассчитан</x:v>
      </x:c>
      <x:c r="X53" s="98" t="str">
        <x:v>Быстрый live-отбор 22:18 МСК; топ-5 прохода</x:v>
      </x:c>
      <x:c r="Y53" s="5" t="str">
        <x:v>История без разделения</x:v>
      </x:c>
      <x:c r="Z53" s="5"/>
      <x:c r="AA53" s="5"/>
      <x:c r="AB53" s="118"/>
      <x:c r="AC53" s="119"/>
      <x:c r="AD53" s="119"/>
      <x:c r="AE53" s="5"/>
      <x:c r="AF53" s="5" t="str">
        <x:v>BetsAPI event ID 13041972; итоговый отчёт 13.10.2026, № 50</x:v>
      </x:c>
      <x:c r="AG53" s="5" t="str">
        <x:v>Топ-5</x:v>
      </x:c>
    </x:row>
    <x:row r="54">
      <x:c r="A54" s="80" t="n">
        <x:v>49</x:v>
      </x:c>
      <x:c r="B54" s="80"/>
      <x:c r="C54" s="83" t="str">
        <x:v>13.10.2026 23:09</x:v>
      </x:c>
      <x:c r="D54" s="80" t="str">
        <x:v>Европа - Лига чемпионов УЕФА</x:v>
      </x:c>
      <x:c r="E54" s="80" t="str">
        <x:v>Интер - Брюгге</x:v>
      </x:c>
      <x:c r="F54" s="86" t="n">
        <x:v>49</x:v>
      </x:c>
      <x:c r="G54" s="80" t="str">
        <x:v>1:1</x:v>
      </x:c>
      <x:c r="H54" s="95"/>
      <x:c r="I54" s="95" t="str">
        <x:v>ТБ 4 всего матча</x:v>
      </x:c>
      <x:c r="J54" s="96" t="n">
        <x:v>1.925</x:v>
      </x:c>
      <x:c r="K54" s="97" t="n">
        <x:v>3</x:v>
      </x:c>
      <x:c r="L54" s="98"/>
      <x:c r="M54" s="98"/>
      <x:c r="N54" s="98"/>
      <x:c r="O54" s="98"/>
      <x:c r="P54" s="98" t="str">
        <x:v>В итоговом отчёте нет исходной статистики</x:v>
      </x:c>
      <x:c r="Q54" s="80" t="str">
        <x:v>ПОДХОДИТ В LIVE</x:v>
      </x:c>
      <x:c r="R54" s="80" t="str">
        <x:v>ТБ live v1 от 13.10.2026</x:v>
      </x:c>
      <x:c r="S54" s="80" t="str">
        <x:v>The Times / итог матча</x:v>
      </x:c>
      <x:c r="T54" s="80" t="str">
        <x:v>3-4</x:v>
      </x:c>
      <x:c r="U54" s="80" t="str">
        <x:v>Выигрыш</x:v>
      </x:c>
      <x:c r="V54" s="89" t="n">
        <x:f>IF(A54="","",IF(U54="","",IF(U54="Выигрыш",J54-1,IF(U54="Полувыигрыш",(J54-1)/2,IF(U54="Возврат",0,IF(U54="Полупроигрыш",-0.5,IF(U54="Поражение",-1,"Проверить результат")))))))</x:f>
        <x:v>0.925</x:v>
      </x:c>
      <x:c r="W54" s="80" t="str">
        <x:f>IF(A54="","",IF(U54="","Открыт",IF(ISNUMBER(V54),"Рассчитан","Проверить результат")))</x:f>
        <x:v>Рассчитан</x:v>
      </x:c>
      <x:c r="X54" s="98" t="str">
        <x:v>Восстановлено из итогового отчёта, № 51</x:v>
      </x:c>
      <x:c r="Y54" s="5" t="str">
        <x:v>История без разделения</x:v>
      </x:c>
      <x:c r="Z54" s="5"/>
      <x:c r="AA54" s="5"/>
      <x:c r="AB54" s="118"/>
      <x:c r="AC54" s="119"/>
      <x:c r="AD54" s="119"/>
      <x:c r="AE54" s="5"/>
      <x:c r="AF54" s="5" t="str">
        <x:v>The Times / итог матча; итоговый отчёт 13.10.2026, № 51</x:v>
      </x:c>
      <x:c r="AG54" s="5" t="str">
        <x:v>Топ-5</x:v>
      </x:c>
    </x:row>
    <x:row r="55">
      <x:c r="A55" s="80" t="n">
        <x:v>50</x:v>
      </x:c>
      <x:c r="B55" s="80"/>
      <x:c r="C55" s="83" t="str">
        <x:v>13.10.2026 23:09</x:v>
      </x:c>
      <x:c r="D55" s="80" t="str">
        <x:v>Европа - Лига чемпионов УЕФА</x:v>
      </x:c>
      <x:c r="E55" s="80" t="str">
        <x:v>Лейпциг - ПСВ</x:v>
      </x:c>
      <x:c r="F55" s="86" t="n">
        <x:v>48</x:v>
      </x:c>
      <x:c r="G55" s="80" t="str">
        <x:v>0:0</x:v>
      </x:c>
      <x:c r="H55" s="95"/>
      <x:c r="I55" s="95" t="str">
        <x:v>ТБ 2 всего матча</x:v>
      </x:c>
      <x:c r="J55" s="96" t="n">
        <x:v>2.05</x:v>
      </x:c>
      <x:c r="K55" s="97" t="n">
        <x:v>3</x:v>
      </x:c>
      <x:c r="L55" s="98"/>
      <x:c r="M55" s="98"/>
      <x:c r="N55" s="98"/>
      <x:c r="O55" s="98"/>
      <x:c r="P55" s="98" t="str">
        <x:v>В итоговом отчёте нет исходной статистики</x:v>
      </x:c>
      <x:c r="Q55" s="80" t="str">
        <x:v>ПОДХОДИТ В LIVE</x:v>
      </x:c>
      <x:c r="R55" s="80" t="str">
        <x:v>ТБ live v1 от 13.10.2026</x:v>
      </x:c>
      <x:c r="S55" s="80" t="str">
        <x:v>Sofascore / итог матча</x:v>
      </x:c>
      <x:c r="T55" s="80" t="str">
        <x:v>1-0</x:v>
      </x:c>
      <x:c r="U55" s="80" t="str">
        <x:v>Поражение</x:v>
      </x:c>
      <x:c r="V55" s="89" t="n">
        <x:f>IF(A55="","",IF(U55="","",IF(U55="Выигрыш",J55-1,IF(U55="Полувыигрыш",(J55-1)/2,IF(U55="Возврат",0,IF(U55="Полупроигрыш",-0.5,IF(U55="Поражение",-1,"Проверить результат")))))))</x:f>
        <x:v>-1</x:v>
      </x:c>
      <x:c r="W55" s="80" t="str">
        <x:f>IF(A55="","",IF(U55="","Открыт",IF(ISNUMBER(V55),"Рассчитан","Проверить результат")))</x:f>
        <x:v>Рассчитан</x:v>
      </x:c>
      <x:c r="X55" s="98" t="str">
        <x:v>Восстановлено из итогового отчёта, № 52</x:v>
      </x:c>
      <x:c r="Y55" s="5" t="str">
        <x:v>История без разделения</x:v>
      </x:c>
      <x:c r="Z55" s="5"/>
      <x:c r="AA55" s="5"/>
      <x:c r="AB55" s="118"/>
      <x:c r="AC55" s="119"/>
      <x:c r="AD55" s="119"/>
      <x:c r="AE55" s="5"/>
      <x:c r="AF55" s="5" t="str">
        <x:v>Sofascore / итог матча; итоговый отчёт 13.10.2026, № 52</x:v>
      </x:c>
      <x:c r="AG55" s="5" t="str">
        <x:v>Топ-5</x:v>
      </x:c>
    </x:row>
    <x:row r="56">
      <x:c r="A56" s="80" t="n">
        <x:v>51</x:v>
      </x:c>
      <x:c r="B56" s="80"/>
      <x:c r="C56" s="83" t="str">
        <x:v>13.10.2026 23:09</x:v>
      </x:c>
      <x:c r="D56" s="80" t="str">
        <x:v>Европа - Лига чемпионов УЕФА</x:v>
      </x:c>
      <x:c r="E56" s="80" t="str">
        <x:v>Арсенал - Лилль</x:v>
      </x:c>
      <x:c r="F56" s="86" t="n">
        <x:v>50</x:v>
      </x:c>
      <x:c r="G56" s="80" t="str">
        <x:v>0:0</x:v>
      </x:c>
      <x:c r="H56" s="95"/>
      <x:c r="I56" s="95" t="str">
        <x:v>ТБ 1,5 всего матча</x:v>
      </x:c>
      <x:c r="J56" s="96" t="n">
        <x:v>2.025</x:v>
      </x:c>
      <x:c r="K56" s="97" t="n">
        <x:v>2</x:v>
      </x:c>
      <x:c r="L56" s="98"/>
      <x:c r="M56" s="98"/>
      <x:c r="N56" s="98"/>
      <x:c r="O56" s="98"/>
      <x:c r="P56" s="98" t="str">
        <x:v>В итоговом отчёте нет исходной статистики</x:v>
      </x:c>
      <x:c r="Q56" s="80" t="str">
        <x:v>ПОДХОДИТ В LIVE</x:v>
      </x:c>
      <x:c r="R56" s="80" t="str">
        <x:v>ТБ live v1 от 13.10.2026</x:v>
      </x:c>
      <x:c r="S56" s="80" t="str">
        <x:v>Sky Sports / итог матча</x:v>
      </x:c>
      <x:c r="T56" s="80" t="str">
        <x:v>3-0</x:v>
      </x:c>
      <x:c r="U56" s="80" t="str">
        <x:v>Выигрыш</x:v>
      </x:c>
      <x:c r="V56" s="89" t="n">
        <x:f>IF(A56="","",IF(U56="","",IF(U56="Выигрыш",J56-1,IF(U56="Полувыигрыш",(J56-1)/2,IF(U56="Возврат",0,IF(U56="Полупроигрыш",-0.5,IF(U56="Поражение",-1,"Проверить результат")))))))</x:f>
        <x:v>1.025</x:v>
      </x:c>
      <x:c r="W56" s="80" t="str">
        <x:f>IF(A56="","",IF(U56="","Открыт",IF(ISNUMBER(V56),"Рассчитан","Проверить результат")))</x:f>
        <x:v>Рассчитан</x:v>
      </x:c>
      <x:c r="X56" s="98" t="str">
        <x:v>Восстановлено из итогового отчёта, № 53</x:v>
      </x:c>
      <x:c r="Y56" s="5" t="str">
        <x:v>История без разделения</x:v>
      </x:c>
      <x:c r="Z56" s="5"/>
      <x:c r="AA56" s="5"/>
      <x:c r="AB56" s="118"/>
      <x:c r="AC56" s="119"/>
      <x:c r="AD56" s="119"/>
      <x:c r="AE56" s="5"/>
      <x:c r="AF56" s="5" t="str">
        <x:v>Sky Sports / итог матча; итоговый отчёт 13.10.2026, № 53</x:v>
      </x:c>
      <x:c r="AG56" s="5" t="str">
        <x:v>Топ-5</x:v>
      </x:c>
    </x:row>
    <x:row r="57">
      <x:c r="A57" s="80" t="n">
        <x:v>52</x:v>
      </x:c>
      <x:c r="B57" s="80" t="str">
        <x:v>13041499</x:v>
      </x:c>
      <x:c r="C57" s="83" t="str">
        <x:v>13.10.2026 23:09</x:v>
      </x:c>
      <x:c r="D57" s="80" t="str">
        <x:v>Европа - Лига чемпионов УЕФА</x:v>
      </x:c>
      <x:c r="E57" s="80" t="str">
        <x:v>Викинг - Бавария</x:v>
      </x:c>
      <x:c r="F57" s="86" t="n">
        <x:v>49</x:v>
      </x:c>
      <x:c r="G57" s="80" t="str">
        <x:v>2:0</x:v>
      </x:c>
      <x:c r="H57" s="95"/>
      <x:c r="I57" s="95" t="str">
        <x:v>ТБ 4,5 всего матча</x:v>
      </x:c>
      <x:c r="J57" s="96" t="n">
        <x:v>1.925</x:v>
      </x:c>
      <x:c r="K57" s="97" t="n">
        <x:v>3</x:v>
      </x:c>
      <x:c r="L57" s="98"/>
      <x:c r="M57" s="98"/>
      <x:c r="N57" s="98"/>
      <x:c r="O57" s="98"/>
      <x:c r="P57" s="98" t="str">
        <x:v>В итоговом отчёте нет исходной статистики</x:v>
      </x:c>
      <x:c r="Q57" s="80" t="str">
        <x:v>ПОДХОДИТ В LIVE</x:v>
      </x:c>
      <x:c r="R57" s="80" t="str">
        <x:v>ТБ live v1 от 13.10.2026</x:v>
      </x:c>
      <x:c r="S57" s="80" t="str">
        <x:v>BetsAPI event ID 13041499</x:v>
      </x:c>
      <x:c r="T57" s="80" t="str">
        <x:v>3-3</x:v>
      </x:c>
      <x:c r="U57" s="80" t="str">
        <x:v>Выигрыш</x:v>
      </x:c>
      <x:c r="V57" s="89" t="n">
        <x:f>IF(A57="","",IF(U57="","",IF(U57="Выигрыш",J57-1,IF(U57="Полувыигрыш",(J57-1)/2,IF(U57="Возврат",0,IF(U57="Полупроигрыш",-0.5,IF(U57="Поражение",-1,"Проверить результат")))))))</x:f>
        <x:v>0.925</x:v>
      </x:c>
      <x:c r="W57" s="80" t="str">
        <x:f>IF(A57="","",IF(U57="","Открыт",IF(ISNUMBER(V57),"Рассчитан","Проверить результат")))</x:f>
        <x:v>Рассчитан</x:v>
      </x:c>
      <x:c r="X57" s="98" t="str">
        <x:v>Восстановлено из итогового отчёта, № 54</x:v>
      </x:c>
      <x:c r="Y57" s="5" t="str">
        <x:v>История без разделения</x:v>
      </x:c>
      <x:c r="Z57" s="5"/>
      <x:c r="AA57" s="5"/>
      <x:c r="AB57" s="118"/>
      <x:c r="AC57" s="119"/>
      <x:c r="AD57" s="119"/>
      <x:c r="AE57" s="5"/>
      <x:c r="AF57" s="5" t="str">
        <x:v>BetsAPI event ID 13041499; итоговый отчёт 13.10.2026, № 54</x:v>
      </x:c>
      <x:c r="AG57" s="5" t="str">
        <x:v>Топ-5</x:v>
      </x:c>
    </x:row>
    <x:row r="58">
      <x:c r="A58" s="80" t="n">
        <x:v>53</x:v>
      </x:c>
      <x:c r="B58" s="80" t="str">
        <x:v>13041972</x:v>
      </x:c>
      <x:c r="C58" s="83" t="str">
        <x:v>13.10.2026 23:09</x:v>
      </x:c>
      <x:c r="D58" s="80" t="str">
        <x:v>Европа - Лига чемпионов УЕФА</x:v>
      </x:c>
      <x:c r="E58" s="80" t="str">
        <x:v>Вильярреал - Наполи</x:v>
      </x:c>
      <x:c r="F58" s="86" t="n">
        <x:v>50</x:v>
      </x:c>
      <x:c r="G58" s="80" t="str">
        <x:v>2:1</x:v>
      </x:c>
      <x:c r="H58" s="95"/>
      <x:c r="I58" s="95" t="str">
        <x:v>ТБ 4,5 всего матча</x:v>
      </x:c>
      <x:c r="J58" s="96" t="n">
        <x:v>1.975</x:v>
      </x:c>
      <x:c r="K58" s="97" t="n">
        <x:v>2</x:v>
      </x:c>
      <x:c r="L58" s="98"/>
      <x:c r="M58" s="98"/>
      <x:c r="N58" s="98"/>
      <x:c r="O58" s="98"/>
      <x:c r="P58" s="98" t="str">
        <x:v>В итоговом отчёте нет исходной статистики</x:v>
      </x:c>
      <x:c r="Q58" s="80" t="str">
        <x:v>ПОДХОДИТ В LIVE</x:v>
      </x:c>
      <x:c r="R58" s="80" t="str">
        <x:v>ТБ live v1 от 13.10.2026</x:v>
      </x:c>
      <x:c r="S58" s="80" t="str">
        <x:v>BetsAPI event ID 13041972</x:v>
      </x:c>
      <x:c r="T58" s="80" t="str">
        <x:v>3-1</x:v>
      </x:c>
      <x:c r="U58" s="80" t="str">
        <x:v>Поражение</x:v>
      </x:c>
      <x:c r="V58" s="89" t="n">
        <x:f>IF(A58="","",IF(U58="","",IF(U58="Выигрыш",J58-1,IF(U58="Полувыигрыш",(J58-1)/2,IF(U58="Возврат",0,IF(U58="Полупроигрыш",-0.5,IF(U58="Поражение",-1,"Проверить результат")))))))</x:f>
        <x:v>-1</x:v>
      </x:c>
      <x:c r="W58" s="80" t="str">
        <x:f>IF(A58="","",IF(U58="","Открыт",IF(ISNUMBER(V58),"Рассчитан","Проверить результат")))</x:f>
        <x:v>Рассчитан</x:v>
      </x:c>
      <x:c r="X58" s="98" t="str">
        <x:v>Восстановлено из итогового отчёта, № 55</x:v>
      </x:c>
      <x:c r="Y58" s="5" t="str">
        <x:v>История без разделения</x:v>
      </x:c>
      <x:c r="Z58" s="5"/>
      <x:c r="AA58" s="5"/>
      <x:c r="AB58" s="118"/>
      <x:c r="AC58" s="119"/>
      <x:c r="AD58" s="119"/>
      <x:c r="AE58" s="5"/>
      <x:c r="AF58" s="5" t="str">
        <x:v>BetsAPI event ID 13041972; итоговый отчёт 13.10.2026, № 55</x:v>
      </x:c>
      <x:c r="AG58" s="5" t="str">
        <x:v>Топ-5</x:v>
      </x:c>
    </x:row>
    <x:row r="59">
      <x:c r="A59" s="80" t="n">
        <x:v>54</x:v>
      </x:c>
      <x:c r="B59" s="80" t="str">
        <x:v>13224347</x:v>
      </x:c>
      <x:c r="C59" s="83" t="str">
        <x:v>14.10.2026 15:58:23</x:v>
      </x:c>
      <x:c r="D59" s="80" t="str">
        <x:v>Греция - Суперлига 2</x:v>
      </x:c>
      <x:c r="E59" s="80" t="str">
        <x:v>Олимпиакос Б - Афины Каллитея</x:v>
      </x:c>
      <x:c r="F59" s="86" t="n">
        <x:v>47</x:v>
      </x:c>
      <x:c r="G59" s="80" t="str">
        <x:v>0:1</x:v>
      </x:c>
      <x:c r="H59" s="95" t="str">
        <x:v>Гости создают угрозу; хозяевам нужно отыгрываться</x:v>
      </x:c>
      <x:c r="I59" s="95" t="str">
        <x:v>ТБ 2 (Матч)</x:v>
      </x:c>
      <x:c r="J59" s="96" t="n">
        <x:v>1.525</x:v>
      </x:c>
      <x:c r="K59" s="97" t="n">
        <x:v>2</x:v>
      </x:c>
      <x:c r="L59" s="98" t="str">
        <x:v>corners 2:1; dangerous_attacks 20:46; off_target 3:4; on_target 3:9; possession_rt 46:54; redcards 0:0</x:v>
      </x:c>
      <x:c r="M59" s="98" t="str">
        <x:v>Нет отдельных снимков за 10-15 минут</x:v>
      </x:c>
      <x:c r="N59" s="98" t="str">
        <x:v>Гости создают угрозу; хозяевам нужно отыгрываться</x:v>
      </x:c>
      <x:c r="O59" s="98" t="str">
        <x:v>Лидер может снизить темп; удары и сейвы источника не полностью согласованы</x:v>
      </x:c>
      <x:c r="P59" s="98" t="str">
        <x:v>Один снимок; xG и свежая динамика недоступны; внешней проверки нет</x:v>
      </x:c>
      <x:c r="Q59" s="80" t="str">
        <x:v>ПОДХОДИТ В LIVE</x:v>
      </x:c>
      <x:c r="R59" s="80" t="str">
        <x:v>ТБ live v2 от 14.10.2026</x:v>
      </x:c>
      <x:c r="S59" s="80" t="str">
        <x:v>BetsAPI / Bet365 full markets; Резервная команда против взрослой; run 38538525336 attempt 2</x:v>
      </x:c>
      <x:c r="T59" s="80" t="str">
        <x:v>0:1</x:v>
      </x:c>
      <x:c r="U59" s="80" t="str">
        <x:v>Поражение</x:v>
      </x:c>
      <x:c r="V59" s="89" t="n">
        <x:f>IF(A59="","",IF(U59="","",IF(U59="Выигрыш",J59-1,IF(U59="Полувыигрыш",(J59-1)/2,IF(U59="Возврат",0,IF(U59="Полупроигрыш",-0.5,IF(U59="Поражение",-1,"Проверить результат")))))))</x:f>
        <x:v>-1</x:v>
      </x:c>
      <x:c r="W59" s="80" t="str">
        <x:f>IF(A59="","",IF(U59="","Открыт",IF(ISNUMBER(V59),"Рассчитан","Проверить результат")))</x:f>
        <x:v>Рассчитан</x:v>
      </x:c>
      <x:c r="X59" s="98" t="str">
        <x:v>Ещё 1 гол - возврат; исходные условия первичного ответа</x:v>
      </x:c>
      <x:c r="Y59" s="5" t="str">
        <x:v>Оптимальный</x:v>
      </x:c>
      <x:c r="Z59" s="5" t="str">
        <x:v>20261014T155823-13224347</x:v>
      </x:c>
      <x:c r="AA59" s="5" t="str">
        <x:v>Матч</x:v>
      </x:c>
      <x:c r="AB59" s="118" t="n">
        <x:v>2</x:v>
      </x:c>
      <x:c r="AC59" s="119" t="str">
        <x:v>14.10.2026 15:58:23</x:v>
      </x:c>
      <x:c r="AD59" s="119" t="str">
        <x:v>14.10.2026 15:59</x:v>
      </x:c>
      <x:c r="AE59" s="5" t="str">
        <x:f>IF(A59="","",IF(Z59="","Нет ID пары",IF(AND(COUNTIFS($Z$59:$Z$505,Z59,$Y$59:$Y$505,"Оптимальный",$W$59:$W$505,"Рассчитан")=1,COUNTIFS($Z$59:$Z$505,Z59,$Y$59:$Y$505,"Агрессивный",$W$59:$W$505,"Рассчитан")=1),"Да","Нет")))</x:f>
        <x:v>Да</x:v>
      </x:c>
      <x:c r="AF59" s="5" t="str">
        <x:v>https://www.sofascore.com/football/match/olympiacos-athens-kallithea-fc/fpbsFoid | FT 0:1; матч завершён | Проверено 14.10.2026 17:14:56 МСК</x:v>
      </x:c>
      <x:c r="AG59" s="5" t="str">
        <x:v>Два контура v2</x:v>
      </x:c>
    </x:row>
    <x:row r="60">
      <x:c r="A60" s="80" t="n">
        <x:v>55</x:v>
      </x:c>
      <x:c r="B60" s="80" t="str">
        <x:v>13224347</x:v>
      </x:c>
      <x:c r="C60" s="83" t="str">
        <x:v>14.10.2026 15:58:23</x:v>
      </x:c>
      <x:c r="D60" s="80" t="str">
        <x:v>Греция - Суперлига 2</x:v>
      </x:c>
      <x:c r="E60" s="80" t="str">
        <x:v>Олимпиакос Б - Афины Каллитея</x:v>
      </x:c>
      <x:c r="F60" s="86" t="n">
        <x:v>47</x:v>
      </x:c>
      <x:c r="G60" s="80" t="str">
        <x:v>0:1</x:v>
      </x:c>
      <x:c r="H60" s="95" t="str">
        <x:v>Гости создают угрозу; хозяевам нужно отыгрываться</x:v>
      </x:c>
      <x:c r="I60" s="95" t="str">
        <x:v>ТБ 2.5 (Матч)</x:v>
      </x:c>
      <x:c r="J60" s="96" t="n">
        <x:v>2.25</x:v>
      </x:c>
      <x:c r="K60" s="97" t="n">
        <x:v>2</x:v>
      </x:c>
      <x:c r="L60" s="98" t="str">
        <x:v>corners 2:1; dangerous_attacks 20:46; off_target 3:4; on_target 3:9; possession_rt 46:54; redcards 0:0</x:v>
      </x:c>
      <x:c r="M60" s="98" t="str">
        <x:v>Нет отдельных снимков за 10-15 минут</x:v>
      </x:c>
      <x:c r="N60" s="98" t="str">
        <x:v>Гости создают угрозу; хозяевам нужно отыгрываться</x:v>
      </x:c>
      <x:c r="O60" s="98" t="str">
        <x:v>Лидер может снизить темп; удары и сейвы источника не полностью согласованы</x:v>
      </x:c>
      <x:c r="P60" s="98" t="str">
        <x:v>Один снимок; xG и свежая динамика недоступны; внешней проверки нет</x:v>
      </x:c>
      <x:c r="Q60" s="80" t="str">
        <x:v>ПОДХОДИТ В LIVE</x:v>
      </x:c>
      <x:c r="R60" s="80" t="str">
        <x:v>ТБ live v2 от 14.10.2026</x:v>
      </x:c>
      <x:c r="S60" s="80" t="str">
        <x:v>BetsAPI / Bet365 full markets; Резервная команда против взрослой; run 38538525336 attempt 2</x:v>
      </x:c>
      <x:c r="T60" s="80" t="str">
        <x:v>0:1</x:v>
      </x:c>
      <x:c r="U60" s="80" t="str">
        <x:v>Поражение</x:v>
      </x:c>
      <x:c r="V60" s="89" t="n">
        <x:f>IF(A60="","",IF(U60="","",IF(U60="Выигрыш",J60-1,IF(U60="Полувыигрыш",(J60-1)/2,IF(U60="Возврат",0,IF(U60="Полупроигрыш",-0.5,IF(U60="Поражение",-1,"Проверить результат")))))))</x:f>
        <x:v>-1</x:v>
      </x:c>
      <x:c r="W60" s="80" t="str">
        <x:f>IF(A60="","",IF(U60="","Открыт",IF(ISNUMBER(V60),"Рассчитан","Проверить результат")))</x:f>
        <x:v>Рассчитан</x:v>
      </x:c>
      <x:c r="X60" s="98" t="str">
        <x:v>Без возврата; исходные условия первичного ответа</x:v>
      </x:c>
      <x:c r="Y60" s="5" t="str">
        <x:v>Агрессивный</x:v>
      </x:c>
      <x:c r="Z60" s="5" t="str">
        <x:v>20261014T155823-13224347</x:v>
      </x:c>
      <x:c r="AA60" s="5" t="str">
        <x:v>Матч</x:v>
      </x:c>
      <x:c r="AB60" s="118" t="n">
        <x:v>2.5</x:v>
      </x:c>
      <x:c r="AC60" s="119" t="str">
        <x:v>14.10.2026 15:58:23</x:v>
      </x:c>
      <x:c r="AD60" s="119" t="str">
        <x:v>14.10.2026 15:59</x:v>
      </x:c>
      <x:c r="AE60" s="5" t="str">
        <x:f>IF(A60="","",IF(Z60="","Нет ID пары",IF(AND(COUNTIFS($Z$59:$Z$505,Z60,$Y$59:$Y$505,"Оптимальный",$W$59:$W$505,"Рассчитан")=1,COUNTIFS($Z$59:$Z$505,Z60,$Y$59:$Y$505,"Агрессивный",$W$59:$W$505,"Рассчитан")=1),"Да","Нет")))</x:f>
        <x:v>Да</x:v>
      </x:c>
      <x:c r="AF60" s="5" t="str">
        <x:v>https://www.sofascore.com/football/match/olympiacos-athens-kallithea-fc/fpbsFoid | FT 0:1; матч завершён | Проверено 14.10.2026 17:14:56 МСК</x:v>
      </x:c>
      <x:c r="AG60" s="5" t="str">
        <x:v>Два контура v2</x:v>
      </x:c>
    </x:row>
    <x:row r="61">
      <x:c r="A61" s="80" t="n">
        <x:v>56</x:v>
      </x:c>
      <x:c r="B61" s="80" t="str">
        <x:v>13294263</x:v>
      </x:c>
      <x:c r="C61" s="83" t="str">
        <x:v>14.10.2026 15:58:23</x:v>
      </x:c>
      <x:c r="D61" s="80" t="str">
        <x:v>Албания / Мальта - Юношеская лига УЕФА</x:v>
      </x:c>
      <x:c r="E61" s="80" t="str">
        <x:v>Партизани U19 - Валлетта U19</x:v>
      </x:c>
      <x:c r="F61" s="86" t="n">
        <x:v>45</x:v>
      </x:c>
      <x:c r="G61" s="80" t="str">
        <x:v>2:0</x:v>
      </x:c>
      <x:c r="H61" s="95" t="str">
        <x:v>Хозяева способны продолжить результативность самостоятельно</x:v>
      </x:c>
      <x:c r="I61" s="95" t="str">
        <x:v>ТБ 3.5 (Матч)</x:v>
      </x:c>
      <x:c r="J61" s="96" t="n">
        <x:v>1.6</x:v>
      </x:c>
      <x:c r="K61" s="97" t="n">
        <x:v>2</x:v>
      </x:c>
      <x:c r="L61" s="98" t="str">
        <x:v>corners 6:2; dangerous_attacks 41:16; off_target 10:2; on_target 4:1; possession_rt 58:42; redcards 0:0</x:v>
      </x:c>
      <x:c r="M61" s="98" t="str">
        <x:v>Нет отдельных снимков за 10-15 минут</x:v>
      </x:c>
      <x:c r="N61" s="98" t="str">
        <x:v>Хозяева способны продолжить результативность самостоятельно</x:v>
      </x:c>
      <x:c r="O61" s="98" t="str">
        <x:v>Снижение активности при комфортном счёте</x:v>
      </x:c>
      <x:c r="P61" s="98" t="str">
        <x:v>Один снимок; xG и свежая динамика недоступны; внешней проверки нет</x:v>
      </x:c>
      <x:c r="Q61" s="80" t="str">
        <x:v>ПОДХОДИТ В LIVE</x:v>
      </x:c>
      <x:c r="R61" s="80" t="str">
        <x:v>ТБ live v2 от 14.10.2026</x:v>
      </x:c>
      <x:c r="S61" s="80" t="str">
        <x:v>BetsAPI / Bet365 full markets; Молодёжный/юниорский; run 38538525336 attempt 2</x:v>
      </x:c>
      <x:c r="T61" s="80" t="str">
        <x:v>4:0</x:v>
      </x:c>
      <x:c r="U61" s="80" t="str">
        <x:v>Выигрыш</x:v>
      </x:c>
      <x:c r="V61" s="89" t="n">
        <x:f>IF(A61="","",IF(U61="","",IF(U61="Выигрыш",J61-1,IF(U61="Полувыигрыш",(J61-1)/2,IF(U61="Возврат",0,IF(U61="Полупроигрыш",-0.5,IF(U61="Поражение",-1,"Проверить результат")))))))</x:f>
        <x:v>0.6000000000000001</x:v>
      </x:c>
      <x:c r="W61" s="80" t="str">
        <x:f>IF(A61="","",IF(U61="","Открыт",IF(ISNUMBER(V61),"Рассчитан","Проверить результат")))</x:f>
        <x:v>Рассчитан</x:v>
      </x:c>
      <x:c r="X61" s="98" t="str">
        <x:v>Без возврата; исходные условия первичного ответа</x:v>
      </x:c>
      <x:c r="Y61" s="5" t="str">
        <x:v>Оптимальный</x:v>
      </x:c>
      <x:c r="Z61" s="5" t="str">
        <x:v>20261014T155823-13294263</x:v>
      </x:c>
      <x:c r="AA61" s="5" t="str">
        <x:v>Матч</x:v>
      </x:c>
      <x:c r="AB61" s="118" t="n">
        <x:v>3.5</x:v>
      </x:c>
      <x:c r="AC61" s="119" t="str">
        <x:v>14.10.2026 15:58:23</x:v>
      </x:c>
      <x:c r="AD61" s="119" t="str">
        <x:v>14.10.2026 15:59</x:v>
      </x:c>
      <x:c r="AE61" s="5" t="str">
        <x:f>IF(A61="","",IF(Z61="","Нет ID пары",IF(AND(COUNTIFS($Z$59:$Z$505,Z61,$Y$59:$Y$505,"Оптимальный",$W$59:$W$505,"Рассчитан")=1,COUNTIFS($Z$59:$Z$505,Z61,$Y$59:$Y$505,"Агрессивный",$W$59:$W$505,"Рассчитан")=1),"Да","Нет")))</x:f>
        <x:v>Да</x:v>
      </x:c>
      <x:c r="AF61" s="5" t="str">
        <x:v>https://www.sofascore.com/football/match/partizani-tirana-u19-u19-valletta-u19/AQRgsxFik | FT 4:0; матч завершён; суммарный счёт двух матчей 6:0 не используется | Проверено 14.10.2026 17:14:56 МСК</x:v>
      </x:c>
      <x:c r="AG61" s="5" t="str">
        <x:v>Два контура v2</x:v>
      </x:c>
    </x:row>
    <x:row r="62">
      <x:c r="A62" s="80" t="n">
        <x:v>57</x:v>
      </x:c>
      <x:c r="B62" s="80" t="str">
        <x:v>13294263</x:v>
      </x:c>
      <x:c r="C62" s="83" t="str">
        <x:v>14.10.2026 15:58:23</x:v>
      </x:c>
      <x:c r="D62" s="80" t="str">
        <x:v>Албания / Мальта - Юношеская лига УЕФА</x:v>
      </x:c>
      <x:c r="E62" s="80" t="str">
        <x:v>Партизани U19 - Валлетта U19</x:v>
      </x:c>
      <x:c r="F62" s="86" t="n">
        <x:v>45</x:v>
      </x:c>
      <x:c r="G62" s="80" t="str">
        <x:v>2:0</x:v>
      </x:c>
      <x:c r="H62" s="95" t="str">
        <x:v>Хозяева способны продолжить результативность самостоятельно</x:v>
      </x:c>
      <x:c r="I62" s="95" t="str">
        <x:v>ТБ 4 (Матч)</x:v>
      </x:c>
      <x:c r="J62" s="96" t="n">
        <x:v>2.05</x:v>
      </x:c>
      <x:c r="K62" s="97" t="n">
        <x:v>3</x:v>
      </x:c>
      <x:c r="L62" s="98" t="str">
        <x:v>corners 6:2; dangerous_attacks 41:16; off_target 10:2; on_target 4:1; possession_rt 58:42; redcards 0:0</x:v>
      </x:c>
      <x:c r="M62" s="98" t="str">
        <x:v>Нет отдельных снимков за 10-15 минут</x:v>
      </x:c>
      <x:c r="N62" s="98" t="str">
        <x:v>Хозяева способны продолжить результативность самостоятельно</x:v>
      </x:c>
      <x:c r="O62" s="98" t="str">
        <x:v>Снижение активности при комфортном счёте</x:v>
      </x:c>
      <x:c r="P62" s="98" t="str">
        <x:v>Один снимок; xG и свежая динамика недоступны; внешней проверки нет</x:v>
      </x:c>
      <x:c r="Q62" s="80" t="str">
        <x:v>ПОДХОДИТ В LIVE</x:v>
      </x:c>
      <x:c r="R62" s="80" t="str">
        <x:v>ТБ live v2 от 14.10.2026</x:v>
      </x:c>
      <x:c r="S62" s="80" t="str">
        <x:v>BetsAPI / Bet365 full markets; Молодёжный/юниорский; run 38538525336 attempt 2</x:v>
      </x:c>
      <x:c r="T62" s="80" t="str">
        <x:v>4:0</x:v>
      </x:c>
      <x:c r="U62" s="80" t="str">
        <x:v>Возврат</x:v>
      </x:c>
      <x:c r="V62" s="89" t="n">
        <x:f>IF(A62="","",IF(U62="","",IF(U62="Выигрыш",J62-1,IF(U62="Полувыигрыш",(J62-1)/2,IF(U62="Возврат",0,IF(U62="Полупроигрыш",-0.5,IF(U62="Поражение",-1,"Проверить результат")))))))</x:f>
        <x:v>0</x:v>
      </x:c>
      <x:c r="W62" s="80" t="str">
        <x:f>IF(A62="","",IF(U62="","Открыт",IF(ISNUMBER(V62),"Рассчитан","Проверить результат")))</x:f>
        <x:v>Рассчитан</x:v>
      </x:c>
      <x:c r="X62" s="98" t="str">
        <x:v>Ещё 2 гола - возврат; исходные условия первичного ответа</x:v>
      </x:c>
      <x:c r="Y62" s="5" t="str">
        <x:v>Агрессивный</x:v>
      </x:c>
      <x:c r="Z62" s="5" t="str">
        <x:v>20261014T155823-13294263</x:v>
      </x:c>
      <x:c r="AA62" s="5" t="str">
        <x:v>Матч</x:v>
      </x:c>
      <x:c r="AB62" s="118" t="n">
        <x:v>4</x:v>
      </x:c>
      <x:c r="AC62" s="119" t="str">
        <x:v>14.10.2026 15:58:23</x:v>
      </x:c>
      <x:c r="AD62" s="119" t="str">
        <x:v>14.10.2026 15:59</x:v>
      </x:c>
      <x:c r="AE62" s="5" t="str">
        <x:f>IF(A62="","",IF(Z62="","Нет ID пары",IF(AND(COUNTIFS($Z$59:$Z$505,Z62,$Y$59:$Y$505,"Оптимальный",$W$59:$W$505,"Рассчитан")=1,COUNTIFS($Z$59:$Z$505,Z62,$Y$59:$Y$505,"Агрессивный",$W$59:$W$505,"Рассчитан")=1),"Да","Нет")))</x:f>
        <x:v>Да</x:v>
      </x:c>
      <x:c r="AF62" s="5" t="str">
        <x:v>https://www.sofascore.com/football/match/partizani-tirana-u19-u19-valletta-u19/AQRgsxFik | FT 4:0; матч завершён; ТБ 4 возвращён | Проверено 14.10.2026 17:14:56 МСК</x:v>
      </x:c>
      <x:c r="AG62" s="5" t="str">
        <x:v>Два контура v2</x:v>
      </x:c>
    </x:row>
    <x:row r="63">
      <x:c r="A63" s="80" t="n">
        <x:v>58</x:v>
      </x:c>
      <x:c r="B63" s="80" t="str">
        <x:v>13288150</x:v>
      </x:c>
      <x:c r="C63" s="83" t="str">
        <x:v>14.10.2026 15:58:23</x:v>
      </x:c>
      <x:c r="D63" s="80" t="str">
        <x:v>Египет - Второй дивизион Б</x:v>
      </x:c>
      <x:c r="E63" s="80" t="str">
        <x:v>Спортинг - Александрия Петролеум</x:v>
      </x:c>
      <x:c r="F63" s="86" t="n">
        <x:v>20</x:v>
      </x:c>
      <x:c r="G63" s="80" t="str">
        <x:v>1:1</x:v>
      </x:c>
      <x:c r="H63" s="95" t="str">
        <x:v>Угроза с обеих сторон при равном счёте</x:v>
      </x:c>
      <x:c r="I63" s="95" t="str">
        <x:v>ТБ 3.5 (Матч)</x:v>
      </x:c>
      <x:c r="J63" s="96" t="n">
        <x:v>1.6667</x:v>
      </x:c>
      <x:c r="K63" s="97" t="n">
        <x:v>2</x:v>
      </x:c>
      <x:c r="L63" s="98" t="str">
        <x:v>corners 1:3; dangerous_attacks 10:15; off_target 0:1; on_target 2:3; possession_rt 52:48; redcards 0:0</x:v>
      </x:c>
      <x:c r="M63" s="98" t="str">
        <x:v>Нет отдельных снимков за 10-15 минут</x:v>
      </x:c>
      <x:c r="N63" s="98" t="str">
        <x:v>Угроза с обеих сторон при равном счёте</x:v>
      </x:c>
      <x:c r="O63" s="98" t="str">
        <x:v>Ранняя реализация могла опередить качество моментов</x:v>
      </x:c>
      <x:c r="P63" s="98" t="str">
        <x:v>Один снимок; xG и свежая динамика недоступны; внешней проверки нет</x:v>
      </x:c>
      <x:c r="Q63" s="80" t="str">
        <x:v>ПОДХОДИТ В LIVE</x:v>
      </x:c>
      <x:c r="R63" s="80" t="str">
        <x:v>ТБ live v2 от 14.10.2026</x:v>
      </x:c>
      <x:c r="S63" s="80" t="str">
        <x:v>BetsAPI / Bet365 full markets; Взрослый мужской; run 38538525336 attempt 2</x:v>
      </x:c>
      <x:c r="T63" s="80"/>
      <x:c r="U63" s="80"/>
      <x:c r="V63" s="89" t="str">
        <x:f>IF(A63="","",IF(U63="","",IF(U63="Выигрыш",J63-1,IF(U63="Полувыигрыш",(J63-1)/2,IF(U63="Возврат",0,IF(U63="Полупроигрыш",-0.5,IF(U63="Поражение",-1,"Проверить результат")))))))</x:f>
      </x:c>
      <x:c r="W63" s="80" t="str">
        <x:f>IF(A63="","",IF(U63="","Открыт",IF(ISNUMBER(V63),"Рассчитан","Проверить результат")))</x:f>
        <x:v>Открыт</x:v>
      </x:c>
      <x:c r="X63" s="98" t="str">
        <x:v>Без возврата; исходные условия первичного ответа</x:v>
      </x:c>
      <x:c r="Y63" s="5" t="str">
        <x:v>Оптимальный</x:v>
      </x:c>
      <x:c r="Z63" s="5" t="str">
        <x:v>20261014T155823-13288150</x:v>
      </x:c>
      <x:c r="AA63" s="5" t="str">
        <x:v>Матч</x:v>
      </x:c>
      <x:c r="AB63" s="118" t="n">
        <x:v>3.5</x:v>
      </x:c>
      <x:c r="AC63" s="119" t="str">
        <x:v>14.10.2026 15:58:23</x:v>
      </x:c>
      <x:c r="AD63" s="119" t="str">
        <x:v>14.10.2026 15:59</x:v>
      </x:c>
      <x:c r="AE63" s="5" t="str">
        <x:f>IF(A63="","",IF(Z63="","Нет ID пары",IF(AND(COUNTIFS($Z$59:$Z$505,Z63,$Y$59:$Y$505,"Оптимальный",$W$59:$W$505,"Рассчитан")=1,COUNTIFS($Z$59:$Z$505,Z63,$Y$59:$Y$505,"Агрессивный",$W$59:$W$505,"Рассчитан")=1),"Да","Нет")))</x:f>
        <x:v>Нет</x:v>
      </x:c>
      <x:c r="AF63" s="5"/>
      <x:c r="AG63" s="5" t="str">
        <x:v>Два контура v2</x:v>
      </x:c>
    </x:row>
    <x:row r="64">
      <x:c r="A64" s="80" t="n">
        <x:v>59</x:v>
      </x:c>
      <x:c r="B64" s="80" t="str">
        <x:v>13288150</x:v>
      </x:c>
      <x:c r="C64" s="83" t="str">
        <x:v>14.10.2026 15:58:23</x:v>
      </x:c>
      <x:c r="D64" s="80" t="str">
        <x:v>Египет - Второй дивизион Б</x:v>
      </x:c>
      <x:c r="E64" s="80" t="str">
        <x:v>Спортинг - Александрия Петролеум</x:v>
      </x:c>
      <x:c r="F64" s="86" t="n">
        <x:v>20</x:v>
      </x:c>
      <x:c r="G64" s="80" t="str">
        <x:v>1:1</x:v>
      </x:c>
      <x:c r="H64" s="95" t="str">
        <x:v>Угроза с обеих сторон при равном счёте</x:v>
      </x:c>
      <x:c r="I64" s="95" t="str">
        <x:v>ТБ 2.5 (1-й тайм)</x:v>
      </x:c>
      <x:c r="J64" s="96" t="n">
        <x:v>2.075</x:v>
      </x:c>
      <x:c r="K64" s="97" t="n">
        <x:v>1</x:v>
      </x:c>
      <x:c r="L64" s="98" t="str">
        <x:v>corners 1:3; dangerous_attacks 10:15; off_target 0:1; on_target 2:3; possession_rt 52:48; redcards 0:0</x:v>
      </x:c>
      <x:c r="M64" s="98" t="str">
        <x:v>Нет отдельных снимков за 10-15 минут</x:v>
      </x:c>
      <x:c r="N64" s="98" t="str">
        <x:v>Угроза с обеих сторон при равном счёте</x:v>
      </x:c>
      <x:c r="O64" s="98" t="str">
        <x:v>Ранняя реализация могла опередить качество моментов</x:v>
      </x:c>
      <x:c r="P64" s="98" t="str">
        <x:v>Один снимок; xG и свежая динамика недоступны; внешней проверки нет</x:v>
      </x:c>
      <x:c r="Q64" s="80" t="str">
        <x:v>ПОДХОДИТ В LIVE</x:v>
      </x:c>
      <x:c r="R64" s="80" t="str">
        <x:v>ТБ live v2 от 14.10.2026</x:v>
      </x:c>
      <x:c r="S64" s="80" t="str">
        <x:v>BetsAPI / Bet365 full markets; Взрослый мужской; run 38538525336 attempt 2</x:v>
      </x:c>
      <x:c r="T64" s="80" t="str">
        <x:v>1:1</x:v>
      </x:c>
      <x:c r="U64" s="80" t="str">
        <x:v>Поражение</x:v>
      </x:c>
      <x:c r="V64" s="89" t="n">
        <x:f>IF(A64="","",IF(U64="","",IF(U64="Выигрыш",J64-1,IF(U64="Полувыигрыш",(J64-1)/2,IF(U64="Возврат",0,IF(U64="Полупроигрыш",-0.5,IF(U64="Поражение",-1,"Проверить результат")))))))</x:f>
        <x:v>-1</x:v>
      </x:c>
      <x:c r="W64" s="80" t="str">
        <x:f>IF(A64="","",IF(U64="","Открыт",IF(ISNUMBER(V64),"Рассчитан","Проверить результат")))</x:f>
        <x:v>Рассчитан</x:v>
      </x:c>
      <x:c r="X64" s="98" t="str">
        <x:v>Гол до перерыва; исходные условия первичного ответа</x:v>
      </x:c>
      <x:c r="Y64" s="5" t="str">
        <x:v>Агрессивный</x:v>
      </x:c>
      <x:c r="Z64" s="5" t="str">
        <x:v>20261014T155823-13288150</x:v>
      </x:c>
      <x:c r="AA64" s="5" t="str">
        <x:v>1-й тайм</x:v>
      </x:c>
      <x:c r="AB64" s="118" t="n">
        <x:v>2.5</x:v>
      </x:c>
      <x:c r="AC64" s="119" t="str">
        <x:v>14.10.2026 15:58:23</x:v>
      </x:c>
      <x:c r="AD64" s="119" t="str">
        <x:v>14.10.2026 15:59</x:v>
      </x:c>
      <x:c r="AE64" s="5" t="str">
        <x:f>IF(A64="","",IF(Z64="","Нет ID пары",IF(AND(COUNTIFS($Z$59:$Z$505,Z64,$Y$59:$Y$505,"Оптимальный",$W$59:$W$505,"Рассчитан")=1,COUNTIFS($Z$59:$Z$505,Z64,$Y$59:$Y$505,"Агрессивный",$W$59:$W$505,"Рассчитан")=1),"Да","Нет")))</x:f>
        <x:v>Нет</x:v>
      </x:c>
      <x:c r="AF64" s="5" t="str">
        <x:v>https://www.sofascore.com/football/match/sporting-alexandria-alexandria-petroleum/AWcesKjie | HT 1:1; первый тайм завершён | Проверено 14.10.2026 17:14:56 МСК</x:v>
      </x:c>
      <x:c r="AG64" s="5" t="str">
        <x:v>Два контура v2</x:v>
      </x:c>
    </x:row>
    <x:row r="65">
      <x:c r="A65" s="80" t="n">
        <x:v>60</x:v>
      </x:c>
      <x:c r="B65" s="80" t="str">
        <x:v>13146450</x:v>
      </x:c>
      <x:c r="C65" s="83" t="str">
        <x:v>14.10.2026 15:58:23</x:v>
      </x:c>
      <x:c r="D65" s="80" t="str">
        <x:v>Словакия - Кубок</x:v>
      </x:c>
      <x:c r="E65" s="80" t="str">
        <x:v>Вельке Лудинце - Зволен</x:v>
      </x:c>
      <x:c r="F65" s="86" t="n">
        <x:v>27</x:v>
      </x:c>
      <x:c r="G65" s="80" t="str">
        <x:v>0:0</x:v>
      </x:c>
      <x:c r="H65" s="95" t="str">
        <x:v>Давление гостей подкреплено ударами</x:v>
      </x:c>
      <x:c r="I65" s="95" t="str">
        <x:v>ТБ 0.5 (1-й тайм)</x:v>
      </x:c>
      <x:c r="J65" s="96" t="n">
        <x:v>1.5333</x:v>
      </x:c>
      <x:c r="K65" s="97" t="n">
        <x:v>1</x:v>
      </x:c>
      <x:c r="L65" s="98" t="str">
        <x:v>corners 1:2; dangerous_attacks 10:32; off_target 0:6; on_target 0:3; possession_rt 40:60; redcards 0:0</x:v>
      </x:c>
      <x:c r="M65" s="98" t="str">
        <x:v>Нет отдельных снимков за 10-15 минут</x:v>
      </x:c>
      <x:c r="N65" s="98" t="str">
        <x:v>Давление гостей подкреплено ударами</x:v>
      </x:c>
      <x:c r="O65" s="98" t="str">
        <x:v>Односторонняя игра и ограниченное время до перерыва</x:v>
      </x:c>
      <x:c r="P65" s="98" t="str">
        <x:v>Один снимок; xG и свежая динамика недоступны; внешней проверки нет</x:v>
      </x:c>
      <x:c r="Q65" s="80" t="str">
        <x:v>ПОДХОДИТ В LIVE</x:v>
      </x:c>
      <x:c r="R65" s="80" t="str">
        <x:v>ТБ live v2 от 14.10.2026</x:v>
      </x:c>
      <x:c r="S65" s="80" t="str">
        <x:v>BetsAPI / Bet365 full markets; Взрослый мужской; run 38538525336 attempt 2</x:v>
      </x:c>
      <x:c r="T65" s="80" t="str">
        <x:v>0:0</x:v>
      </x:c>
      <x:c r="U65" s="80" t="str">
        <x:v>Поражение</x:v>
      </x:c>
      <x:c r="V65" s="89" t="n">
        <x:f>IF(A65="","",IF(U65="","",IF(U65="Выигрыш",J65-1,IF(U65="Полувыигрыш",(J65-1)/2,IF(U65="Возврат",0,IF(U65="Полупроигрыш",-0.5,IF(U65="Поражение",-1,"Проверить результат")))))))</x:f>
        <x:v>-1</x:v>
      </x:c>
      <x:c r="W65" s="80" t="str">
        <x:f>IF(A65="","",IF(U65="","Открыт",IF(ISNUMBER(V65),"Рассчитан","Проверить результат")))</x:f>
        <x:v>Рассчитан</x:v>
      </x:c>
      <x:c r="X65" s="98" t="str">
        <x:v>Гол до перерыва; исходные условия первичного ответа</x:v>
      </x:c>
      <x:c r="Y65" s="5" t="str">
        <x:v>Оптимальный</x:v>
      </x:c>
      <x:c r="Z65" s="5" t="str">
        <x:v>20261014T155823-13146450</x:v>
      </x:c>
      <x:c r="AA65" s="5" t="str">
        <x:v>1-й тайм</x:v>
      </x:c>
      <x:c r="AB65" s="118" t="n">
        <x:v>0.5</x:v>
      </x:c>
      <x:c r="AC65" s="119" t="str">
        <x:v>14.10.2026 15:58:23</x:v>
      </x:c>
      <x:c r="AD65" s="119" t="str">
        <x:v>14.10.2026 15:59</x:v>
      </x:c>
      <x:c r="AE65" s="5" t="str">
        <x:f>IF(A65="","",IF(Z65="","Нет ID пары",IF(AND(COUNTIFS($Z$59:$Z$505,Z65,$Y$59:$Y$505,"Оптимальный",$W$59:$W$505,"Рассчитан")=1,COUNTIFS($Z$59:$Z$505,Z65,$Y$59:$Y$505,"Агрессивный",$W$59:$W$505,"Рассчитан")=1),"Да","Нет")))</x:f>
        <x:v>Да</x:v>
      </x:c>
      <x:c r="AF65" s="5" t="str">
        <x:v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v>
      </x:c>
      <x:c r="AG65" s="5" t="str">
        <x:v>Два контура v2</x:v>
      </x:c>
    </x:row>
    <x:row r="66">
      <x:c r="A66" s="80" t="n">
        <x:v>61</x:v>
      </x:c>
      <x:c r="B66" s="80" t="str">
        <x:v>13146450</x:v>
      </x:c>
      <x:c r="C66" s="83" t="str">
        <x:v>14.10.2026 15:58:23</x:v>
      </x:c>
      <x:c r="D66" s="80" t="str">
        <x:v>Словакия - Кубок</x:v>
      </x:c>
      <x:c r="E66" s="80" t="str">
        <x:v>Вельке Лудинце - Зволен</x:v>
      </x:c>
      <x:c r="F66" s="86" t="n">
        <x:v>27</x:v>
      </x:c>
      <x:c r="G66" s="80" t="str">
        <x:v>0:0</x:v>
      </x:c>
      <x:c r="H66" s="95" t="str">
        <x:v>Давление гостей подкреплено ударами</x:v>
      </x:c>
      <x:c r="I66" s="95" t="str">
        <x:v>ТБ 0.75 (1-й тайм)</x:v>
      </x:c>
      <x:c r="J66" s="96" t="n">
        <x:v>1.875</x:v>
      </x:c>
      <x:c r="K66" s="97" t="n">
        <x:v>2</x:v>
      </x:c>
      <x:c r="L66" s="98" t="str">
        <x:v>corners 1:2; dangerous_attacks 10:32; off_target 0:6; on_target 0:3; possession_rt 40:60; redcards 0:0</x:v>
      </x:c>
      <x:c r="M66" s="98" t="str">
        <x:v>Нет отдельных снимков за 10-15 минут</x:v>
      </x:c>
      <x:c r="N66" s="98" t="str">
        <x:v>Давление гостей подкреплено ударами</x:v>
      </x:c>
      <x:c r="O66" s="98" t="str">
        <x:v>Односторонняя игра и ограниченное время до перерыва</x:v>
      </x:c>
      <x:c r="P66" s="98" t="str">
        <x:v>Один снимок; xG и свежая динамика недоступны; внешней проверки нет</x:v>
      </x:c>
      <x:c r="Q66" s="80" t="str">
        <x:v>ПОДХОДИТ В LIVE</x:v>
      </x:c>
      <x:c r="R66" s="80" t="str">
        <x:v>ТБ live v2 от 14.10.2026</x:v>
      </x:c>
      <x:c r="S66" s="80" t="str">
        <x:v>BetsAPI / Bet365 full markets; Взрослый мужской; run 38538525336 attempt 2</x:v>
      </x:c>
      <x:c r="T66" s="80" t="str">
        <x:v>0:0</x:v>
      </x:c>
      <x:c r="U66" s="80" t="str">
        <x:v>Поражение</x:v>
      </x:c>
      <x:c r="V66" s="89" t="n">
        <x:f>IF(A66="","",IF(U66="","",IF(U66="Выигрыш",J66-1,IF(U66="Полувыигрыш",(J66-1)/2,IF(U66="Возврат",0,IF(U66="Полупроигрыш",-0.5,IF(U66="Поражение",-1,"Проверить результат")))))))</x:f>
        <x:v>-1</x:v>
      </x:c>
      <x:c r="W66" s="80" t="str">
        <x:f>IF(A66="","",IF(U66="","Открыт",IF(ISNUMBER(V66),"Рассчитан","Проверить результат")))</x:f>
        <x:v>Рассчитан</x:v>
      </x:c>
      <x:c r="X66" s="98" t="str">
        <x:v>1 гол до перерыва - полувыигрыш; 2 - полный; исходные условия первичного ответа</x:v>
      </x:c>
      <x:c r="Y66" s="5" t="str">
        <x:v>Агрессивный</x:v>
      </x:c>
      <x:c r="Z66" s="5" t="str">
        <x:v>20261014T155823-13146450</x:v>
      </x:c>
      <x:c r="AA66" s="5" t="str">
        <x:v>1-й тайм</x:v>
      </x:c>
      <x:c r="AB66" s="118" t="n">
        <x:v>0.75</x:v>
      </x:c>
      <x:c r="AC66" s="119" t="str">
        <x:v>14.10.2026 15:58:23</x:v>
      </x:c>
      <x:c r="AD66" s="119" t="str">
        <x:v>14.10.2026 15:59</x:v>
      </x:c>
      <x:c r="AE66" s="5" t="str">
        <x:f>IF(A66="","",IF(Z66="","Нет ID пары",IF(AND(COUNTIFS($Z$59:$Z$505,Z66,$Y$59:$Y$505,"Оптимальный",$W$59:$W$505,"Рассчитан")=1,COUNTIFS($Z$59:$Z$505,Z66,$Y$59:$Y$505,"Агрессивный",$W$59:$W$505,"Рассчитан")=1),"Да","Нет")))</x:f>
        <x:v>Да</x:v>
      </x:c>
      <x:c r="AF66" s="5" t="str">
        <x:v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v>
      </x:c>
      <x:c r="AG66" s="5" t="str">
        <x:v>Два контура v2</x:v>
      </x:c>
    </x:row>
    <x:row r="67">
      <x:c r="A67" s="80" t="n">
        <x:v>62</x:v>
      </x:c>
      <x:c r="B67" s="80" t="str">
        <x:v>13288150</x:v>
      </x:c>
      <x:c r="C67" s="83" t="str">
        <x:v>14.10.2026 16:23:10</x:v>
      </x:c>
      <x:c r="D67" s="80" t="str">
        <x:v>Египет - Второй дивизион Б</x:v>
      </x:c>
      <x:c r="E67" s="80" t="str">
        <x:v>Спортинг - Александрия Петролеум</x:v>
      </x:c>
      <x:c r="F67" s="86" t="n">
        <x:v>45</x:v>
      </x:c>
      <x:c r="G67" s="80" t="str">
        <x:v>1:1</x:v>
      </x:c>
      <x:c r="H67" s="95" t="str">
        <x:v>Обе команды создают угрозу при равном счёте</x:v>
      </x:c>
      <x:c r="I67" s="95" t="str">
        <x:v>ТБ 3 матча</x:v>
      </x:c>
      <x:c r="J67" s="96" t="n">
        <x:v>1.75</x:v>
      </x:c>
      <x:c r="K67" s="97" t="n">
        <x:v>2</x:v>
      </x:c>
      <x:c r="L67" s="98" t="str">
        <x:v>Угловые 1:3; Опасные атаки 23:30; Мимо 2:3; В створ 3:4; Владение 48:52; Удаления 0:0</x:v>
      </x:c>
      <x:c r="M67" s="98" t="str">
        <x:v>Нет предыдущего сохранённого снимка</x:v>
      </x:c>
      <x:c r="N67" s="98" t="str">
        <x:v>Обе команды создают угрозу при равном счёте</x:v>
      </x:c>
      <x:c r="O67" s="98" t="str">
        <x:v>После перерыва темп может снизиться</x:v>
      </x:c>
      <x:c r="P67" s="98" t="str">
        <x:v>Один накопленный снимок; xG и свежая динамика не подтверждены</x:v>
      </x:c>
      <x:c r="Q67" s="80" t="str">
        <x:v>ПОДХОДИТ В LIVE</x:v>
      </x:c>
      <x:c r="R67" s="80" t="str">
        <x:v>ТБ live v2; динамика и точечная проверка от 14.10.2026</x:v>
      </x:c>
      <x:c r="S67" s="80" t="str">
        <x:v>BetsAPI / Bet365 full markets; взрослый мужской; run 38571307563</x:v>
      </x:c>
      <x:c r="T67" s="80"/>
      <x:c r="U67" s="80"/>
      <x:c r="V67" s="89" t="str">
        <x:f>IF(A67="","",IF(U67="","",IF(U67="Выигрыш",J67-1,IF(U67="Полувыигрыш",(J67-1)/2,IF(U67="Возврат",0,IF(U67="Полупроигрыш",-0.5,IF(U67="Поражение",-1,"Проверить результат")))))))</x:f>
      </x:c>
      <x:c r="W67" s="80" t="str">
        <x:f>IF(A67="","",IF(U67="","Открыт",IF(ISNUMBER(V67),"Рассчитан","Проверить результат")))</x:f>
        <x:v>Открыт</x:v>
      </x:c>
      <x:c r="X67" s="98" t="str">
        <x:v>Ещё 1 гол - возврат;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67" s="5" t="str">
        <x:v>Оптимальный</x:v>
      </x:c>
      <x:c r="Z67" s="5" t="str">
        <x:v>20261014T162310-13288150</x:v>
      </x:c>
      <x:c r="AA67" s="5" t="str">
        <x:v>Матч</x:v>
      </x:c>
      <x:c r="AB67" s="118" t="n">
        <x:v>3</x:v>
      </x:c>
      <x:c r="AC67" s="119" t="str">
        <x:v>14.10.2026 16:23:10</x:v>
      </x:c>
      <x:c r="AD67" s="119" t="str">
        <x:v>14.10.2026 16:24:10</x:v>
      </x:c>
      <x:c r="AE67" s="5" t="str">
        <x:f>IF(A67="","",IF(Z67="","Нет ID пары",IF(AND(COUNTIFS($Z$59:$Z$505,Z67,$Y$59:$Y$505,"Оптимальный",$W$59:$W$505,"Рассчитан")=1,COUNTIFS($Z$59:$Z$505,Z67,$Y$59:$Y$505,"Агрессивный",$W$59:$W$505,"Рассчитан")=1),"Да","Нет")))</x:f>
        <x:v>Нет</x:v>
      </x:c>
      <x:c r="AF67" s="5"/>
      <x:c r="AG67" s="5" t="str">
        <x:v>Два контура v2</x:v>
      </x:c>
    </x:row>
    <x:row r="68">
      <x:c r="A68" s="80" t="n">
        <x:v>63</x:v>
      </x:c>
      <x:c r="B68" s="80" t="str">
        <x:v>13288150</x:v>
      </x:c>
      <x:c r="C68" s="83" t="str">
        <x:v>14.10.2026 16:23:10</x:v>
      </x:c>
      <x:c r="D68" s="80" t="str">
        <x:v>Египет - Второй дивизион Б</x:v>
      </x:c>
      <x:c r="E68" s="80" t="str">
        <x:v>Спортинг - Александрия Петролеум</x:v>
      </x:c>
      <x:c r="F68" s="86" t="n">
        <x:v>45</x:v>
      </x:c>
      <x:c r="G68" s="80" t="str">
        <x:v>1:1</x:v>
      </x:c>
      <x:c r="H68" s="95" t="str">
        <x:v>Обе команды создают угрозу при равном счёте</x:v>
      </x:c>
      <x:c r="I68" s="95" t="str">
        <x:v>ТБ 3.5 матча</x:v>
      </x:c>
      <x:c r="J68" s="96" t="n">
        <x:v>2.5</x:v>
      </x:c>
      <x:c r="K68" s="97" t="n">
        <x:v>2</x:v>
      </x:c>
      <x:c r="L68" s="98" t="str">
        <x:v>Угловые 1:3; Опасные атаки 23:30; Мимо 2:3; В створ 3:4; Владение 48:52; Удаления 0:0</x:v>
      </x:c>
      <x:c r="M68" s="98" t="str">
        <x:v>Нет предыдущего сохранённого снимка</x:v>
      </x:c>
      <x:c r="N68" s="98" t="str">
        <x:v>Обе команды создают угрозу при равном счёте</x:v>
      </x:c>
      <x:c r="O68" s="98" t="str">
        <x:v>После перерыва темп может снизиться</x:v>
      </x:c>
      <x:c r="P68" s="98" t="str">
        <x:v>Один накопленный снимок; xG и свежая динамика не подтверждены</x:v>
      </x:c>
      <x:c r="Q68" s="80" t="str">
        <x:v>ПОДХОДИТ В LIVE</x:v>
      </x:c>
      <x:c r="R68" s="80" t="str">
        <x:v>ТБ live v2; динамика и точечная проверка от 14.10.2026</x:v>
      </x:c>
      <x:c r="S68" s="80" t="str">
        <x:v>BetsAPI / Bet365 full markets; взрослый мужской; run 38571307563</x:v>
      </x:c>
      <x:c r="T68" s="80"/>
      <x:c r="U68" s="80"/>
      <x:c r="V68" s="89" t="str">
        <x:f>IF(A68="","",IF(U68="","",IF(U68="Выигрыш",J68-1,IF(U68="Полувыигрыш",(J68-1)/2,IF(U68="Возврат",0,IF(U68="Полупроигрыш",-0.5,IF(U68="Поражение",-1,"Проверить результат")))))))</x:f>
      </x:c>
      <x:c r="W68" s="80" t="str">
        <x:f>IF(A68="","",IF(U68="","Открыт",IF(ISNUMBER(V68),"Рассчитан","Проверить результат")))</x:f>
        <x:v>Открыт</x:v>
      </x:c>
      <x:c r="X68" s="98" t="str">
        <x:v>Без возврата;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68" s="5" t="str">
        <x:v>Агрессивный</x:v>
      </x:c>
      <x:c r="Z68" s="5" t="str">
        <x:v>20261014T162310-13288150</x:v>
      </x:c>
      <x:c r="AA68" s="5" t="str">
        <x:v>Матч</x:v>
      </x:c>
      <x:c r="AB68" s="118" t="n">
        <x:v>3.5</x:v>
      </x:c>
      <x:c r="AC68" s="119" t="str">
        <x:v>14.10.2026 16:23:10</x:v>
      </x:c>
      <x:c r="AD68" s="119" t="str">
        <x:v>14.10.2026 16:24:10</x:v>
      </x:c>
      <x:c r="AE68" s="5" t="str">
        <x:f>IF(A68="","",IF(Z68="","Нет ID пары",IF(AND(COUNTIFS($Z$59:$Z$505,Z68,$Y$59:$Y$505,"Оптимальный",$W$59:$W$505,"Рассчитан")=1,COUNTIFS($Z$59:$Z$505,Z68,$Y$59:$Y$505,"Агрессивный",$W$59:$W$505,"Рассчитан")=1),"Да","Нет")))</x:f>
        <x:v>Нет</x:v>
      </x:c>
      <x:c r="AF68" s="5"/>
      <x:c r="AG68" s="5" t="str">
        <x:v>Два контура v2</x:v>
      </x:c>
    </x:row>
    <x:row r="69">
      <x:c r="A69" s="80" t="n">
        <x:v>64</x:v>
      </x:c>
      <x:c r="B69" s="80" t="str">
        <x:v>13288143</x:v>
      </x:c>
      <x:c r="C69" s="83" t="str">
        <x:v>14.10.2026 16:23:10</x:v>
      </x:c>
      <x:c r="D69" s="80" t="str">
        <x:v>Египет - Второй дивизион Б</x:v>
      </x:c>
      <x:c r="E69" s="80" t="str">
        <x:v>Иттихад Эль-Шорта - Миср Иншуранс</x:v>
      </x:c>
      <x:c r="F69" s="86" t="n">
        <x:v>45</x:v>
      </x:c>
      <x:c r="G69" s="80" t="str">
        <x:v>0:0</x:v>
      </x:c>
      <x:c r="H69" s="95" t="str">
        <x:v>Взаимная угроза с преимуществом гостей</x:v>
      </x:c>
      <x:c r="I69" s="95" t="str">
        <x:v>ТБ 1.25 матча</x:v>
      </x:c>
      <x:c r="J69" s="96" t="n">
        <x:v>2.1</x:v>
      </x:c>
      <x:c r="K69" s="97" t="n">
        <x:v>2</x:v>
      </x:c>
      <x:c r="L69" s="98" t="str">
        <x:v>Угловые 3:3; Опасные атаки 27:44; Мимо 2:3; В створ 2:4; Владение 43:57; Удаления 0:0</x:v>
      </x:c>
      <x:c r="M69" s="98" t="str">
        <x:v>Нет предыдущего сохранённого снимка</x:v>
      </x:c>
      <x:c r="N69" s="98" t="str">
        <x:v>Взаимная угроза с преимуществом гостей</x:v>
      </x:c>
      <x:c r="O69" s="98" t="str">
        <x:v>Шесть ударов в створ не показывают качество моментов и их давность</x:v>
      </x:c>
      <x:c r="P69" s="98" t="str">
        <x:v>Один накопленный снимок; xG и свежая динамика не подтверждены</x:v>
      </x:c>
      <x:c r="Q69" s="80" t="str">
        <x:v>ПОДХОДИТ В LIVE</x:v>
      </x:c>
      <x:c r="R69" s="80" t="str">
        <x:v>ТБ live v2; динамика и точечная проверка от 14.10.2026</x:v>
      </x:c>
      <x:c r="S69" s="80" t="str">
        <x:v>BetsAPI / Bet365 full markets; взрослый мужской; run 38571307563</x:v>
      </x:c>
      <x:c r="T69" s="80"/>
      <x:c r="U69" s="80"/>
      <x:c r="V69" s="89" t="str">
        <x:f>IF(A69="","",IF(U69="","",IF(U69="Выигрыш",J69-1,IF(U69="Полувыигрыш",(J69-1)/2,IF(U69="Возврат",0,IF(U69="Полупроигрыш",-0.5,IF(U69="Поражение",-1,"Проверить результат")))))))</x:f>
      </x:c>
      <x:c r="W69" s="80" t="str">
        <x:f>IF(A69="","",IF(U69="","Открыт",IF(ISNUMBER(V69),"Рассчитан","Проверить результат")))</x:f>
        <x:v>Открыт</x:v>
      </x:c>
      <x:c r="X69" s="98" t="str">
        <x:v>Ещё 1 гол - полупроигрыш;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69" s="5" t="str">
        <x:v>Оптимальный</x:v>
      </x:c>
      <x:c r="Z69" s="5" t="str">
        <x:v>20261014T162310-13288143</x:v>
      </x:c>
      <x:c r="AA69" s="5" t="str">
        <x:v>Матч</x:v>
      </x:c>
      <x:c r="AB69" s="118" t="n">
        <x:v>1.25</x:v>
      </x:c>
      <x:c r="AC69" s="119" t="str">
        <x:v>14.10.2026 16:23:10</x:v>
      </x:c>
      <x:c r="AD69" s="119" t="str">
        <x:v>14.10.2026 16:24:10</x:v>
      </x:c>
      <x:c r="AE69" s="5" t="str">
        <x:f>IF(A69="","",IF(Z69="","Нет ID пары",IF(AND(COUNTIFS($Z$59:$Z$505,Z69,$Y$59:$Y$505,"Оптимальный",$W$59:$W$505,"Рассчитан")=1,COUNTIFS($Z$59:$Z$505,Z69,$Y$59:$Y$505,"Агрессивный",$W$59:$W$505,"Рассчитан")=1),"Да","Нет")))</x:f>
        <x:v>Нет</x:v>
      </x:c>
      <x:c r="AF69" s="5"/>
      <x:c r="AG69" s="5" t="str">
        <x:v>Два контура v2</x:v>
      </x:c>
    </x:row>
    <x:row r="70">
      <x:c r="A70" s="80" t="n">
        <x:v>65</x:v>
      </x:c>
      <x:c r="B70" s="80" t="str">
        <x:v>13288143</x:v>
      </x:c>
      <x:c r="C70" s="83" t="str">
        <x:v>14.10.2026 16:23:10</x:v>
      </x:c>
      <x:c r="D70" s="80" t="str">
        <x:v>Египет - Второй дивизион Б</x:v>
      </x:c>
      <x:c r="E70" s="80" t="str">
        <x:v>Иттихад Эль-Шорта - Миср Иншуранс</x:v>
      </x:c>
      <x:c r="F70" s="86" t="n">
        <x:v>45</x:v>
      </x:c>
      <x:c r="G70" s="80" t="str">
        <x:v>0:0</x:v>
      </x:c>
      <x:c r="H70" s="95" t="str">
        <x:v>Взаимная угроза с преимуществом гостей</x:v>
      </x:c>
      <x:c r="I70" s="95" t="str">
        <x:v>ТБ 1.5 матча</x:v>
      </x:c>
      <x:c r="J70" s="96" t="n">
        <x:v>2.5</x:v>
      </x:c>
      <x:c r="K70" s="97" t="n">
        <x:v>2</x:v>
      </x:c>
      <x:c r="L70" s="98" t="str">
        <x:v>Угловые 3:3; Опасные атаки 27:44; Мимо 2:3; В створ 2:4; Владение 43:57; Удаления 0:0</x:v>
      </x:c>
      <x:c r="M70" s="98" t="str">
        <x:v>Нет предыдущего сохранённого снимка</x:v>
      </x:c>
      <x:c r="N70" s="98" t="str">
        <x:v>Взаимная угроза с преимуществом гостей</x:v>
      </x:c>
      <x:c r="O70" s="98" t="str">
        <x:v>Шесть ударов в створ не показывают качество моментов и их давность</x:v>
      </x:c>
      <x:c r="P70" s="98" t="str">
        <x:v>Один накопленный снимок; xG и свежая динамика не подтверждены</x:v>
      </x:c>
      <x:c r="Q70" s="80" t="str">
        <x:v>ПОДХОДИТ В LIVE</x:v>
      </x:c>
      <x:c r="R70" s="80" t="str">
        <x:v>ТБ live v2; динамика и точечная проверка от 14.10.2026</x:v>
      </x:c>
      <x:c r="S70" s="80" t="str">
        <x:v>BetsAPI / Bet365 full markets; взрослый мужской; run 38571307563</x:v>
      </x:c>
      <x:c r="T70" s="80"/>
      <x:c r="U70" s="80"/>
      <x:c r="V70" s="89" t="str">
        <x:f>IF(A70="","",IF(U70="","",IF(U70="Выигрыш",J70-1,IF(U70="Полувыигрыш",(J70-1)/2,IF(U70="Возврат",0,IF(U70="Полупроигрыш",-0.5,IF(U70="Поражение",-1,"Проверить результат")))))))</x:f>
      </x:c>
      <x:c r="W70" s="80" t="str">
        <x:f>IF(A70="","",IF(U70="","Открыт",IF(ISNUMBER(V70),"Рассчитан","Проверить результат")))</x:f>
        <x:v>Открыт</x:v>
      </x:c>
      <x:c r="X70" s="98" t="str">
        <x:v>Без возврата;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70" s="5" t="str">
        <x:v>Агрессивный</x:v>
      </x:c>
      <x:c r="Z70" s="5" t="str">
        <x:v>20261014T162310-13288143</x:v>
      </x:c>
      <x:c r="AA70" s="5" t="str">
        <x:v>Матч</x:v>
      </x:c>
      <x:c r="AB70" s="118" t="n">
        <x:v>1.5</x:v>
      </x:c>
      <x:c r="AC70" s="119" t="str">
        <x:v>14.10.2026 16:23:10</x:v>
      </x:c>
      <x:c r="AD70" s="119" t="str">
        <x:v>14.10.2026 16:24:10</x:v>
      </x:c>
      <x:c r="AE70" s="5" t="str">
        <x:f>IF(A70="","",IF(Z70="","Нет ID пары",IF(AND(COUNTIFS($Z$59:$Z$505,Z70,$Y$59:$Y$505,"Оптимальный",$W$59:$W$505,"Рассчитан")=1,COUNTIFS($Z$59:$Z$505,Z70,$Y$59:$Y$505,"Агрессивный",$W$59:$W$505,"Рассчитан")=1),"Да","Нет")))</x:f>
        <x:v>Нет</x:v>
      </x:c>
      <x:c r="AF70" s="5"/>
      <x:c r="AG70" s="5" t="str">
        <x:v>Два контура v2</x:v>
      </x:c>
    </x:row>
    <x:row r="71">
      <x:c r="A71" s="80" t="n">
        <x:v>66</x:v>
      </x:c>
      <x:c r="B71" s="80" t="str">
        <x:v>13288144</x:v>
      </x:c>
      <x:c r="C71" s="83" t="str">
        <x:v>14.10.2026 16:23:10</x:v>
      </x:c>
      <x:c r="D71" s="80" t="str">
        <x:v>Египет - Второй дивизион Б</x:v>
      </x:c>
      <x:c r="E71" s="80" t="str">
        <x:v>МС Ага - Бияла</x:v>
      </x:c>
      <x:c r="F71" s="86" t="n">
        <x:v>45</x:v>
      </x:c>
      <x:c r="G71" s="80" t="str">
        <x:v>0:0</x:v>
      </x:c>
      <x:c r="H71" s="95" t="str">
        <x:v>Хозяева создают одностороннюю угрозу; для оптимального достаточно одного гола</x:v>
      </x:c>
      <x:c r="I71" s="95" t="str">
        <x:v>ТБ 0.5 матча</x:v>
      </x:c>
      <x:c r="J71" s="96" t="n">
        <x:v>1.5</x:v>
      </x:c>
      <x:c r="K71" s="97" t="n">
        <x:v>1</x:v>
      </x:c>
      <x:c r="L71" s="98" t="str">
        <x:v>Угловые 1:0; Опасные атаки 17:10; Мимо 2:0; В створ 4:0; Владение 47:53; Удаления 0:0</x:v>
      </x:c>
      <x:c r="M71" s="98" t="str">
        <x:v>Нет предыдущего сохранённого снимка</x:v>
      </x:c>
      <x:c r="N71" s="98" t="str">
        <x:v>Хозяева создают одностороннюю угрозу; для оптимального достаточно одного гола</x:v>
      </x:c>
      <x:c r="O71" s="98" t="str">
        <x:v>Гости пока почти не помогают результативности</x:v>
      </x:c>
      <x:c r="P71" s="98" t="str">
        <x:v>Один накопленный снимок; xG и свежая динамика не подтверждены</x:v>
      </x:c>
      <x:c r="Q71" s="80" t="str">
        <x:v>ПОДХОДИТ В LIVE</x:v>
      </x:c>
      <x:c r="R71" s="80" t="str">
        <x:v>ТБ live v2; динамика и точечная проверка от 14.10.2026</x:v>
      </x:c>
      <x:c r="S71" s="80" t="str">
        <x:v>BetsAPI / Bet365 full markets; взрослый мужской; run 38571307563</x:v>
      </x:c>
      <x:c r="T71" s="80"/>
      <x:c r="U71" s="80"/>
      <x:c r="V71" s="89" t="str">
        <x:f>IF(A71="","",IF(U71="","",IF(U71="Выигрыш",J71-1,IF(U71="Полувыигрыш",(J71-1)/2,IF(U71="Возврат",0,IF(U71="Полупроигрыш",-0.5,IF(U71="Поражение",-1,"Проверить результат")))))))</x:f>
      </x:c>
      <x:c r="W71" s="80" t="str">
        <x:f>IF(A71="","",IF(U71="","Открыт",IF(ISNUMBER(V71),"Рассчитан","Проверить результат")))</x:f>
        <x:v>Открыт</x:v>
      </x:c>
      <x:c r="X71" s="98" t="str">
        <x:v>Без возврата;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71" s="5" t="str">
        <x:v>Оптимальный</x:v>
      </x:c>
      <x:c r="Z71" s="5" t="str">
        <x:v>20261014T162310-13288144</x:v>
      </x:c>
      <x:c r="AA71" s="5" t="str">
        <x:v>Матч</x:v>
      </x:c>
      <x:c r="AB71" s="118" t="n">
        <x:v>0.5</x:v>
      </x:c>
      <x:c r="AC71" s="119" t="str">
        <x:v>14.10.2026 16:23:10</x:v>
      </x:c>
      <x:c r="AD71" s="119" t="str">
        <x:v>14.10.2026 16:24:10</x:v>
      </x:c>
      <x:c r="AE71" s="5" t="str">
        <x:f>IF(A71="","",IF(Z71="","Нет ID пары",IF(AND(COUNTIFS($Z$59:$Z$505,Z71,$Y$59:$Y$505,"Оптимальный",$W$59:$W$505,"Рассчитан")=1,COUNTIFS($Z$59:$Z$505,Z71,$Y$59:$Y$505,"Агрессивный",$W$59:$W$505,"Рассчитан")=1),"Да","Нет")))</x:f>
        <x:v>Нет</x:v>
      </x:c>
      <x:c r="AF71" s="5"/>
      <x:c r="AG71" s="5" t="str">
        <x:v>Два контура v2</x:v>
      </x:c>
    </x:row>
    <x:row r="72">
      <x:c r="A72" s="80" t="n">
        <x:v>67</x:v>
      </x:c>
      <x:c r="B72" s="80" t="str">
        <x:v>13288144</x:v>
      </x:c>
      <x:c r="C72" s="83" t="str">
        <x:v>14.10.2026 16:23:10</x:v>
      </x:c>
      <x:c r="D72" s="80" t="str">
        <x:v>Египет - Второй дивизион Б</x:v>
      </x:c>
      <x:c r="E72" s="80" t="str">
        <x:v>МС Ага - Бияла</x:v>
      </x:c>
      <x:c r="F72" s="86" t="n">
        <x:v>45</x:v>
      </x:c>
      <x:c r="G72" s="80" t="str">
        <x:v>0:0</x:v>
      </x:c>
      <x:c r="H72" s="95" t="str">
        <x:v>Хозяева создают одностороннюю угрозу; для оптимального достаточно одного гола</x:v>
      </x:c>
      <x:c r="I72" s="95" t="str">
        <x:v>ТБ 0.75 матча</x:v>
      </x:c>
      <x:c r="J72" s="96" t="n">
        <x:v>1.7</x:v>
      </x:c>
      <x:c r="K72" s="97" t="n">
        <x:v>2</x:v>
      </x:c>
      <x:c r="L72" s="98" t="str">
        <x:v>Угловые 1:0; Опасные атаки 17:10; Мимо 2:0; В створ 4:0; Владение 47:53; Удаления 0:0</x:v>
      </x:c>
      <x:c r="M72" s="98" t="str">
        <x:v>Нет предыдущего сохранённого снимка</x:v>
      </x:c>
      <x:c r="N72" s="98" t="str">
        <x:v>Хозяева создают одностороннюю угрозу; для оптимального достаточно одного гола</x:v>
      </x:c>
      <x:c r="O72" s="98" t="str">
        <x:v>Гости пока почти не помогают результативности</x:v>
      </x:c>
      <x:c r="P72" s="98" t="str">
        <x:v>Один накопленный снимок; xG и свежая динамика не подтверждены</x:v>
      </x:c>
      <x:c r="Q72" s="80" t="str">
        <x:v>ПОДХОДИТ В LIVE</x:v>
      </x:c>
      <x:c r="R72" s="80" t="str">
        <x:v>ТБ live v2; динамика и точечная проверка от 14.10.2026</x:v>
      </x:c>
      <x:c r="S72" s="80" t="str">
        <x:v>BetsAPI / Bet365 full markets; взрослый мужской; run 38571307563</x:v>
      </x:c>
      <x:c r="T72" s="80"/>
      <x:c r="U72" s="80"/>
      <x:c r="V72" s="89" t="str">
        <x:f>IF(A72="","",IF(U72="","",IF(U72="Выигрыш",J72-1,IF(U72="Полувыигрыш",(J72-1)/2,IF(U72="Возврат",0,IF(U72="Полупроигрыш",-0.5,IF(U72="Поражение",-1,"Проверить результат")))))))</x:f>
      </x:c>
      <x:c r="W72" s="80" t="str">
        <x:f>IF(A72="","",IF(U72="","Открыт",IF(ISNUMBER(V72),"Рассчитан","Проверить результат")))</x:f>
        <x:v>Открыт</x:v>
      </x:c>
      <x:c r="X72" s="98" t="str">
        <x:v>Ещё 1 гол - полувыигрыш; 2 - полный выигрыш; первичный ответ. Время вывода зафиксировано сразу после текста перед внешним поиском. Два резервных кандидата проверены за 16 сек, новых подтверждений нет, в прогнозы не включены.</x:v>
      </x:c>
      <x:c r="Y72" s="5" t="str">
        <x:v>Агрессивный</x:v>
      </x:c>
      <x:c r="Z72" s="5" t="str">
        <x:v>20261014T162310-13288144</x:v>
      </x:c>
      <x:c r="AA72" s="5" t="str">
        <x:v>Матч</x:v>
      </x:c>
      <x:c r="AB72" s="118" t="n">
        <x:v>0.75</x:v>
      </x:c>
      <x:c r="AC72" s="119" t="str">
        <x:v>14.10.2026 16:23:10</x:v>
      </x:c>
      <x:c r="AD72" s="119" t="str">
        <x:v>14.10.2026 16:24:10</x:v>
      </x:c>
      <x:c r="AE72" s="5" t="str">
        <x:f>IF(A72="","",IF(Z72="","Нет ID пары",IF(AND(COUNTIFS($Z$59:$Z$505,Z72,$Y$59:$Y$505,"Оптимальный",$W$59:$W$505,"Рассчитан")=1,COUNTIFS($Z$59:$Z$505,Z72,$Y$59:$Y$505,"Агрессивный",$W$59:$W$505,"Рассчитан")=1),"Да","Нет")))</x:f>
        <x:v>Нет</x:v>
      </x:c>
      <x:c r="AF72" s="5"/>
      <x:c r="AG72" s="5" t="str">
        <x:v>Два контура v2</x:v>
      </x:c>
    </x:row>
    <x:row r="73">
      <x:c r="A73" s="80" t="n">
        <x:v>68</x:v>
      </x:c>
      <x:c r="B73" s="80" t="str">
        <x:v>11168551</x:v>
      </x:c>
      <x:c r="C73" s="83" t="str">
        <x:v>14.10.2026 17:11:23</x:v>
      </x:c>
      <x:c r="D73" s="80" t="str">
        <x:v>Норвегия — 1-й дивизион</x:v>
      </x:c>
      <x:c r="E73" s="80" t="str">
        <x:v>Стрёммен - Осане</x:v>
      </x:c>
      <x:c r="F73" s="86" t="n">
        <x:v>53</x:v>
      </x:c>
      <x:c r="G73" s="80" t="str">
        <x:v>2:0</x:v>
      </x:c>
      <x:c r="H73" s="95" t="str">
        <x:v>Высокий объём ударов при преимуществе хозяев; возможны голы через давление хозяев и попытки гостей отыграться.</x:v>
      </x:c>
      <x:c r="I73" s="95" t="str">
        <x:v>ТБ 3.25 матча</x:v>
      </x:c>
      <x:c r="J73" s="96" t="n">
        <x:v>1.55</x:v>
      </x:c>
      <x:c r="K73" s="97" t="n">
        <x:v>2</x:v>
      </x:c>
      <x:c r="L73" s="98" t="str">
        <x:v>Взрослый мужской. В створ 6:1; мимо 5:9; опасные атаки 50:35; угловые 7:3; xG отсутствует.</x:v>
      </x:c>
      <x:c r="M73" s="98" t="str">
        <x:v>2893.5 с между срезами; минута 22 → 53; с перерывом; не окно 10–15 минут. Прирост в створ 5:1, мимо 4:3, угловые 5:1, опасные атаки 30:25.</x:v>
      </x:c>
      <x:c r="N73" s="98" t="str">
        <x:v>21 удар, в створ 6:1, угловые 7:3. Хозяева способны создавать голы сами, гости отвечают объёмом ударов.</x:v>
      </x:c>
      <x:c r="O73" s="98" t="str">
        <x:v>При 2:0 хозяева могут снижать темп; у гостей лишь 1 удар в створ. Нет xG и короткого интервала динамики.</x:v>
      </x:c>
      <x:c r="P73" s="98" t="str">
        <x:v>Есть счёт, минута, статистика и активные линии; нет xG и динамики за 10–15 минут.</x:v>
      </x:c>
      <x:c r="Q73" s="80" t="str">
        <x:v>ПОДХОДИТ В LIVE</x:v>
      </x:c>
      <x:c r="R73" s="80" t="str">
        <x:v>Канон 14.10.2026; быстрый отбор + сохранение срезов</x:v>
      </x:c>
      <x:c r="S73" s="80" t="str">
        <x:v>BetsAPI Events board + Bet365 full markets; run 38578271681</x:v>
      </x:c>
      <x:c r="T73" s="80"/>
      <x:c r="U73" s="80"/>
      <x:c r="V73" s="89" t="str">
        <x:f>IF(A73="","",IF(U73="","",IF(U73="Выигрыш",J73-1,IF(U73="Полувыигрыш",(J73-1)/2,IF(U73="Возврат",0,IF(U73="Полупроигрыш",-0.5,IF(U73="Поражение",-1,"Проверить результат")))))))</x:f>
      </x:c>
      <x:c r="W73" s="80" t="str">
        <x:f>IF(A73="","",IF(U73="","Открыт",IF(ISNUMBER(V73),"Рассчитан","Проверить результат")))</x:f>
        <x:v>Открыт</x:v>
      </x:c>
      <x:c r="X73" s="98" t="str">
        <x:v>Ещё 2 гола: полный выигрыш; 1: полупроигрыш; 0: проигрыш. 1 условная единица. Внешнее обогащение не применялось: нет конкретного уточнения, способного изменить отбор.</x:v>
      </x:c>
      <x:c r="Y73" s="5" t="str">
        <x:v>Оптимальный</x:v>
      </x:c>
      <x:c r="Z73" s="5" t="str">
        <x:v>20261014T171124-11168551</x:v>
      </x:c>
      <x:c r="AA73" s="5" t="str">
        <x:v>Матч</x:v>
      </x:c>
      <x:c r="AB73" s="118" t="n">
        <x:v>3.25</x:v>
      </x:c>
      <x:c r="AC73" s="119" t="str">
        <x:v>14.10.2026 17:11:23</x:v>
      </x:c>
      <x:c r="AD73" s="119" t="str">
        <x:v>14.10.2026 17:12:32</x:v>
      </x:c>
      <x:c r="AE73" s="5" t="str">
        <x:f>IF(A73="","",IF(Z73="","Нет ID пары",IF(AND(COUNTIFS($Z$59:$Z$505,Z73,$Y$59:$Y$505,"Оптимальный",$W$59:$W$505,"Рассчитан")=1,COUNTIFS($Z$59:$Z$505,Z73,$Y$59:$Y$505,"Агрессивный",$W$59:$W$505,"Рассчитан")=1),"Да","Нет")))</x:f>
        <x:v>Нет</x:v>
      </x:c>
      <x:c r="AF73" s="5"/>
      <x:c r="AG73" s="5" t="str">
        <x:v>Два контура v2</x:v>
      </x:c>
    </x:row>
    <x:row r="74">
      <x:c r="A74" s="80" t="n">
        <x:v>69</x:v>
      </x:c>
      <x:c r="B74" s="80" t="str">
        <x:v>11168551</x:v>
      </x:c>
      <x:c r="C74" s="83" t="str">
        <x:v>14.10.2026 17:11:23</x:v>
      </x:c>
      <x:c r="D74" s="80" t="str">
        <x:v>Норвегия — 1-й дивизион</x:v>
      </x:c>
      <x:c r="E74" s="80" t="str">
        <x:v>Стрёммен - Осане</x:v>
      </x:c>
      <x:c r="F74" s="86" t="n">
        <x:v>53</x:v>
      </x:c>
      <x:c r="G74" s="80" t="str">
        <x:v>2:0</x:v>
      </x:c>
      <x:c r="H74" s="95" t="str">
        <x:v>Высокий объём ударов при преимуществе хозяев; возможны голы через давление хозяев и попытки гостей отыграться.</x:v>
      </x:c>
      <x:c r="I74" s="95" t="str">
        <x:v>ТБ 3.75 матча</x:v>
      </x:c>
      <x:c r="J74" s="96" t="n">
        <x:v>2.075</x:v>
      </x:c>
      <x:c r="K74" s="97" t="n">
        <x:v>3</x:v>
      </x:c>
      <x:c r="L74" s="98" t="str">
        <x:v>Взрослый мужской. В створ 6:1; мимо 5:9; опасные атаки 50:35; угловые 7:3; xG отсутствует.</x:v>
      </x:c>
      <x:c r="M74" s="98" t="str">
        <x:v>2893.5 с между срезами; минута 22 → 53; с перерывом; не окно 10–15 минут. Прирост в створ 5:1, мимо 4:3, угловые 5:1, опасные атаки 30:25.</x:v>
      </x:c>
      <x:c r="N74" s="98" t="str">
        <x:v>21 удар, в створ 6:1, угловые 7:3. Хозяева способны создавать голы сами, гости отвечают объёмом ударов.</x:v>
      </x:c>
      <x:c r="O74" s="98" t="str">
        <x:v>При 2:0 хозяева могут снижать темп; у гостей лишь 1 удар в створ. Нет xG и короткого интервала динамики.</x:v>
      </x:c>
      <x:c r="P74" s="98" t="str">
        <x:v>Есть счёт, минута, статистика и активные линии; нет xG и динамики за 10–15 минут.</x:v>
      </x:c>
      <x:c r="Q74" s="80" t="str">
        <x:v>ПОДХОДИТ В LIVE</x:v>
      </x:c>
      <x:c r="R74" s="80" t="str">
        <x:v>Канон 14.10.2026; быстрый отбор + сохранение срезов</x:v>
      </x:c>
      <x:c r="S74" s="80" t="str">
        <x:v>BetsAPI Events board + Bet365 full markets; run 38578271681</x:v>
      </x:c>
      <x:c r="T74" s="80"/>
      <x:c r="U74" s="80"/>
      <x:c r="V74" s="89" t="str">
        <x:f>IF(A74="","",IF(U74="","",IF(U74="Выигрыш",J74-1,IF(U74="Полувыигрыш",(J74-1)/2,IF(U74="Возврат",0,IF(U74="Полупроигрыш",-0.5,IF(U74="Поражение",-1,"Проверить результат")))))))</x:f>
      </x:c>
      <x:c r="W74" s="80" t="str">
        <x:f>IF(A74="","",IF(U74="","Открыт",IF(ISNUMBER(V74),"Рассчитан","Проверить результат")))</x:f>
        <x:v>Открыт</x:v>
      </x:c>
      <x:c r="X74" s="98" t="str">
        <x:v>Ещё 3 гола: полный выигрыш; 2: полувыигрыш; 0–1: проигрыш. 1 условная единица. Внешнее обогащение не применялось: нет конкретного уточнения, способного изменить отбор.</x:v>
      </x:c>
      <x:c r="Y74" s="5" t="str">
        <x:v>Агрессивный</x:v>
      </x:c>
      <x:c r="Z74" s="5" t="str">
        <x:v>20261014T171124-11168551</x:v>
      </x:c>
      <x:c r="AA74" s="5" t="str">
        <x:v>Матч</x:v>
      </x:c>
      <x:c r="AB74" s="118" t="n">
        <x:v>3.75</x:v>
      </x:c>
      <x:c r="AC74" s="119" t="str">
        <x:v>14.10.2026 17:11:23</x:v>
      </x:c>
      <x:c r="AD74" s="119" t="str">
        <x:v>14.10.2026 17:12:32</x:v>
      </x:c>
      <x:c r="AE74" s="5" t="str">
        <x:f>IF(A74="","",IF(Z74="","Нет ID пары",IF(AND(COUNTIFS($Z$59:$Z$505,Z74,$Y$59:$Y$505,"Оптимальный",$W$59:$W$505,"Рассчитан")=1,COUNTIFS($Z$59:$Z$505,Z74,$Y$59:$Y$505,"Агрессивный",$W$59:$W$505,"Рассчитан")=1),"Да","Нет")))</x:f>
        <x:v>Нет</x:v>
      </x:c>
      <x:c r="AF74" s="5"/>
      <x:c r="AG74" s="5" t="str">
        <x:v>Два контура v2</x:v>
      </x:c>
    </x:row>
    <x:row r="75">
      <x:c r="A75" s="80" t="n">
        <x:v>70</x:v>
      </x:c>
      <x:c r="B75" s="80" t="str">
        <x:v>13293139</x:v>
      </x:c>
      <x:c r="C75" s="83" t="str">
        <x:v>14.10.2026 17:11:23</x:v>
      </x:c>
      <x:c r="D75" s="80" t="str">
        <x:v>Египет — второй дивизион B</x:v>
      </x:c>
      <x:c r="E75" s="80" t="str">
        <x:v>Каскада - Джи ФК</x:v>
      </x:c>
      <x:c r="F75" s="86" t="n">
        <x:v>55</x:v>
      </x:c>
      <x:c r="G75" s="80" t="str">
        <x:v>0:2</x:v>
      </x:c>
      <x:c r="H75" s="95" t="str">
        <x:v>Взаимная угроза и попытки хозяев вернуться в матч создают условия для следующих голов.</x:v>
      </x:c>
      <x:c r="I75" s="95" t="str">
        <x:v>ТБ 3 матча</x:v>
      </x:c>
      <x:c r="J75" s="96" t="n">
        <x:v>1.825</x:v>
      </x:c>
      <x:c r="K75" s="97" t="n">
        <x:v>2</x:v>
      </x:c>
      <x:c r="L75" s="98" t="str">
        <x:v>Взрослый мужской. В створ 3:5; мимо 7:4; опасные атаки 51:41; угловые 2:3; xG отсутствует.</x:v>
      </x:c>
      <x:c r="M75" s="98" t="str">
        <x:v>2893.5 с между срезами; минута 39 → 55; с перерывом; не окно 10–15 минут. Прирост в створ 1:2, мимо 2:2, угловые 2:1, опасные атаки 19:13.</x:v>
      </x:c>
      <x:c r="N75" s="98" t="str">
        <x:v>В створ 3:5, мимо 7:4, опасные атаки 51:41. Угроза с обеих сторон при необходимости хозяев отыгрываться.</x:v>
      </x:c>
      <x:c r="O75" s="98" t="str">
        <x:v>Гости ведут 0:2 и могут перейти к удержанию. Нет xG и короткого интервала динамики.</x:v>
      </x:c>
      <x:c r="P75" s="98" t="str">
        <x:v>Есть счёт, минута, статистика и активные линии; нет xG и динамики за 10–15 минут.</x:v>
      </x:c>
      <x:c r="Q75" s="80" t="str">
        <x:v>ПОДХОДИТ В LIVE</x:v>
      </x:c>
      <x:c r="R75" s="80" t="str">
        <x:v>Канон 14.10.2026; быстрый отбор + сохранение срезов</x:v>
      </x:c>
      <x:c r="S75" s="80" t="str">
        <x:v>BetsAPI Events board + Bet365 full markets; run 38578271681</x:v>
      </x:c>
      <x:c r="T75" s="80"/>
      <x:c r="U75" s="80"/>
      <x:c r="V75" s="89" t="str">
        <x:f>IF(A75="","",IF(U75="","",IF(U75="Выигрыш",J75-1,IF(U75="Полувыигрыш",(J75-1)/2,IF(U75="Возврат",0,IF(U75="Полупроигрыш",-0.5,IF(U75="Поражение",-1,"Проверить результат")))))))</x:f>
      </x:c>
      <x:c r="W75" s="80" t="str">
        <x:f>IF(A75="","",IF(U75="","Открыт",IF(ISNUMBER(V75),"Рассчитан","Проверить результат")))</x:f>
        <x:v>Открыт</x:v>
      </x:c>
      <x:c r="X75" s="98" t="str">
        <x:v>Ещё 2 гола: выигрыш; 1: возврат; 0: проигрыш. 1 условная единица. Внешнее обогащение не применялось: нет конкретного уточнения, способного изменить отбор.</x:v>
      </x:c>
      <x:c r="Y75" s="5" t="str">
        <x:v>Оптимальный</x:v>
      </x:c>
      <x:c r="Z75" s="5" t="str">
        <x:v>20261014T171124-13293139</x:v>
      </x:c>
      <x:c r="AA75" s="5" t="str">
        <x:v>Матч</x:v>
      </x:c>
      <x:c r="AB75" s="118" t="n">
        <x:v>3</x:v>
      </x:c>
      <x:c r="AC75" s="119" t="str">
        <x:v>14.10.2026 17:11:23</x:v>
      </x:c>
      <x:c r="AD75" s="119" t="str">
        <x:v>14.10.2026 17:12:32</x:v>
      </x:c>
      <x:c r="AE75" s="5" t="str">
        <x:f>IF(A75="","",IF(Z75="","Нет ID пары",IF(AND(COUNTIFS($Z$59:$Z$505,Z75,$Y$59:$Y$505,"Оптимальный",$W$59:$W$505,"Рассчитан")=1,COUNTIFS($Z$59:$Z$505,Z75,$Y$59:$Y$505,"Агрессивный",$W$59:$W$505,"Рассчитан")=1),"Да","Нет")))</x:f>
        <x:v>Нет</x:v>
      </x:c>
      <x:c r="AF75" s="5"/>
      <x:c r="AG75" s="5" t="str">
        <x:v>Два контура v2</x:v>
      </x:c>
    </x:row>
    <x:row r="76">
      <x:c r="A76" s="80" t="n">
        <x:v>71</x:v>
      </x:c>
      <x:c r="B76" s="80" t="str">
        <x:v>13293139</x:v>
      </x:c>
      <x:c r="C76" s="83" t="str">
        <x:v>14.10.2026 17:11:23</x:v>
      </x:c>
      <x:c r="D76" s="80" t="str">
        <x:v>Египет — второй дивизион B</x:v>
      </x:c>
      <x:c r="E76" s="80" t="str">
        <x:v>Каскада - Джи ФК</x:v>
      </x:c>
      <x:c r="F76" s="86" t="n">
        <x:v>55</x:v>
      </x:c>
      <x:c r="G76" s="80" t="str">
        <x:v>0:2</x:v>
      </x:c>
      <x:c r="H76" s="95" t="str">
        <x:v>Взаимная угроза и попытки хозяев вернуться в матч создают условия для следующих голов.</x:v>
      </x:c>
      <x:c r="I76" s="95" t="str">
        <x:v>ТБ 3.5 матча</x:v>
      </x:c>
      <x:c r="J76" s="96" t="n">
        <x:v>2.75</x:v>
      </x:c>
      <x:c r="K76" s="97" t="n">
        <x:v>2</x:v>
      </x:c>
      <x:c r="L76" s="98" t="str">
        <x:v>Взрослый мужской. В створ 3:5; мимо 7:4; опасные атаки 51:41; угловые 2:3; xG отсутствует.</x:v>
      </x:c>
      <x:c r="M76" s="98" t="str">
        <x:v>2893.5 с между срезами; минута 39 → 55; с перерывом; не окно 10–15 минут. Прирост в створ 1:2, мимо 2:2, угловые 2:1, опасные атаки 19:13.</x:v>
      </x:c>
      <x:c r="N76" s="98" t="str">
        <x:v>В створ 3:5, мимо 7:4, опасные атаки 51:41. Угроза с обеих сторон при необходимости хозяев отыгрываться.</x:v>
      </x:c>
      <x:c r="O76" s="98" t="str">
        <x:v>Гости ведут 0:2 и могут перейти к удержанию. Нет xG и короткого интервала динамики.</x:v>
      </x:c>
      <x:c r="P76" s="98" t="str">
        <x:v>Есть счёт, минута, статистика и активные линии; нет xG и динамики за 10–15 минут.</x:v>
      </x:c>
      <x:c r="Q76" s="80" t="str">
        <x:v>ПОДХОДИТ В LIVE</x:v>
      </x:c>
      <x:c r="R76" s="80" t="str">
        <x:v>Канон 14.10.2026; быстрый отбор + сохранение срезов</x:v>
      </x:c>
      <x:c r="S76" s="80" t="str">
        <x:v>BetsAPI Events board + Bet365 full markets; run 38578271681</x:v>
      </x:c>
      <x:c r="T76" s="80"/>
      <x:c r="U76" s="80"/>
      <x:c r="V76" s="89" t="str">
        <x:f>IF(A76="","",IF(U76="","",IF(U76="Выигрыш",J76-1,IF(U76="Полувыигрыш",(J76-1)/2,IF(U76="Возврат",0,IF(U76="Полупроигрыш",-0.5,IF(U76="Поражение",-1,"Проверить результат")))))))</x:f>
      </x:c>
      <x:c r="W76" s="80" t="str">
        <x:f>IF(A76="","",IF(U76="","Открыт",IF(ISNUMBER(V76),"Рассчитан","Проверить результат")))</x:f>
        <x:v>Открыт</x:v>
      </x:c>
      <x:c r="X76" s="98" t="str">
        <x:v>Ещё 2 гола: выигрыш; 0–1: проигрыш. 1 условная единица. Внешнее обогащение не применялось: нет конкретного уточнения, способного изменить отбор.</x:v>
      </x:c>
      <x:c r="Y76" s="5" t="str">
        <x:v>Агрессивный</x:v>
      </x:c>
      <x:c r="Z76" s="5" t="str">
        <x:v>20261014T171124-13293139</x:v>
      </x:c>
      <x:c r="AA76" s="5" t="str">
        <x:v>Матч</x:v>
      </x:c>
      <x:c r="AB76" s="118" t="n">
        <x:v>3.5</x:v>
      </x:c>
      <x:c r="AC76" s="119" t="str">
        <x:v>14.10.2026 17:11:23</x:v>
      </x:c>
      <x:c r="AD76" s="119" t="str">
        <x:v>14.10.2026 17:12:32</x:v>
      </x:c>
      <x:c r="AE76" s="5" t="str">
        <x:f>IF(A76="","",IF(Z76="","Нет ID пары",IF(AND(COUNTIFS($Z$59:$Z$505,Z76,$Y$59:$Y$505,"Оптимальный",$W$59:$W$505,"Рассчитан")=1,COUNTIFS($Z$59:$Z$505,Z76,$Y$59:$Y$505,"Агрессивный",$W$59:$W$505,"Рассчитан")=1),"Да","Нет")))</x:f>
        <x:v>Нет</x:v>
      </x:c>
      <x:c r="AF76" s="5"/>
      <x:c r="AG76" s="5" t="str">
        <x:v>Два контура v2</x:v>
      </x:c>
    </x:row>
    <x:row r="77">
      <x:c r="A77" s="80" t="n">
        <x:v>72</x:v>
      </x:c>
      <x:c r="B77" s="80" t="str">
        <x:v>11560445</x:v>
      </x:c>
      <x:c r="C77" s="83" t="str">
        <x:v>14.10.2026 17:11:23</x:v>
      </x:c>
      <x:c r="D77" s="80" t="str">
        <x:v>Эстония — Мейстрилига</x:v>
      </x:c>
      <x:c r="E77" s="80" t="str">
        <x:v>Нарва Транс - Курессааре</x:v>
      </x:c>
      <x:c r="F77" s="86" t="n">
        <x:v>53</x:v>
      </x:c>
      <x:c r="G77" s="80" t="str">
        <x:v>0:0</x:v>
      </x:c>
      <x:c r="H77" s="95" t="str">
        <x:v>Один или два гола во втором тайме при взаимной угрозе и равном счёте.</x:v>
      </x:c>
      <x:c r="I77" s="95" t="str">
        <x:v>ТБ 1 матча</x:v>
      </x:c>
      <x:c r="J77" s="96" t="n">
        <x:v>1.575</x:v>
      </x:c>
      <x:c r="K77" s="97" t="n">
        <x:v>2</x:v>
      </x:c>
      <x:c r="L77" s="98" t="str">
        <x:v>Взрослый мужской. В створ 2:4; мимо 0:2; опасные атаки 32:27; угловые 2:2; xG отсутствует.</x:v>
      </x:c>
      <x:c r="M77" s="98" t="str">
        <x:v>2893.5 с между срезами; минута 21 → 53; с перерывом; не окно 10–15 минут. Прирост в створ 1:2, мимо 0:0, угловые 1:1, опасные атаки 22:15.</x:v>
      </x:c>
      <x:c r="N77" s="98" t="str">
        <x:v>В створ 2:4, опасные атаки 32:27. Угроза обеих сторон сочетается с низкой линией.</x:v>
      </x:c>
      <x:c r="O77" s="98" t="str">
        <x:v>Всего 8 ударов, общий темп умеренный. Нет xG и короткого интервала динамики.</x:v>
      </x:c>
      <x:c r="P77" s="98" t="str">
        <x:v>Есть счёт, минута, статистика и активные линии; нет xG и динамики за 10–15 минут.</x:v>
      </x:c>
      <x:c r="Q77" s="80" t="str">
        <x:v>ПОДХОДИТ В LIVE</x:v>
      </x:c>
      <x:c r="R77" s="80" t="str">
        <x:v>Канон 14.10.2026; быстрый отбор + сохранение срезов</x:v>
      </x:c>
      <x:c r="S77" s="80" t="str">
        <x:v>BetsAPI Events board + Bet365 full markets; run 38578271681</x:v>
      </x:c>
      <x:c r="T77" s="80"/>
      <x:c r="U77" s="80"/>
      <x:c r="V77" s="89" t="str">
        <x:f>IF(A77="","",IF(U77="","",IF(U77="Выигрыш",J77-1,IF(U77="Полувыигрыш",(J77-1)/2,IF(U77="Возврат",0,IF(U77="Полупроигрыш",-0.5,IF(U77="Поражение",-1,"Проверить результат")))))))</x:f>
      </x:c>
      <x:c r="W77" s="80" t="str">
        <x:f>IF(A77="","",IF(U77="","Открыт",IF(ISNUMBER(V77),"Рассчитан","Проверить результат")))</x:f>
        <x:v>Открыт</x:v>
      </x:c>
      <x:c r="X77" s="98" t="str">
        <x:v>Ещё 2 гола: выигрыш; 1: возврат; 0: проигрыш. 1 условная единица. Внешнее обогащение не применялось: нет конкретного уточнения, способного изменить отбор.</x:v>
      </x:c>
      <x:c r="Y77" s="5" t="str">
        <x:v>Оптимальный</x:v>
      </x:c>
      <x:c r="Z77" s="5" t="str">
        <x:v>20261014T171124-11560445</x:v>
      </x:c>
      <x:c r="AA77" s="5" t="str">
        <x:v>Матч</x:v>
      </x:c>
      <x:c r="AB77" s="118" t="n">
        <x:v>1</x:v>
      </x:c>
      <x:c r="AC77" s="119" t="str">
        <x:v>14.10.2026 17:11:23</x:v>
      </x:c>
      <x:c r="AD77" s="119" t="str">
        <x:v>14.10.2026 17:12:32</x:v>
      </x:c>
      <x:c r="AE77" s="5" t="str">
        <x:f>IF(A77="","",IF(Z77="","Нет ID пары",IF(AND(COUNTIFS($Z$59:$Z$505,Z77,$Y$59:$Y$505,"Оптимальный",$W$59:$W$505,"Рассчитан")=1,COUNTIFS($Z$59:$Z$505,Z77,$Y$59:$Y$505,"Агрессивный",$W$59:$W$505,"Рассчитан")=1),"Да","Нет")))</x:f>
        <x:v>Нет</x:v>
      </x:c>
      <x:c r="AF77" s="5"/>
      <x:c r="AG77" s="5" t="str">
        <x:v>Два контура v2</x:v>
      </x:c>
    </x:row>
    <x:row r="78">
      <x:c r="A78" s="80" t="n">
        <x:v>73</x:v>
      </x:c>
      <x:c r="B78" s="80" t="str">
        <x:v>11560445</x:v>
      </x:c>
      <x:c r="C78" s="83" t="str">
        <x:v>14.10.2026 17:11:23</x:v>
      </x:c>
      <x:c r="D78" s="80" t="str">
        <x:v>Эстония — Мейстрилига</x:v>
      </x:c>
      <x:c r="E78" s="80" t="str">
        <x:v>Нарва Транс - Курессааре</x:v>
      </x:c>
      <x:c r="F78" s="86" t="n">
        <x:v>53</x:v>
      </x:c>
      <x:c r="G78" s="80" t="str">
        <x:v>0:0</x:v>
      </x:c>
      <x:c r="H78" s="95" t="str">
        <x:v>Один или два гола во втором тайме при взаимной угрозе и равном счёте.</x:v>
      </x:c>
      <x:c r="I78" s="95" t="str">
        <x:v>ТБ 1.25 матча</x:v>
      </x:c>
      <x:c r="J78" s="96" t="n">
        <x:v>1.975</x:v>
      </x:c>
      <x:c r="K78" s="97" t="n">
        <x:v>2</x:v>
      </x:c>
      <x:c r="L78" s="98" t="str">
        <x:v>Взрослый мужской. В створ 2:4; мимо 0:2; опасные атаки 32:27; угловые 2:2; xG отсутствует.</x:v>
      </x:c>
      <x:c r="M78" s="98" t="str">
        <x:v>2893.5 с между срезами; минута 21 → 53; с перерывом; не окно 10–15 минут. Прирост в створ 1:2, мимо 0:0, угловые 1:1, опасные атаки 22:15.</x:v>
      </x:c>
      <x:c r="N78" s="98" t="str">
        <x:v>В створ 2:4, опасные атаки 32:27. Угроза обеих сторон сочетается с низкой линией.</x:v>
      </x:c>
      <x:c r="O78" s="98" t="str">
        <x:v>Всего 8 ударов, общий темп умеренный. Нет xG и короткого интервала динамики.</x:v>
      </x:c>
      <x:c r="P78" s="98" t="str">
        <x:v>Есть счёт, минута, статистика и активные линии; нет xG и динамики за 10–15 минут.</x:v>
      </x:c>
      <x:c r="Q78" s="80" t="str">
        <x:v>ПОДХОДИТ В LIVE</x:v>
      </x:c>
      <x:c r="R78" s="80" t="str">
        <x:v>Канон 14.10.2026; быстрый отбор + сохранение срезов</x:v>
      </x:c>
      <x:c r="S78" s="80" t="str">
        <x:v>BetsAPI Events board + Bet365 full markets; run 38578271681</x:v>
      </x:c>
      <x:c r="T78" s="80"/>
      <x:c r="U78" s="80"/>
      <x:c r="V78" s="89" t="str">
        <x:f>IF(A78="","",IF(U78="","",IF(U78="Выигрыш",J78-1,IF(U78="Полувыигрыш",(J78-1)/2,IF(U78="Возврат",0,IF(U78="Полупроигрыш",-0.5,IF(U78="Поражение",-1,"Проверить результат")))))))</x:f>
      </x:c>
      <x:c r="W78" s="80" t="str">
        <x:f>IF(A78="","",IF(U78="","Открыт",IF(ISNUMBER(V78),"Рассчитан","Проверить результат")))</x:f>
        <x:v>Открыт</x:v>
      </x:c>
      <x:c r="X78" s="98" t="str">
        <x:v>Ещё 2 гола: выигрыш; 1: полупроигрыш; 0: проигрыш. 1 условная единица. Внешнее обогащение не применялось: нет конкретного уточнения, способного изменить отбор.</x:v>
      </x:c>
      <x:c r="Y78" s="5" t="str">
        <x:v>Агрессивный</x:v>
      </x:c>
      <x:c r="Z78" s="5" t="str">
        <x:v>20261014T171124-11560445</x:v>
      </x:c>
      <x:c r="AA78" s="5" t="str">
        <x:v>Матч</x:v>
      </x:c>
      <x:c r="AB78" s="118" t="n">
        <x:v>1.25</x:v>
      </x:c>
      <x:c r="AC78" s="119" t="str">
        <x:v>14.10.2026 17:11:23</x:v>
      </x:c>
      <x:c r="AD78" s="119" t="str">
        <x:v>14.10.2026 17:12:32</x:v>
      </x:c>
      <x:c r="AE78" s="5" t="str">
        <x:f>IF(A78="","",IF(Z78="","Нет ID пары",IF(AND(COUNTIFS($Z$59:$Z$505,Z78,$Y$59:$Y$505,"Оптимальный",$W$59:$W$505,"Рассчитан")=1,COUNTIFS($Z$59:$Z$505,Z78,$Y$59:$Y$505,"Агрессивный",$W$59:$W$505,"Рассчитан")=1),"Да","Нет")))</x:f>
        <x:v>Нет</x:v>
      </x:c>
      <x:c r="AF78" s="5"/>
      <x:c r="AG78" s="5" t="str">
        <x:v>Два контура v2</x:v>
      </x:c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IF(A79="","",IF(U79="","",IF(U79="Выигрыш",J79-1,IF(U79="Полувыигрыш",(J79-1)/2,IF(U79="Возврат",0,IF(U79="Полупроигрыш",-0.5,IF(U79="Поражение",-1,"Проверить результат")))))))</x:f>
      </x:c>
      <x:c r="W79" s="80" t="str">
        <x:f>IF(A79="","",IF(U79="","Открыт",IF(ISNUMBER(V79),"Рассчитан","Проверить результат")))</x:f>
      </x:c>
      <x:c r="X79" s="98"/>
      <x:c r="Y79" s="5"/>
      <x:c r="Z79" s="5"/>
      <x:c r="AA79" s="5"/>
      <x:c r="AB79" s="118"/>
      <x:c r="AC79" s="119"/>
      <x:c r="AD79" s="119"/>
      <x:c r="AE79" s="5" t="str">
        <x:f>IF(A79="","",IF(Z79="","Нет ID пары",IF(AND(COUNTIFS($Z$59:$Z$505,Z79,$Y$59:$Y$505,"Оптимальный",$W$59:$W$505,"Рассчитан")=1,COUNTIFS($Z$59:$Z$505,Z79,$Y$59:$Y$505,"Агрессивный",$W$59:$W$505,"Рассчитан")=1),"Да","Нет")))</x:f>
      </x:c>
      <x:c r="AF79" s="5"/>
      <x:c r="AG79" s="5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IF(A80="","",IF(U80="","",IF(U80="Выигрыш",J80-1,IF(U80="Полувыигрыш",(J80-1)/2,IF(U80="Возврат",0,IF(U80="Полупроигрыш",-0.5,IF(U80="Поражение",-1,"Проверить результат")))))))</x:f>
      </x:c>
      <x:c r="W80" s="80" t="str">
        <x:f>IF(A80="","",IF(U80="","Открыт",IF(ISNUMBER(V80),"Рассчитан","Проверить результат")))</x:f>
      </x:c>
      <x:c r="X80" s="98"/>
      <x:c r="Y80" s="5"/>
      <x:c r="Z80" s="5"/>
      <x:c r="AA80" s="5"/>
      <x:c r="AB80" s="118"/>
      <x:c r="AC80" s="119"/>
      <x:c r="AD80" s="119"/>
      <x:c r="AE80" s="5" t="str">
        <x:f>IF(A80="","",IF(Z80="","Нет ID пары",IF(AND(COUNTIFS($Z$59:$Z$505,Z80,$Y$59:$Y$505,"Оптимальный",$W$59:$W$505,"Рассчитан")=1,COUNTIFS($Z$59:$Z$505,Z80,$Y$59:$Y$505,"Агрессивный",$W$59:$W$505,"Рассчитан")=1),"Да","Нет")))</x:f>
      </x:c>
      <x:c r="AF80" s="5"/>
      <x:c r="AG80" s="5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IF(A81="","",IF(U81="","",IF(U81="Выигрыш",J81-1,IF(U81="Полувыигрыш",(J81-1)/2,IF(U81="Возврат",0,IF(U81="Полупроигрыш",-0.5,IF(U81="Поражение",-1,"Проверить результат")))))))</x:f>
      </x:c>
      <x:c r="W81" s="80" t="str">
        <x:f>IF(A81="","",IF(U81="","Открыт",IF(ISNUMBER(V81),"Рассчитан","Проверить результат")))</x:f>
      </x:c>
      <x:c r="X81" s="98"/>
      <x:c r="Y81" s="5"/>
      <x:c r="Z81" s="5"/>
      <x:c r="AA81" s="5"/>
      <x:c r="AB81" s="118"/>
      <x:c r="AC81" s="119"/>
      <x:c r="AD81" s="119"/>
      <x:c r="AE81" s="5" t="str">
        <x:f>IF(A81="","",IF(Z81="","Нет ID пары",IF(AND(COUNTIFS($Z$59:$Z$505,Z81,$Y$59:$Y$505,"Оптимальный",$W$59:$W$505,"Рассчитан")=1,COUNTIFS($Z$59:$Z$505,Z81,$Y$59:$Y$505,"Агрессивный",$W$59:$W$505,"Рассчитан")=1),"Да","Нет")))</x:f>
      </x:c>
      <x:c r="AF81" s="5"/>
      <x:c r="AG81" s="5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IF(A82="","",IF(U82="","",IF(U82="Выигрыш",J82-1,IF(U82="Полувыигрыш",(J82-1)/2,IF(U82="Возврат",0,IF(U82="Полупроигрыш",-0.5,IF(U82="Поражение",-1,"Проверить результат")))))))</x:f>
      </x:c>
      <x:c r="W82" s="80" t="str">
        <x:f>IF(A82="","",IF(U82="","Открыт",IF(ISNUMBER(V82),"Рассчитан","Проверить результат")))</x:f>
      </x:c>
      <x:c r="X82" s="98"/>
      <x:c r="Y82" s="5"/>
      <x:c r="Z82" s="5"/>
      <x:c r="AA82" s="5"/>
      <x:c r="AB82" s="118"/>
      <x:c r="AC82" s="119"/>
      <x:c r="AD82" s="119"/>
      <x:c r="AE82" s="5" t="str">
        <x:f>IF(A82="","",IF(Z82="","Нет ID пары",IF(AND(COUNTIFS($Z$59:$Z$505,Z82,$Y$59:$Y$505,"Оптимальный",$W$59:$W$505,"Рассчитан")=1,COUNTIFS($Z$59:$Z$505,Z82,$Y$59:$Y$505,"Агрессивный",$W$59:$W$505,"Рассчитан")=1),"Да","Нет")))</x:f>
      </x:c>
      <x:c r="AF82" s="5"/>
      <x:c r="AG82" s="5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IF(A83="","",IF(U83="","",IF(U83="Выигрыш",J83-1,IF(U83="Полувыигрыш",(J83-1)/2,IF(U83="Возврат",0,IF(U83="Полупроигрыш",-0.5,IF(U83="Поражение",-1,"Проверить результат")))))))</x:f>
      </x:c>
      <x:c r="W83" s="80" t="str">
        <x:f>IF(A83="","",IF(U83="","Открыт",IF(ISNUMBER(V83),"Рассчитан","Проверить результат")))</x:f>
      </x:c>
      <x:c r="X83" s="98"/>
      <x:c r="Y83" s="5"/>
      <x:c r="Z83" s="5"/>
      <x:c r="AA83" s="5"/>
      <x:c r="AB83" s="118"/>
      <x:c r="AC83" s="119"/>
      <x:c r="AD83" s="119"/>
      <x:c r="AE83" s="5" t="str">
        <x:f>IF(A83="","",IF(Z83="","Нет ID пары",IF(AND(COUNTIFS($Z$59:$Z$505,Z83,$Y$59:$Y$505,"Оптимальный",$W$59:$W$505,"Рассчитан")=1,COUNTIFS($Z$59:$Z$505,Z83,$Y$59:$Y$505,"Агрессивный",$W$59:$W$505,"Рассчитан")=1),"Да","Нет")))</x:f>
      </x:c>
      <x:c r="AF83" s="5"/>
      <x:c r="AG83" s="5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IF(A84="","",IF(U84="","",IF(U84="Выигрыш",J84-1,IF(U84="Полувыигрыш",(J84-1)/2,IF(U84="Возврат",0,IF(U84="Полупроигрыш",-0.5,IF(U84="Поражение",-1,"Проверить результат")))))))</x:f>
      </x:c>
      <x:c r="W84" s="80" t="str">
        <x:f>IF(A84="","",IF(U84="","Открыт",IF(ISNUMBER(V84),"Рассчитан","Проверить результат")))</x:f>
      </x:c>
      <x:c r="X84" s="98"/>
      <x:c r="Y84" s="5"/>
      <x:c r="Z84" s="5"/>
      <x:c r="AA84" s="5"/>
      <x:c r="AB84" s="118"/>
      <x:c r="AC84" s="119"/>
      <x:c r="AD84" s="119"/>
      <x:c r="AE84" s="5" t="str">
        <x:f>IF(A84="","",IF(Z84="","Нет ID пары",IF(AND(COUNTIFS($Z$59:$Z$505,Z84,$Y$59:$Y$505,"Оптимальный",$W$59:$W$505,"Рассчитан")=1,COUNTIFS($Z$59:$Z$505,Z84,$Y$59:$Y$505,"Агрессивный",$W$59:$W$505,"Рассчитан")=1),"Да","Нет")))</x:f>
      </x:c>
      <x:c r="AF84" s="5"/>
      <x:c r="AG84" s="5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IF(A85="","",IF(U85="","",IF(U85="Выигрыш",J85-1,IF(U85="Полувыигрыш",(J85-1)/2,IF(U85="Возврат",0,IF(U85="Полупроигрыш",-0.5,IF(U85="Поражение",-1,"Проверить результат")))))))</x:f>
      </x:c>
      <x:c r="W85" s="80" t="str">
        <x:f>IF(A85="","",IF(U85="","Открыт",IF(ISNUMBER(V85),"Рассчитан","Проверить результат")))</x:f>
      </x:c>
      <x:c r="X85" s="98"/>
      <x:c r="Y85" s="5"/>
      <x:c r="Z85" s="5"/>
      <x:c r="AA85" s="5"/>
      <x:c r="AB85" s="118"/>
      <x:c r="AC85" s="119"/>
      <x:c r="AD85" s="119"/>
      <x:c r="AE85" s="5" t="str">
        <x:f>IF(A85="","",IF(Z85="","Нет ID пары",IF(AND(COUNTIFS($Z$59:$Z$505,Z85,$Y$59:$Y$505,"Оптимальный",$W$59:$W$505,"Рассчитан")=1,COUNTIFS($Z$59:$Z$505,Z85,$Y$59:$Y$505,"Агрессивный",$W$59:$W$505,"Рассчитан")=1),"Да","Нет")))</x:f>
      </x:c>
      <x:c r="AF85" s="5"/>
      <x:c r="AG85" s="5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IF(A86="","",IF(U86="","",IF(U86="Выигрыш",J86-1,IF(U86="Полувыигрыш",(J86-1)/2,IF(U86="Возврат",0,IF(U86="Полупроигрыш",-0.5,IF(U86="Поражение",-1,"Проверить результат")))))))</x:f>
      </x:c>
      <x:c r="W86" s="80" t="str">
        <x:f>IF(A86="","",IF(U86="","Открыт",IF(ISNUMBER(V86),"Рассчитан","Проверить результат")))</x:f>
      </x:c>
      <x:c r="X86" s="98"/>
      <x:c r="Y86" s="5"/>
      <x:c r="Z86" s="5"/>
      <x:c r="AA86" s="5"/>
      <x:c r="AB86" s="118"/>
      <x:c r="AC86" s="119"/>
      <x:c r="AD86" s="119"/>
      <x:c r="AE86" s="5" t="str">
        <x:f>IF(A86="","",IF(Z86="","Нет ID пары",IF(AND(COUNTIFS($Z$59:$Z$505,Z86,$Y$59:$Y$505,"Оптимальный",$W$59:$W$505,"Рассчитан")=1,COUNTIFS($Z$59:$Z$505,Z86,$Y$59:$Y$505,"Агрессивный",$W$59:$W$505,"Рассчитан")=1),"Да","Нет")))</x:f>
      </x:c>
      <x:c r="AF86" s="5"/>
      <x:c r="AG86" s="5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IF(A87="","",IF(U87="","",IF(U87="Выигрыш",J87-1,IF(U87="Полувыигрыш",(J87-1)/2,IF(U87="Возврат",0,IF(U87="Полупроигрыш",-0.5,IF(U87="Поражение",-1,"Проверить результат")))))))</x:f>
      </x:c>
      <x:c r="W87" s="80" t="str">
        <x:f>IF(A87="","",IF(U87="","Открыт",IF(ISNUMBER(V87),"Рассчитан","Проверить результат")))</x:f>
      </x:c>
      <x:c r="X87" s="98"/>
      <x:c r="Y87" s="5"/>
      <x:c r="Z87" s="5"/>
      <x:c r="AA87" s="5"/>
      <x:c r="AB87" s="118"/>
      <x:c r="AC87" s="119"/>
      <x:c r="AD87" s="119"/>
      <x:c r="AE87" s="5" t="str">
        <x:f>IF(A87="","",IF(Z87="","Нет ID пары",IF(AND(COUNTIFS($Z$59:$Z$505,Z87,$Y$59:$Y$505,"Оптимальный",$W$59:$W$505,"Рассчитан")=1,COUNTIFS($Z$59:$Z$505,Z87,$Y$59:$Y$505,"Агрессивный",$W$59:$W$505,"Рассчитан")=1),"Да","Нет")))</x:f>
      </x:c>
      <x:c r="AF87" s="5"/>
      <x:c r="AG87" s="5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IF(A88="","",IF(U88="","",IF(U88="Выигрыш",J88-1,IF(U88="Полувыигрыш",(J88-1)/2,IF(U88="Возврат",0,IF(U88="Полупроигрыш",-0.5,IF(U88="Поражение",-1,"Проверить результат")))))))</x:f>
      </x:c>
      <x:c r="W88" s="80" t="str">
        <x:f>IF(A88="","",IF(U88="","Открыт",IF(ISNUMBER(V88),"Рассчитан","Проверить результат")))</x:f>
      </x:c>
      <x:c r="X88" s="98"/>
      <x:c r="Y88" s="5"/>
      <x:c r="Z88" s="5"/>
      <x:c r="AA88" s="5"/>
      <x:c r="AB88" s="118"/>
      <x:c r="AC88" s="119"/>
      <x:c r="AD88" s="119"/>
      <x:c r="AE88" s="5" t="str">
        <x:f>IF(A88="","",IF(Z88="","Нет ID пары",IF(AND(COUNTIFS($Z$59:$Z$505,Z88,$Y$59:$Y$505,"Оптимальный",$W$59:$W$505,"Рассчитан")=1,COUNTIFS($Z$59:$Z$505,Z88,$Y$59:$Y$505,"Агрессивный",$W$59:$W$505,"Рассчитан")=1),"Да","Нет")))</x:f>
      </x:c>
      <x:c r="AF88" s="5"/>
      <x:c r="AG88" s="5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IF(A89="","",IF(U89="","",IF(U89="Выигрыш",J89-1,IF(U89="Полувыигрыш",(J89-1)/2,IF(U89="Возврат",0,IF(U89="Полупроигрыш",-0.5,IF(U89="Поражение",-1,"Проверить результат")))))))</x:f>
      </x:c>
      <x:c r="W89" s="80" t="str">
        <x:f>IF(A89="","",IF(U89="","Открыт",IF(ISNUMBER(V89),"Рассчитан","Проверить результат")))</x:f>
      </x:c>
      <x:c r="X89" s="98"/>
      <x:c r="Y89" s="5"/>
      <x:c r="Z89" s="5"/>
      <x:c r="AA89" s="5"/>
      <x:c r="AB89" s="118"/>
      <x:c r="AC89" s="119"/>
      <x:c r="AD89" s="119"/>
      <x:c r="AE89" s="5" t="str">
        <x:f>IF(A89="","",IF(Z89="","Нет ID пары",IF(AND(COUNTIFS($Z$59:$Z$505,Z89,$Y$59:$Y$505,"Оптимальный",$W$59:$W$505,"Рассчитан")=1,COUNTIFS($Z$59:$Z$505,Z89,$Y$59:$Y$505,"Агрессивный",$W$59:$W$505,"Рассчитан")=1),"Да","Нет")))</x:f>
      </x:c>
      <x:c r="AF89" s="5"/>
      <x:c r="AG89" s="5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IF(A90="","",IF(U90="","",IF(U90="Выигрыш",J90-1,IF(U90="Полувыигрыш",(J90-1)/2,IF(U90="Возврат",0,IF(U90="Полупроигрыш",-0.5,IF(U90="Поражение",-1,"Проверить результат")))))))</x:f>
      </x:c>
      <x:c r="W90" s="80" t="str">
        <x:f>IF(A90="","",IF(U90="","Открыт",IF(ISNUMBER(V90),"Рассчитан","Проверить результат")))</x:f>
      </x:c>
      <x:c r="X90" s="98"/>
      <x:c r="Y90" s="5"/>
      <x:c r="Z90" s="5"/>
      <x:c r="AA90" s="5"/>
      <x:c r="AB90" s="118"/>
      <x:c r="AC90" s="119"/>
      <x:c r="AD90" s="119"/>
      <x:c r="AE90" s="5" t="str">
        <x:f>IF(A90="","",IF(Z90="","Нет ID пары",IF(AND(COUNTIFS($Z$59:$Z$505,Z90,$Y$59:$Y$505,"Оптимальный",$W$59:$W$505,"Рассчитан")=1,COUNTIFS($Z$59:$Z$505,Z90,$Y$59:$Y$505,"Агрессивный",$W$59:$W$505,"Рассчитан")=1),"Да","Нет")))</x:f>
      </x:c>
      <x:c r="AF90" s="5"/>
      <x:c r="AG90" s="5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IF(A91="","",IF(U91="","",IF(U91="Выигрыш",J91-1,IF(U91="Полувыигрыш",(J91-1)/2,IF(U91="Возврат",0,IF(U91="Полупроигрыш",-0.5,IF(U91="Поражение",-1,"Проверить результат")))))))</x:f>
      </x:c>
      <x:c r="W91" s="80" t="str">
        <x:f>IF(A91="","",IF(U91="","Открыт",IF(ISNUMBER(V91),"Рассчитан","Проверить результат")))</x:f>
      </x:c>
      <x:c r="X91" s="98"/>
      <x:c r="Y91" s="5"/>
      <x:c r="Z91" s="5"/>
      <x:c r="AA91" s="5"/>
      <x:c r="AB91" s="118"/>
      <x:c r="AC91" s="119"/>
      <x:c r="AD91" s="119"/>
      <x:c r="AE91" s="5" t="str">
        <x:f>IF(A91="","",IF(Z91="","Нет ID пары",IF(AND(COUNTIFS($Z$59:$Z$505,Z91,$Y$59:$Y$505,"Оптимальный",$W$59:$W$505,"Рассчитан")=1,COUNTIFS($Z$59:$Z$505,Z91,$Y$59:$Y$505,"Агрессивный",$W$59:$W$505,"Рассчитан")=1),"Да","Нет")))</x:f>
      </x:c>
      <x:c r="AF91" s="5"/>
      <x:c r="AG91" s="5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IF(A92="","",IF(U92="","",IF(U92="Выигрыш",J92-1,IF(U92="Полувыигрыш",(J92-1)/2,IF(U92="Возврат",0,IF(U92="Полупроигрыш",-0.5,IF(U92="Поражение",-1,"Проверить результат")))))))</x:f>
      </x:c>
      <x:c r="W92" s="80" t="str">
        <x:f>IF(A92="","",IF(U92="","Открыт",IF(ISNUMBER(V92),"Рассчитан","Проверить результат")))</x:f>
      </x:c>
      <x:c r="X92" s="98"/>
      <x:c r="Y92" s="5"/>
      <x:c r="Z92" s="5"/>
      <x:c r="AA92" s="5"/>
      <x:c r="AB92" s="118"/>
      <x:c r="AC92" s="119"/>
      <x:c r="AD92" s="119"/>
      <x:c r="AE92" s="5" t="str">
        <x:f>IF(A92="","",IF(Z92="","Нет ID пары",IF(AND(COUNTIFS($Z$59:$Z$505,Z92,$Y$59:$Y$505,"Оптимальный",$W$59:$W$505,"Рассчитан")=1,COUNTIFS($Z$59:$Z$505,Z92,$Y$59:$Y$505,"Агрессивный",$W$59:$W$505,"Рассчитан")=1),"Да","Нет")))</x:f>
      </x:c>
      <x:c r="AF92" s="5"/>
      <x:c r="AG92" s="5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IF(A93="","",IF(U93="","",IF(U93="Выигрыш",J93-1,IF(U93="Полувыигрыш",(J93-1)/2,IF(U93="Возврат",0,IF(U93="Полупроигрыш",-0.5,IF(U93="Поражение",-1,"Проверить результат")))))))</x:f>
      </x:c>
      <x:c r="W93" s="80" t="str">
        <x:f>IF(A93="","",IF(U93="","Открыт",IF(ISNUMBER(V93),"Рассчитан","Проверить результат")))</x:f>
      </x:c>
      <x:c r="X93" s="98"/>
      <x:c r="Y93" s="5"/>
      <x:c r="Z93" s="5"/>
      <x:c r="AA93" s="5"/>
      <x:c r="AB93" s="118"/>
      <x:c r="AC93" s="119"/>
      <x:c r="AD93" s="119"/>
      <x:c r="AE93" s="5" t="str">
        <x:f>IF(A93="","",IF(Z93="","Нет ID пары",IF(AND(COUNTIFS($Z$59:$Z$505,Z93,$Y$59:$Y$505,"Оптимальный",$W$59:$W$505,"Рассчитан")=1,COUNTIFS($Z$59:$Z$505,Z93,$Y$59:$Y$505,"Агрессивный",$W$59:$W$505,"Рассчитан")=1),"Да","Нет")))</x:f>
      </x:c>
      <x:c r="AF93" s="5"/>
      <x:c r="AG93" s="5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IF(A94="","",IF(U94="","",IF(U94="Выигрыш",J94-1,IF(U94="Полувыигрыш",(J94-1)/2,IF(U94="Возврат",0,IF(U94="Полупроигрыш",-0.5,IF(U94="Поражение",-1,"Проверить результат")))))))</x:f>
      </x:c>
      <x:c r="W94" s="80" t="str">
        <x:f>IF(A94="","",IF(U94="","Открыт",IF(ISNUMBER(V94),"Рассчитан","Проверить результат")))</x:f>
      </x:c>
      <x:c r="X94" s="98"/>
      <x:c r="Y94" s="5"/>
      <x:c r="Z94" s="5"/>
      <x:c r="AA94" s="5"/>
      <x:c r="AB94" s="118"/>
      <x:c r="AC94" s="119"/>
      <x:c r="AD94" s="119"/>
      <x:c r="AE94" s="5" t="str">
        <x:f>IF(A94="","",IF(Z94="","Нет ID пары",IF(AND(COUNTIFS($Z$59:$Z$505,Z94,$Y$59:$Y$505,"Оптимальный",$W$59:$W$505,"Рассчитан")=1,COUNTIFS($Z$59:$Z$505,Z94,$Y$59:$Y$505,"Агрессивный",$W$59:$W$505,"Рассчитан")=1),"Да","Нет")))</x:f>
      </x:c>
      <x:c r="AF94" s="5"/>
      <x:c r="AG94" s="5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IF(A95="","",IF(U95="","",IF(U95="Выигрыш",J95-1,IF(U95="Полувыигрыш",(J95-1)/2,IF(U95="Возврат",0,IF(U95="Полупроигрыш",-0.5,IF(U95="Поражение",-1,"Проверить результат")))))))</x:f>
      </x:c>
      <x:c r="W95" s="80" t="str">
        <x:f>IF(A95="","",IF(U95="","Открыт",IF(ISNUMBER(V95),"Рассчитан","Проверить результат")))</x:f>
      </x:c>
      <x:c r="X95" s="98"/>
      <x:c r="Y95" s="5"/>
      <x:c r="Z95" s="5"/>
      <x:c r="AA95" s="5"/>
      <x:c r="AB95" s="118"/>
      <x:c r="AC95" s="119"/>
      <x:c r="AD95" s="119"/>
      <x:c r="AE95" s="5" t="str">
        <x:f>IF(A95="","",IF(Z95="","Нет ID пары",IF(AND(COUNTIFS($Z$59:$Z$505,Z95,$Y$59:$Y$505,"Оптимальный",$W$59:$W$505,"Рассчитан")=1,COUNTIFS($Z$59:$Z$505,Z95,$Y$59:$Y$505,"Агрессивный",$W$59:$W$505,"Рассчитан")=1),"Да","Нет")))</x:f>
      </x:c>
      <x:c r="AF95" s="5"/>
      <x:c r="AG95" s="5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IF(A96="","",IF(U96="","",IF(U96="Выигрыш",J96-1,IF(U96="Полувыигрыш",(J96-1)/2,IF(U96="Возврат",0,IF(U96="Полупроигрыш",-0.5,IF(U96="Поражение",-1,"Проверить результат")))))))</x:f>
      </x:c>
      <x:c r="W96" s="80" t="str">
        <x:f>IF(A96="","",IF(U96="","Открыт",IF(ISNUMBER(V96),"Рассчитан","Проверить результат")))</x:f>
      </x:c>
      <x:c r="X96" s="98"/>
      <x:c r="Y96" s="5"/>
      <x:c r="Z96" s="5"/>
      <x:c r="AA96" s="5"/>
      <x:c r="AB96" s="118"/>
      <x:c r="AC96" s="119"/>
      <x:c r="AD96" s="119"/>
      <x:c r="AE96" s="5" t="str">
        <x:f>IF(A96="","",IF(Z96="","Нет ID пары",IF(AND(COUNTIFS($Z$59:$Z$505,Z96,$Y$59:$Y$505,"Оптимальный",$W$59:$W$505,"Рассчитан")=1,COUNTIFS($Z$59:$Z$505,Z96,$Y$59:$Y$505,"Агрессивный",$W$59:$W$505,"Рассчитан")=1),"Да","Нет")))</x:f>
      </x:c>
      <x:c r="AF96" s="5"/>
      <x:c r="AG96" s="5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IF(A97="","",IF(U97="","",IF(U97="Выигрыш",J97-1,IF(U97="Полувыигрыш",(J97-1)/2,IF(U97="Возврат",0,IF(U97="Полупроигрыш",-0.5,IF(U97="Поражение",-1,"Проверить результат")))))))</x:f>
      </x:c>
      <x:c r="W97" s="80" t="str">
        <x:f>IF(A97="","",IF(U97="","Открыт",IF(ISNUMBER(V97),"Рассчитан","Проверить результат")))</x:f>
      </x:c>
      <x:c r="X97" s="98"/>
      <x:c r="Y97" s="5"/>
      <x:c r="Z97" s="5"/>
      <x:c r="AA97" s="5"/>
      <x:c r="AB97" s="118"/>
      <x:c r="AC97" s="119"/>
      <x:c r="AD97" s="119"/>
      <x:c r="AE97" s="5" t="str">
        <x:f>IF(A97="","",IF(Z97="","Нет ID пары",IF(AND(COUNTIFS($Z$59:$Z$505,Z97,$Y$59:$Y$505,"Оптимальный",$W$59:$W$505,"Рассчитан")=1,COUNTIFS($Z$59:$Z$505,Z97,$Y$59:$Y$505,"Агрессивный",$W$59:$W$505,"Рассчитан")=1),"Да","Нет")))</x:f>
      </x:c>
      <x:c r="AF97" s="5"/>
      <x:c r="AG97" s="5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IF(A98="","",IF(U98="","",IF(U98="Выигрыш",J98-1,IF(U98="Полувыигрыш",(J98-1)/2,IF(U98="Возврат",0,IF(U98="Полупроигрыш",-0.5,IF(U98="Поражение",-1,"Проверить результат")))))))</x:f>
      </x:c>
      <x:c r="W98" s="80" t="str">
        <x:f>IF(A98="","",IF(U98="","Открыт",IF(ISNUMBER(V98),"Рассчитан","Проверить результат")))</x:f>
      </x:c>
      <x:c r="X98" s="98"/>
      <x:c r="Y98" s="5"/>
      <x:c r="Z98" s="5"/>
      <x:c r="AA98" s="5"/>
      <x:c r="AB98" s="118"/>
      <x:c r="AC98" s="119"/>
      <x:c r="AD98" s="119"/>
      <x:c r="AE98" s="5" t="str">
        <x:f>IF(A98="","",IF(Z98="","Нет ID пары",IF(AND(COUNTIFS($Z$59:$Z$505,Z98,$Y$59:$Y$505,"Оптимальный",$W$59:$W$505,"Рассчитан")=1,COUNTIFS($Z$59:$Z$505,Z98,$Y$59:$Y$505,"Агрессивный",$W$59:$W$505,"Рассчитан")=1),"Да","Нет")))</x:f>
      </x:c>
      <x:c r="AF98" s="5"/>
      <x:c r="AG98" s="5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IF(A99="","",IF(U99="","",IF(U99="Выигрыш",J99-1,IF(U99="Полувыигрыш",(J99-1)/2,IF(U99="Возврат",0,IF(U99="Полупроигрыш",-0.5,IF(U99="Поражение",-1,"Проверить результат")))))))</x:f>
      </x:c>
      <x:c r="W99" s="80" t="str">
        <x:f>IF(A99="","",IF(U99="","Открыт",IF(ISNUMBER(V99),"Рассчитан","Проверить результат")))</x:f>
      </x:c>
      <x:c r="X99" s="98"/>
      <x:c r="Y99" s="5"/>
      <x:c r="Z99" s="5"/>
      <x:c r="AA99" s="5"/>
      <x:c r="AB99" s="118"/>
      <x:c r="AC99" s="119"/>
      <x:c r="AD99" s="119"/>
      <x:c r="AE99" s="5" t="str">
        <x:f>IF(A99="","",IF(Z99="","Нет ID пары",IF(AND(COUNTIFS($Z$59:$Z$505,Z99,$Y$59:$Y$505,"Оптимальный",$W$59:$W$505,"Рассчитан")=1,COUNTIFS($Z$59:$Z$505,Z99,$Y$59:$Y$505,"Агрессивный",$W$59:$W$505,"Рассчитан")=1),"Да","Нет")))</x:f>
      </x:c>
      <x:c r="AF99" s="5"/>
      <x:c r="AG99" s="5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IF(A100="","",IF(U100="","",IF(U100="Выигрыш",J100-1,IF(U100="Полувыигрыш",(J100-1)/2,IF(U100="Возврат",0,IF(U100="Полупроигрыш",-0.5,IF(U100="Поражение",-1,"Проверить результат")))))))</x:f>
      </x:c>
      <x:c r="W100" s="80" t="str">
        <x:f>IF(A100="","",IF(U100="","Открыт",IF(ISNUMBER(V100),"Рассчитан","Проверить результат")))</x:f>
      </x:c>
      <x:c r="X100" s="98"/>
      <x:c r="Y100" s="5"/>
      <x:c r="Z100" s="5"/>
      <x:c r="AA100" s="5"/>
      <x:c r="AB100" s="118"/>
      <x:c r="AC100" s="119"/>
      <x:c r="AD100" s="119"/>
      <x:c r="AE100" s="5" t="str">
        <x:f>IF(A100="","",IF(Z100="","Нет ID пары",IF(AND(COUNTIFS($Z$59:$Z$505,Z100,$Y$59:$Y$505,"Оптимальный",$W$59:$W$505,"Рассчитан")=1,COUNTIFS($Z$59:$Z$505,Z100,$Y$59:$Y$505,"Агрессивный",$W$59:$W$505,"Рассчитан")=1),"Да","Нет")))</x:f>
      </x:c>
      <x:c r="AF100" s="5"/>
      <x:c r="AG100" s="5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IF(A101="","",IF(U101="","",IF(U101="Выигрыш",J101-1,IF(U101="Полувыигрыш",(J101-1)/2,IF(U101="Возврат",0,IF(U101="Полупроигрыш",-0.5,IF(U101="Поражение",-1,"Проверить результат")))))))</x:f>
      </x:c>
      <x:c r="W101" s="80" t="str">
        <x:f>IF(A101="","",IF(U101="","Открыт",IF(ISNUMBER(V101),"Рассчитан","Проверить результат")))</x:f>
      </x:c>
      <x:c r="X101" s="98"/>
      <x:c r="Y101" s="5"/>
      <x:c r="Z101" s="5"/>
      <x:c r="AA101" s="5"/>
      <x:c r="AB101" s="118"/>
      <x:c r="AC101" s="119"/>
      <x:c r="AD101" s="119"/>
      <x:c r="AE101" s="5" t="str">
        <x:f>IF(A101="","",IF(Z101="","Нет ID пары",IF(AND(COUNTIFS($Z$59:$Z$505,Z101,$Y$59:$Y$505,"Оптимальный",$W$59:$W$505,"Рассчитан")=1,COUNTIFS($Z$59:$Z$505,Z101,$Y$59:$Y$505,"Агрессивный",$W$59:$W$505,"Рассчитан")=1),"Да","Нет")))</x:f>
      </x:c>
      <x:c r="AF101" s="5"/>
      <x:c r="AG101" s="5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IF(A102="","",IF(U102="","",IF(U102="Выигрыш",J102-1,IF(U102="Полувыигрыш",(J102-1)/2,IF(U102="Возврат",0,IF(U102="Полупроигрыш",-0.5,IF(U102="Поражение",-1,"Проверить результат")))))))</x:f>
      </x:c>
      <x:c r="W102" s="80" t="str">
        <x:f>IF(A102="","",IF(U102="","Открыт",IF(ISNUMBER(V102),"Рассчитан","Проверить результат")))</x:f>
      </x:c>
      <x:c r="X102" s="98"/>
      <x:c r="Y102" s="5"/>
      <x:c r="Z102" s="5"/>
      <x:c r="AA102" s="5"/>
      <x:c r="AB102" s="118"/>
      <x:c r="AC102" s="119"/>
      <x:c r="AD102" s="119"/>
      <x:c r="AE102" s="5" t="str">
        <x:f>IF(A102="","",IF(Z102="","Нет ID пары",IF(AND(COUNTIFS($Z$59:$Z$505,Z102,$Y$59:$Y$505,"Оптимальный",$W$59:$W$505,"Рассчитан")=1,COUNTIFS($Z$59:$Z$505,Z102,$Y$59:$Y$505,"Агрессивный",$W$59:$W$505,"Рассчитан")=1),"Да","Нет")))</x:f>
      </x:c>
      <x:c r="AF102" s="5"/>
      <x:c r="AG102" s="5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IF(A103="","",IF(U103="","",IF(U103="Выигрыш",J103-1,IF(U103="Полувыигрыш",(J103-1)/2,IF(U103="Возврат",0,IF(U103="Полупроигрыш",-0.5,IF(U103="Поражение",-1,"Проверить результат")))))))</x:f>
      </x:c>
      <x:c r="W103" s="80" t="str">
        <x:f>IF(A103="","",IF(U103="","Открыт",IF(ISNUMBER(V103),"Рассчитан","Проверить результат")))</x:f>
      </x:c>
      <x:c r="X103" s="98"/>
      <x:c r="Y103" s="5"/>
      <x:c r="Z103" s="5"/>
      <x:c r="AA103" s="5"/>
      <x:c r="AB103" s="118"/>
      <x:c r="AC103" s="119"/>
      <x:c r="AD103" s="119"/>
      <x:c r="AE103" s="5" t="str">
        <x:f>IF(A103="","",IF(Z103="","Нет ID пары",IF(AND(COUNTIFS($Z$59:$Z$505,Z103,$Y$59:$Y$505,"Оптимальный",$W$59:$W$505,"Рассчитан")=1,COUNTIFS($Z$59:$Z$505,Z103,$Y$59:$Y$505,"Агрессивный",$W$59:$W$505,"Рассчитан")=1),"Да","Нет")))</x:f>
      </x:c>
      <x:c r="AF103" s="5"/>
      <x:c r="AG103" s="5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IF(A104="","",IF(U104="","",IF(U104="Выигрыш",J104-1,IF(U104="Полувыигрыш",(J104-1)/2,IF(U104="Возврат",0,IF(U104="Полупроигрыш",-0.5,IF(U104="Поражение",-1,"Проверить результат")))))))</x:f>
      </x:c>
      <x:c r="W104" s="80" t="str">
        <x:f>IF(A104="","",IF(U104="","Открыт",IF(ISNUMBER(V104),"Рассчитан","Проверить результат")))</x:f>
      </x:c>
      <x:c r="X104" s="98"/>
      <x:c r="Y104" s="5"/>
      <x:c r="Z104" s="5"/>
      <x:c r="AA104" s="5"/>
      <x:c r="AB104" s="118"/>
      <x:c r="AC104" s="119"/>
      <x:c r="AD104" s="119"/>
      <x:c r="AE104" s="5" t="str">
        <x:f>IF(A104="","",IF(Z104="","Нет ID пары",IF(AND(COUNTIFS($Z$59:$Z$505,Z104,$Y$59:$Y$505,"Оптимальный",$W$59:$W$505,"Рассчитан")=1,COUNTIFS($Z$59:$Z$505,Z104,$Y$59:$Y$505,"Агрессивный",$W$59:$W$505,"Рассчитан")=1),"Да","Нет")))</x:f>
      </x:c>
      <x:c r="AF104" s="5"/>
      <x:c r="AG104" s="5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IF(A105="","",IF(U105="","",IF(U105="Выигрыш",J105-1,IF(U105="Полувыигрыш",(J105-1)/2,IF(U105="Возврат",0,IF(U105="Полупроигрыш",-0.5,IF(U105="Поражение",-1,"Проверить результат")))))))</x:f>
      </x:c>
      <x:c r="W105" s="80" t="str">
        <x:f>IF(A105="","",IF(U105="","Открыт",IF(ISNUMBER(V105),"Рассчитан","Проверить результат")))</x:f>
      </x:c>
      <x:c r="X105" s="98"/>
      <x:c r="Y105" s="5"/>
      <x:c r="Z105" s="5"/>
      <x:c r="AA105" s="5"/>
      <x:c r="AB105" s="118"/>
      <x:c r="AC105" s="119"/>
      <x:c r="AD105" s="119"/>
      <x:c r="AE105" s="5" t="str">
        <x:f>IF(A105="","",IF(Z105="","Нет ID пары",IF(AND(COUNTIFS($Z$59:$Z$505,Z105,$Y$59:$Y$505,"Оптимальный",$W$59:$W$505,"Рассчитан")=1,COUNTIFS($Z$59:$Z$505,Z105,$Y$59:$Y$505,"Агрессивный",$W$59:$W$505,"Рассчитан")=1),"Да","Нет")))</x:f>
      </x:c>
      <x:c r="AF105" s="5"/>
      <x:c r="AG105" s="5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IF(A106="","",IF(U106="","",IF(U106="Выигрыш",J106-1,IF(U106="Полувыигрыш",(J106-1)/2,IF(U106="Возврат",0,IF(U106="Полупроигрыш",-0.5,IF(U106="Поражение",-1,"Проверить результат")))))))</x:f>
      </x:c>
      <x:c r="W106" s="80" t="str">
        <x:f>IF(A106="","",IF(U106="","Открыт",IF(ISNUMBER(V106),"Рассчитан","Проверить результат")))</x:f>
      </x:c>
      <x:c r="X106" s="98"/>
      <x:c r="Y106" s="5"/>
      <x:c r="Z106" s="5"/>
      <x:c r="AA106" s="5"/>
      <x:c r="AB106" s="118"/>
      <x:c r="AC106" s="119"/>
      <x:c r="AD106" s="119"/>
      <x:c r="AE106" s="5" t="str">
        <x:f>IF(A106="","",IF(Z106="","Нет ID пары",IF(AND(COUNTIFS($Z$59:$Z$505,Z106,$Y$59:$Y$505,"Оптимальный",$W$59:$W$505,"Рассчитан")=1,COUNTIFS($Z$59:$Z$505,Z106,$Y$59:$Y$505,"Агрессивный",$W$59:$W$505,"Рассчитан")=1),"Да","Нет")))</x:f>
      </x:c>
      <x:c r="AF106" s="5"/>
      <x:c r="AG106" s="5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IF(A107="","",IF(U107="","",IF(U107="Выигрыш",J107-1,IF(U107="Полувыигрыш",(J107-1)/2,IF(U107="Возврат",0,IF(U107="Полупроигрыш",-0.5,IF(U107="Поражение",-1,"Проверить результат")))))))</x:f>
      </x:c>
      <x:c r="W107" s="80" t="str">
        <x:f>IF(A107="","",IF(U107="","Открыт",IF(ISNUMBER(V107),"Рассчитан","Проверить результат")))</x:f>
      </x:c>
      <x:c r="X107" s="98"/>
      <x:c r="Y107" s="5"/>
      <x:c r="Z107" s="5"/>
      <x:c r="AA107" s="5"/>
      <x:c r="AB107" s="118"/>
      <x:c r="AC107" s="119"/>
      <x:c r="AD107" s="119"/>
      <x:c r="AE107" s="5" t="str">
        <x:f>IF(A107="","",IF(Z107="","Нет ID пары",IF(AND(COUNTIFS($Z$59:$Z$505,Z107,$Y$59:$Y$505,"Оптимальный",$W$59:$W$505,"Рассчитан")=1,COUNTIFS($Z$59:$Z$505,Z107,$Y$59:$Y$505,"Агрессивный",$W$59:$W$505,"Рассчитан")=1),"Да","Нет")))</x:f>
      </x:c>
      <x:c r="AF107" s="5"/>
      <x:c r="AG107" s="5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IF(A108="","",IF(U108="","",IF(U108="Выигрыш",J108-1,IF(U108="Полувыигрыш",(J108-1)/2,IF(U108="Возврат",0,IF(U108="Полупроигрыш",-0.5,IF(U108="Поражение",-1,"Проверить результат")))))))</x:f>
      </x:c>
      <x:c r="W108" s="80" t="str">
        <x:f>IF(A108="","",IF(U108="","Открыт",IF(ISNUMBER(V108),"Рассчитан","Проверить результат")))</x:f>
      </x:c>
      <x:c r="X108" s="98"/>
      <x:c r="Y108" s="5"/>
      <x:c r="Z108" s="5"/>
      <x:c r="AA108" s="5"/>
      <x:c r="AB108" s="118"/>
      <x:c r="AC108" s="119"/>
      <x:c r="AD108" s="119"/>
      <x:c r="AE108" s="5" t="str">
        <x:f>IF(A108="","",IF(Z108="","Нет ID пары",IF(AND(COUNTIFS($Z$59:$Z$505,Z108,$Y$59:$Y$505,"Оптимальный",$W$59:$W$505,"Рассчитан")=1,COUNTIFS($Z$59:$Z$505,Z108,$Y$59:$Y$505,"Агрессивный",$W$59:$W$505,"Рассчитан")=1),"Да","Нет")))</x:f>
      </x:c>
      <x:c r="AF108" s="5"/>
      <x:c r="AG108" s="5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IF(A109="","",IF(U109="","",IF(U109="Выигрыш",J109-1,IF(U109="Полувыигрыш",(J109-1)/2,IF(U109="Возврат",0,IF(U109="Полупроигрыш",-0.5,IF(U109="Поражение",-1,"Проверить результат")))))))</x:f>
      </x:c>
      <x:c r="W109" s="80" t="str">
        <x:f>IF(A109="","",IF(U109="","Открыт",IF(ISNUMBER(V109),"Рассчитан","Проверить результат")))</x:f>
      </x:c>
      <x:c r="X109" s="98"/>
      <x:c r="Y109" s="5"/>
      <x:c r="Z109" s="5"/>
      <x:c r="AA109" s="5"/>
      <x:c r="AB109" s="118"/>
      <x:c r="AC109" s="119"/>
      <x:c r="AD109" s="119"/>
      <x:c r="AE109" s="5" t="str">
        <x:f>IF(A109="","",IF(Z109="","Нет ID пары",IF(AND(COUNTIFS($Z$59:$Z$505,Z109,$Y$59:$Y$505,"Оптимальный",$W$59:$W$505,"Рассчитан")=1,COUNTIFS($Z$59:$Z$505,Z109,$Y$59:$Y$505,"Агрессивный",$W$59:$W$505,"Рассчитан")=1),"Да","Нет")))</x:f>
      </x:c>
      <x:c r="AF109" s="5"/>
      <x:c r="AG109" s="5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IF(A110="","",IF(U110="","",IF(U110="Выигрыш",J110-1,IF(U110="Полувыигрыш",(J110-1)/2,IF(U110="Возврат",0,IF(U110="Полупроигрыш",-0.5,IF(U110="Поражение",-1,"Проверить результат")))))))</x:f>
      </x:c>
      <x:c r="W110" s="80" t="str">
        <x:f>IF(A110="","",IF(U110="","Открыт",IF(ISNUMBER(V110),"Рассчитан","Проверить результат")))</x:f>
      </x:c>
      <x:c r="X110" s="98"/>
      <x:c r="Y110" s="5"/>
      <x:c r="Z110" s="5"/>
      <x:c r="AA110" s="5"/>
      <x:c r="AB110" s="118"/>
      <x:c r="AC110" s="119"/>
      <x:c r="AD110" s="119"/>
      <x:c r="AE110" s="5" t="str">
        <x:f>IF(A110="","",IF(Z110="","Нет ID пары",IF(AND(COUNTIFS($Z$59:$Z$505,Z110,$Y$59:$Y$505,"Оптимальный",$W$59:$W$505,"Рассчитан")=1,COUNTIFS($Z$59:$Z$505,Z110,$Y$59:$Y$505,"Агрессивный",$W$59:$W$505,"Рассчитан")=1),"Да","Нет")))</x:f>
      </x:c>
      <x:c r="AF110" s="5"/>
      <x:c r="AG110" s="5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IF(A111="","",IF(U111="","",IF(U111="Выигрыш",J111-1,IF(U111="Полувыигрыш",(J111-1)/2,IF(U111="Возврат",0,IF(U111="Полупроигрыш",-0.5,IF(U111="Поражение",-1,"Проверить результат")))))))</x:f>
      </x:c>
      <x:c r="W111" s="80" t="str">
        <x:f>IF(A111="","",IF(U111="","Открыт",IF(ISNUMBER(V111),"Рассчитан","Проверить результат")))</x:f>
      </x:c>
      <x:c r="X111" s="98"/>
      <x:c r="Y111" s="5"/>
      <x:c r="Z111" s="5"/>
      <x:c r="AA111" s="5"/>
      <x:c r="AB111" s="118"/>
      <x:c r="AC111" s="119"/>
      <x:c r="AD111" s="119"/>
      <x:c r="AE111" s="5" t="str">
        <x:f>IF(A111="","",IF(Z111="","Нет ID пары",IF(AND(COUNTIFS($Z$59:$Z$505,Z111,$Y$59:$Y$505,"Оптимальный",$W$59:$W$505,"Рассчитан")=1,COUNTIFS($Z$59:$Z$505,Z111,$Y$59:$Y$505,"Агрессивный",$W$59:$W$505,"Рассчитан")=1),"Да","Нет")))</x:f>
      </x:c>
      <x:c r="AF111" s="5"/>
      <x:c r="AG111" s="5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IF(A112="","",IF(U112="","",IF(U112="Выигрыш",J112-1,IF(U112="Полувыигрыш",(J112-1)/2,IF(U112="Возврат",0,IF(U112="Полупроигрыш",-0.5,IF(U112="Поражение",-1,"Проверить результат")))))))</x:f>
      </x:c>
      <x:c r="W112" s="80" t="str">
        <x:f>IF(A112="","",IF(U112="","Открыт",IF(ISNUMBER(V112),"Рассчитан","Проверить результат")))</x:f>
      </x:c>
      <x:c r="X112" s="98"/>
      <x:c r="Y112" s="5"/>
      <x:c r="Z112" s="5"/>
      <x:c r="AA112" s="5"/>
      <x:c r="AB112" s="118"/>
      <x:c r="AC112" s="119"/>
      <x:c r="AD112" s="119"/>
      <x:c r="AE112" s="5" t="str">
        <x:f>IF(A112="","",IF(Z112="","Нет ID пары",IF(AND(COUNTIFS($Z$59:$Z$505,Z112,$Y$59:$Y$505,"Оптимальный",$W$59:$W$505,"Рассчитан")=1,COUNTIFS($Z$59:$Z$505,Z112,$Y$59:$Y$505,"Агрессивный",$W$59:$W$505,"Рассчитан")=1),"Да","Нет")))</x:f>
      </x:c>
      <x:c r="AF112" s="5"/>
      <x:c r="AG112" s="5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IF(A113="","",IF(U113="","",IF(U113="Выигрыш",J113-1,IF(U113="Полувыигрыш",(J113-1)/2,IF(U113="Возврат",0,IF(U113="Полупроигрыш",-0.5,IF(U113="Поражение",-1,"Проверить результат")))))))</x:f>
      </x:c>
      <x:c r="W113" s="80" t="str">
        <x:f>IF(A113="","",IF(U113="","Открыт",IF(ISNUMBER(V113),"Рассчитан","Проверить результат")))</x:f>
      </x:c>
      <x:c r="X113" s="98"/>
      <x:c r="Y113" s="5"/>
      <x:c r="Z113" s="5"/>
      <x:c r="AA113" s="5"/>
      <x:c r="AB113" s="118"/>
      <x:c r="AC113" s="119"/>
      <x:c r="AD113" s="119"/>
      <x:c r="AE113" s="5" t="str">
        <x:f>IF(A113="","",IF(Z113="","Нет ID пары",IF(AND(COUNTIFS($Z$59:$Z$505,Z113,$Y$59:$Y$505,"Оптимальный",$W$59:$W$505,"Рассчитан")=1,COUNTIFS($Z$59:$Z$505,Z113,$Y$59:$Y$505,"Агрессивный",$W$59:$W$505,"Рассчитан")=1),"Да","Нет")))</x:f>
      </x:c>
      <x:c r="AF113" s="5"/>
      <x:c r="AG113" s="5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IF(A114="","",IF(U114="","",IF(U114="Выигрыш",J114-1,IF(U114="Полувыигрыш",(J114-1)/2,IF(U114="Возврат",0,IF(U114="Полупроигрыш",-0.5,IF(U114="Поражение",-1,"Проверить результат")))))))</x:f>
      </x:c>
      <x:c r="W114" s="80" t="str">
        <x:f>IF(A114="","",IF(U114="","Открыт",IF(ISNUMBER(V114),"Рассчитан","Проверить результат")))</x:f>
      </x:c>
      <x:c r="X114" s="98"/>
      <x:c r="Y114" s="5"/>
      <x:c r="Z114" s="5"/>
      <x:c r="AA114" s="5"/>
      <x:c r="AB114" s="118"/>
      <x:c r="AC114" s="119"/>
      <x:c r="AD114" s="119"/>
      <x:c r="AE114" s="5" t="str">
        <x:f>IF(A114="","",IF(Z114="","Нет ID пары",IF(AND(COUNTIFS($Z$59:$Z$505,Z114,$Y$59:$Y$505,"Оптимальный",$W$59:$W$505,"Рассчитан")=1,COUNTIFS($Z$59:$Z$505,Z114,$Y$59:$Y$505,"Агрессивный",$W$59:$W$505,"Рассчитан")=1),"Да","Нет")))</x:f>
      </x:c>
      <x:c r="AF114" s="5"/>
      <x:c r="AG114" s="5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IF(A115="","",IF(U115="","",IF(U115="Выигрыш",J115-1,IF(U115="Полувыигрыш",(J115-1)/2,IF(U115="Возврат",0,IF(U115="Полупроигрыш",-0.5,IF(U115="Поражение",-1,"Проверить результат")))))))</x:f>
      </x:c>
      <x:c r="W115" s="80" t="str">
        <x:f>IF(A115="","",IF(U115="","Открыт",IF(ISNUMBER(V115),"Рассчитан","Проверить результат")))</x:f>
      </x:c>
      <x:c r="X115" s="98"/>
      <x:c r="Y115" s="5"/>
      <x:c r="Z115" s="5"/>
      <x:c r="AA115" s="5"/>
      <x:c r="AB115" s="118"/>
      <x:c r="AC115" s="119"/>
      <x:c r="AD115" s="119"/>
      <x:c r="AE115" s="5" t="str">
        <x:f>IF(A115="","",IF(Z115="","Нет ID пары",IF(AND(COUNTIFS($Z$59:$Z$505,Z115,$Y$59:$Y$505,"Оптимальный",$W$59:$W$505,"Рассчитан")=1,COUNTIFS($Z$59:$Z$505,Z115,$Y$59:$Y$505,"Агрессивный",$W$59:$W$505,"Рассчитан")=1),"Да","Нет")))</x:f>
      </x:c>
      <x:c r="AF115" s="5"/>
      <x:c r="AG115" s="5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IF(A116="","",IF(U116="","",IF(U116="Выигрыш",J116-1,IF(U116="Полувыигрыш",(J116-1)/2,IF(U116="Возврат",0,IF(U116="Полупроигрыш",-0.5,IF(U116="Поражение",-1,"Проверить результат")))))))</x:f>
      </x:c>
      <x:c r="W116" s="80" t="str">
        <x:f>IF(A116="","",IF(U116="","Открыт",IF(ISNUMBER(V116),"Рассчитан","Проверить результат")))</x:f>
      </x:c>
      <x:c r="X116" s="98"/>
      <x:c r="Y116" s="5"/>
      <x:c r="Z116" s="5"/>
      <x:c r="AA116" s="5"/>
      <x:c r="AB116" s="118"/>
      <x:c r="AC116" s="119"/>
      <x:c r="AD116" s="119"/>
      <x:c r="AE116" s="5" t="str">
        <x:f>IF(A116="","",IF(Z116="","Нет ID пары",IF(AND(COUNTIFS($Z$59:$Z$505,Z116,$Y$59:$Y$505,"Оптимальный",$W$59:$W$505,"Рассчитан")=1,COUNTIFS($Z$59:$Z$505,Z116,$Y$59:$Y$505,"Агрессивный",$W$59:$W$505,"Рассчитан")=1),"Да","Нет")))</x:f>
      </x:c>
      <x:c r="AF116" s="5"/>
      <x:c r="AG116" s="5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IF(A117="","",IF(U117="","",IF(U117="Выигрыш",J117-1,IF(U117="Полувыигрыш",(J117-1)/2,IF(U117="Возврат",0,IF(U117="Полупроигрыш",-0.5,IF(U117="Поражение",-1,"Проверить результат")))))))</x:f>
      </x:c>
      <x:c r="W117" s="80" t="str">
        <x:f>IF(A117="","",IF(U117="","Открыт",IF(ISNUMBER(V117),"Рассчитан","Проверить результат")))</x:f>
      </x:c>
      <x:c r="X117" s="98"/>
      <x:c r="Y117" s="5"/>
      <x:c r="Z117" s="5"/>
      <x:c r="AA117" s="5"/>
      <x:c r="AB117" s="118"/>
      <x:c r="AC117" s="119"/>
      <x:c r="AD117" s="119"/>
      <x:c r="AE117" s="5" t="str">
        <x:f>IF(A117="","",IF(Z117="","Нет ID пары",IF(AND(COUNTIFS($Z$59:$Z$505,Z117,$Y$59:$Y$505,"Оптимальный",$W$59:$W$505,"Рассчитан")=1,COUNTIFS($Z$59:$Z$505,Z117,$Y$59:$Y$505,"Агрессивный",$W$59:$W$505,"Рассчитан")=1),"Да","Нет")))</x:f>
      </x:c>
      <x:c r="AF117" s="5"/>
      <x:c r="AG117" s="5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IF(A118="","",IF(U118="","",IF(U118="Выигрыш",J118-1,IF(U118="Полувыигрыш",(J118-1)/2,IF(U118="Возврат",0,IF(U118="Полупроигрыш",-0.5,IF(U118="Поражение",-1,"Проверить результат")))))))</x:f>
      </x:c>
      <x:c r="W118" s="80" t="str">
        <x:f>IF(A118="","",IF(U118="","Открыт",IF(ISNUMBER(V118),"Рассчитан","Проверить результат")))</x:f>
      </x:c>
      <x:c r="X118" s="98"/>
      <x:c r="Y118" s="5"/>
      <x:c r="Z118" s="5"/>
      <x:c r="AA118" s="5"/>
      <x:c r="AB118" s="118"/>
      <x:c r="AC118" s="119"/>
      <x:c r="AD118" s="119"/>
      <x:c r="AE118" s="5" t="str">
        <x:f>IF(A118="","",IF(Z118="","Нет ID пары",IF(AND(COUNTIFS($Z$59:$Z$505,Z118,$Y$59:$Y$505,"Оптимальный",$W$59:$W$505,"Рассчитан")=1,COUNTIFS($Z$59:$Z$505,Z118,$Y$59:$Y$505,"Агрессивный",$W$59:$W$505,"Рассчитан")=1),"Да","Нет")))</x:f>
      </x:c>
      <x:c r="AF118" s="5"/>
      <x:c r="AG118" s="5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IF(A119="","",IF(U119="","",IF(U119="Выигрыш",J119-1,IF(U119="Полувыигрыш",(J119-1)/2,IF(U119="Возврат",0,IF(U119="Полупроигрыш",-0.5,IF(U119="Поражение",-1,"Проверить результат")))))))</x:f>
      </x:c>
      <x:c r="W119" s="80" t="str">
        <x:f>IF(A119="","",IF(U119="","Открыт",IF(ISNUMBER(V119),"Рассчитан","Проверить результат")))</x:f>
      </x:c>
      <x:c r="X119" s="98"/>
      <x:c r="Y119" s="5"/>
      <x:c r="Z119" s="5"/>
      <x:c r="AA119" s="5"/>
      <x:c r="AB119" s="118"/>
      <x:c r="AC119" s="119"/>
      <x:c r="AD119" s="119"/>
      <x:c r="AE119" s="5" t="str">
        <x:f>IF(A119="","",IF(Z119="","Нет ID пары",IF(AND(COUNTIFS($Z$59:$Z$505,Z119,$Y$59:$Y$505,"Оптимальный",$W$59:$W$505,"Рассчитан")=1,COUNTIFS($Z$59:$Z$505,Z119,$Y$59:$Y$505,"Агрессивный",$W$59:$W$505,"Рассчитан")=1),"Да","Нет")))</x:f>
      </x:c>
      <x:c r="AF119" s="5"/>
      <x:c r="AG119" s="5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IF(A120="","",IF(U120="","",IF(U120="Выигрыш",J120-1,IF(U120="Полувыигрыш",(J120-1)/2,IF(U120="Возврат",0,IF(U120="Полупроигрыш",-0.5,IF(U120="Поражение",-1,"Проверить результат")))))))</x:f>
      </x:c>
      <x:c r="W120" s="80" t="str">
        <x:f>IF(A120="","",IF(U120="","Открыт",IF(ISNUMBER(V120),"Рассчитан","Проверить результат")))</x:f>
      </x:c>
      <x:c r="X120" s="98"/>
      <x:c r="Y120" s="5"/>
      <x:c r="Z120" s="5"/>
      <x:c r="AA120" s="5"/>
      <x:c r="AB120" s="118"/>
      <x:c r="AC120" s="119"/>
      <x:c r="AD120" s="119"/>
      <x:c r="AE120" s="5" t="str">
        <x:f>IF(A120="","",IF(Z120="","Нет ID пары",IF(AND(COUNTIFS($Z$59:$Z$505,Z120,$Y$59:$Y$505,"Оптимальный",$W$59:$W$505,"Рассчитан")=1,COUNTIFS($Z$59:$Z$505,Z120,$Y$59:$Y$505,"Агрессивный",$W$59:$W$505,"Рассчитан")=1),"Да","Нет")))</x:f>
      </x:c>
      <x:c r="AF120" s="5"/>
      <x:c r="AG120" s="5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IF(A121="","",IF(U121="","",IF(U121="Выигрыш",J121-1,IF(U121="Полувыигрыш",(J121-1)/2,IF(U121="Возврат",0,IF(U121="Полупроигрыш",-0.5,IF(U121="Поражение",-1,"Проверить результат")))))))</x:f>
      </x:c>
      <x:c r="W121" s="80" t="str">
        <x:f>IF(A121="","",IF(U121="","Открыт",IF(ISNUMBER(V121),"Рассчитан","Проверить результат")))</x:f>
      </x:c>
      <x:c r="X121" s="98"/>
      <x:c r="Y121" s="5"/>
      <x:c r="Z121" s="5"/>
      <x:c r="AA121" s="5"/>
      <x:c r="AB121" s="118"/>
      <x:c r="AC121" s="119"/>
      <x:c r="AD121" s="119"/>
      <x:c r="AE121" s="5" t="str">
        <x:f>IF(A121="","",IF(Z121="","Нет ID пары",IF(AND(COUNTIFS($Z$59:$Z$505,Z121,$Y$59:$Y$505,"Оптимальный",$W$59:$W$505,"Рассчитан")=1,COUNTIFS($Z$59:$Z$505,Z121,$Y$59:$Y$505,"Агрессивный",$W$59:$W$505,"Рассчитан")=1),"Да","Нет")))</x:f>
      </x:c>
      <x:c r="AF121" s="5"/>
      <x:c r="AG121" s="5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IF(A122="","",IF(U122="","",IF(U122="Выигрыш",J122-1,IF(U122="Полувыигрыш",(J122-1)/2,IF(U122="Возврат",0,IF(U122="Полупроигрыш",-0.5,IF(U122="Поражение",-1,"Проверить результат")))))))</x:f>
      </x:c>
      <x:c r="W122" s="80" t="str">
        <x:f>IF(A122="","",IF(U122="","Открыт",IF(ISNUMBER(V122),"Рассчитан","Проверить результат")))</x:f>
      </x:c>
      <x:c r="X122" s="98"/>
      <x:c r="Y122" s="5"/>
      <x:c r="Z122" s="5"/>
      <x:c r="AA122" s="5"/>
      <x:c r="AB122" s="118"/>
      <x:c r="AC122" s="119"/>
      <x:c r="AD122" s="119"/>
      <x:c r="AE122" s="5" t="str">
        <x:f>IF(A122="","",IF(Z122="","Нет ID пары",IF(AND(COUNTIFS($Z$59:$Z$505,Z122,$Y$59:$Y$505,"Оптимальный",$W$59:$W$505,"Рассчитан")=1,COUNTIFS($Z$59:$Z$505,Z122,$Y$59:$Y$505,"Агрессивный",$W$59:$W$505,"Рассчитан")=1),"Да","Нет")))</x:f>
      </x:c>
      <x:c r="AF122" s="5"/>
      <x:c r="AG122" s="5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IF(A123="","",IF(U123="","",IF(U123="Выигрыш",J123-1,IF(U123="Полувыигрыш",(J123-1)/2,IF(U123="Возврат",0,IF(U123="Полупроигрыш",-0.5,IF(U123="Поражение",-1,"Проверить результат")))))))</x:f>
      </x:c>
      <x:c r="W123" s="80" t="str">
        <x:f>IF(A123="","",IF(U123="","Открыт",IF(ISNUMBER(V123),"Рассчитан","Проверить результат")))</x:f>
      </x:c>
      <x:c r="X123" s="98"/>
      <x:c r="Y123" s="5"/>
      <x:c r="Z123" s="5"/>
      <x:c r="AA123" s="5"/>
      <x:c r="AB123" s="118"/>
      <x:c r="AC123" s="119"/>
      <x:c r="AD123" s="119"/>
      <x:c r="AE123" s="5" t="str">
        <x:f>IF(A123="","",IF(Z123="","Нет ID пары",IF(AND(COUNTIFS($Z$59:$Z$505,Z123,$Y$59:$Y$505,"Оптимальный",$W$59:$W$505,"Рассчитан")=1,COUNTIFS($Z$59:$Z$505,Z123,$Y$59:$Y$505,"Агрессивный",$W$59:$W$505,"Рассчитан")=1),"Да","Нет")))</x:f>
      </x:c>
      <x:c r="AF123" s="5"/>
      <x:c r="AG123" s="5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IF(A124="","",IF(U124="","",IF(U124="Выигрыш",J124-1,IF(U124="Полувыигрыш",(J124-1)/2,IF(U124="Возврат",0,IF(U124="Полупроигрыш",-0.5,IF(U124="Поражение",-1,"Проверить результат")))))))</x:f>
      </x:c>
      <x:c r="W124" s="80" t="str">
        <x:f>IF(A124="","",IF(U124="","Открыт",IF(ISNUMBER(V124),"Рассчитан","Проверить результат")))</x:f>
      </x:c>
      <x:c r="X124" s="98"/>
      <x:c r="Y124" s="5"/>
      <x:c r="Z124" s="5"/>
      <x:c r="AA124" s="5"/>
      <x:c r="AB124" s="118"/>
      <x:c r="AC124" s="119"/>
      <x:c r="AD124" s="119"/>
      <x:c r="AE124" s="5" t="str">
        <x:f>IF(A124="","",IF(Z124="","Нет ID пары",IF(AND(COUNTIFS($Z$59:$Z$505,Z124,$Y$59:$Y$505,"Оптимальный",$W$59:$W$505,"Рассчитан")=1,COUNTIFS($Z$59:$Z$505,Z124,$Y$59:$Y$505,"Агрессивный",$W$59:$W$505,"Рассчитан")=1),"Да","Нет")))</x:f>
      </x:c>
      <x:c r="AF124" s="5"/>
      <x:c r="AG124" s="5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IF(A125="","",IF(U125="","",IF(U125="Выигрыш",J125-1,IF(U125="Полувыигрыш",(J125-1)/2,IF(U125="Возврат",0,IF(U125="Полупроигрыш",-0.5,IF(U125="Поражение",-1,"Проверить результат")))))))</x:f>
      </x:c>
      <x:c r="W125" s="80" t="str">
        <x:f>IF(A125="","",IF(U125="","Открыт",IF(ISNUMBER(V125),"Рассчитан","Проверить результат")))</x:f>
      </x:c>
      <x:c r="X125" s="98"/>
      <x:c r="Y125" s="5"/>
      <x:c r="Z125" s="5"/>
      <x:c r="AA125" s="5"/>
      <x:c r="AB125" s="118"/>
      <x:c r="AC125" s="119"/>
      <x:c r="AD125" s="119"/>
      <x:c r="AE125" s="5" t="str">
        <x:f>IF(A125="","",IF(Z125="","Нет ID пары",IF(AND(COUNTIFS($Z$59:$Z$505,Z125,$Y$59:$Y$505,"Оптимальный",$W$59:$W$505,"Рассчитан")=1,COUNTIFS($Z$59:$Z$505,Z125,$Y$59:$Y$505,"Агрессивный",$W$59:$W$505,"Рассчитан")=1),"Да","Нет")))</x:f>
      </x:c>
      <x:c r="AF125" s="5"/>
      <x:c r="AG125" s="5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IF(A126="","",IF(U126="","",IF(U126="Выигрыш",J126-1,IF(U126="Полувыигрыш",(J126-1)/2,IF(U126="Возврат",0,IF(U126="Полупроигрыш",-0.5,IF(U126="Поражение",-1,"Проверить результат")))))))</x:f>
      </x:c>
      <x:c r="W126" s="80" t="str">
        <x:f>IF(A126="","",IF(U126="","Открыт",IF(ISNUMBER(V126),"Рассчитан","Проверить результат")))</x:f>
      </x:c>
      <x:c r="X126" s="98"/>
      <x:c r="Y126" s="5"/>
      <x:c r="Z126" s="5"/>
      <x:c r="AA126" s="5"/>
      <x:c r="AB126" s="118"/>
      <x:c r="AC126" s="119"/>
      <x:c r="AD126" s="119"/>
      <x:c r="AE126" s="5" t="str">
        <x:f>IF(A126="","",IF(Z126="","Нет ID пары",IF(AND(COUNTIFS($Z$59:$Z$505,Z126,$Y$59:$Y$505,"Оптимальный",$W$59:$W$505,"Рассчитан")=1,COUNTIFS($Z$59:$Z$505,Z126,$Y$59:$Y$505,"Агрессивный",$W$59:$W$505,"Рассчитан")=1),"Да","Нет")))</x:f>
      </x:c>
      <x:c r="AF126" s="5"/>
      <x:c r="AG126" s="5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IF(A127="","",IF(U127="","",IF(U127="Выигрыш",J127-1,IF(U127="Полувыигрыш",(J127-1)/2,IF(U127="Возврат",0,IF(U127="Полупроигрыш",-0.5,IF(U127="Поражение",-1,"Проверить результат")))))))</x:f>
      </x:c>
      <x:c r="W127" s="80" t="str">
        <x:f>IF(A127="","",IF(U127="","Открыт",IF(ISNUMBER(V127),"Рассчитан","Проверить результат")))</x:f>
      </x:c>
      <x:c r="X127" s="98"/>
      <x:c r="Y127" s="5"/>
      <x:c r="Z127" s="5"/>
      <x:c r="AA127" s="5"/>
      <x:c r="AB127" s="118"/>
      <x:c r="AC127" s="119"/>
      <x:c r="AD127" s="119"/>
      <x:c r="AE127" s="5" t="str">
        <x:f>IF(A127="","",IF(Z127="","Нет ID пары",IF(AND(COUNTIFS($Z$59:$Z$505,Z127,$Y$59:$Y$505,"Оптимальный",$W$59:$W$505,"Рассчитан")=1,COUNTIFS($Z$59:$Z$505,Z127,$Y$59:$Y$505,"Агрессивный",$W$59:$W$505,"Рассчитан")=1),"Да","Нет")))</x:f>
      </x:c>
      <x:c r="AF127" s="5"/>
      <x:c r="AG127" s="5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IF(A128="","",IF(U128="","",IF(U128="Выигрыш",J128-1,IF(U128="Полувыигрыш",(J128-1)/2,IF(U128="Возврат",0,IF(U128="Полупроигрыш",-0.5,IF(U128="Поражение",-1,"Проверить результат")))))))</x:f>
      </x:c>
      <x:c r="W128" s="80" t="str">
        <x:f>IF(A128="","",IF(U128="","Открыт",IF(ISNUMBER(V128),"Рассчитан","Проверить результат")))</x:f>
      </x:c>
      <x:c r="X128" s="98"/>
      <x:c r="Y128" s="5"/>
      <x:c r="Z128" s="5"/>
      <x:c r="AA128" s="5"/>
      <x:c r="AB128" s="118"/>
      <x:c r="AC128" s="119"/>
      <x:c r="AD128" s="119"/>
      <x:c r="AE128" s="5" t="str">
        <x:f>IF(A128="","",IF(Z128="","Нет ID пары",IF(AND(COUNTIFS($Z$59:$Z$505,Z128,$Y$59:$Y$505,"Оптимальный",$W$59:$W$505,"Рассчитан")=1,COUNTIFS($Z$59:$Z$505,Z128,$Y$59:$Y$505,"Агрессивный",$W$59:$W$505,"Рассчитан")=1),"Да","Нет")))</x:f>
      </x:c>
      <x:c r="AF128" s="5"/>
      <x:c r="AG128" s="5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IF(A129="","",IF(U129="","",IF(U129="Выигрыш",J129-1,IF(U129="Полувыигрыш",(J129-1)/2,IF(U129="Возврат",0,IF(U129="Полупроигрыш",-0.5,IF(U129="Поражение",-1,"Проверить результат")))))))</x:f>
      </x:c>
      <x:c r="W129" s="80" t="str">
        <x:f>IF(A129="","",IF(U129="","Открыт",IF(ISNUMBER(V129),"Рассчитан","Проверить результат")))</x:f>
      </x:c>
      <x:c r="X129" s="98"/>
      <x:c r="Y129" s="5"/>
      <x:c r="Z129" s="5"/>
      <x:c r="AA129" s="5"/>
      <x:c r="AB129" s="118"/>
      <x:c r="AC129" s="119"/>
      <x:c r="AD129" s="119"/>
      <x:c r="AE129" s="5" t="str">
        <x:f>IF(A129="","",IF(Z129="","Нет ID пары",IF(AND(COUNTIFS($Z$59:$Z$505,Z129,$Y$59:$Y$505,"Оптимальный",$W$59:$W$505,"Рассчитан")=1,COUNTIFS($Z$59:$Z$505,Z129,$Y$59:$Y$505,"Агрессивный",$W$59:$W$505,"Рассчитан")=1),"Да","Нет")))</x:f>
      </x:c>
      <x:c r="AF129" s="5"/>
      <x:c r="AG129" s="5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IF(A130="","",IF(U130="","",IF(U130="Выигрыш",J130-1,IF(U130="Полувыигрыш",(J130-1)/2,IF(U130="Возврат",0,IF(U130="Полупроигрыш",-0.5,IF(U130="Поражение",-1,"Проверить результат")))))))</x:f>
      </x:c>
      <x:c r="W130" s="80" t="str">
        <x:f>IF(A130="","",IF(U130="","Открыт",IF(ISNUMBER(V130),"Рассчитан","Проверить результат")))</x:f>
      </x:c>
      <x:c r="X130" s="98"/>
      <x:c r="Y130" s="5"/>
      <x:c r="Z130" s="5"/>
      <x:c r="AA130" s="5"/>
      <x:c r="AB130" s="118"/>
      <x:c r="AC130" s="119"/>
      <x:c r="AD130" s="119"/>
      <x:c r="AE130" s="5" t="str">
        <x:f>IF(A130="","",IF(Z130="","Нет ID пары",IF(AND(COUNTIFS($Z$59:$Z$505,Z130,$Y$59:$Y$505,"Оптимальный",$W$59:$W$505,"Рассчитан")=1,COUNTIFS($Z$59:$Z$505,Z130,$Y$59:$Y$505,"Агрессивный",$W$59:$W$505,"Рассчитан")=1),"Да","Нет")))</x:f>
      </x:c>
      <x:c r="AF130" s="5"/>
      <x:c r="AG130" s="5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IF(A131="","",IF(U131="","",IF(U131="Выигрыш",J131-1,IF(U131="Полувыигрыш",(J131-1)/2,IF(U131="Возврат",0,IF(U131="Полупроигрыш",-0.5,IF(U131="Поражение",-1,"Проверить результат")))))))</x:f>
      </x:c>
      <x:c r="W131" s="80" t="str">
        <x:f>IF(A131="","",IF(U131="","Открыт",IF(ISNUMBER(V131),"Рассчитан","Проверить результат")))</x:f>
      </x:c>
      <x:c r="X131" s="98"/>
      <x:c r="Y131" s="5"/>
      <x:c r="Z131" s="5"/>
      <x:c r="AA131" s="5"/>
      <x:c r="AB131" s="118"/>
      <x:c r="AC131" s="119"/>
      <x:c r="AD131" s="119"/>
      <x:c r="AE131" s="5" t="str">
        <x:f>IF(A131="","",IF(Z131="","Нет ID пары",IF(AND(COUNTIFS($Z$59:$Z$505,Z131,$Y$59:$Y$505,"Оптимальный",$W$59:$W$505,"Рассчитан")=1,COUNTIFS($Z$59:$Z$505,Z131,$Y$59:$Y$505,"Агрессивный",$W$59:$W$505,"Рассчитан")=1),"Да","Нет")))</x:f>
      </x:c>
      <x:c r="AF131" s="5"/>
      <x:c r="AG131" s="5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IF(A132="","",IF(U132="","",IF(U132="Выигрыш",J132-1,IF(U132="Полувыигрыш",(J132-1)/2,IF(U132="Возврат",0,IF(U132="Полупроигрыш",-0.5,IF(U132="Поражение",-1,"Проверить результат")))))))</x:f>
      </x:c>
      <x:c r="W132" s="80" t="str">
        <x:f>IF(A132="","",IF(U132="","Открыт",IF(ISNUMBER(V132),"Рассчитан","Проверить результат")))</x:f>
      </x:c>
      <x:c r="X132" s="98"/>
      <x:c r="Y132" s="5"/>
      <x:c r="Z132" s="5"/>
      <x:c r="AA132" s="5"/>
      <x:c r="AB132" s="118"/>
      <x:c r="AC132" s="119"/>
      <x:c r="AD132" s="119"/>
      <x:c r="AE132" s="5" t="str">
        <x:f>IF(A132="","",IF(Z132="","Нет ID пары",IF(AND(COUNTIFS($Z$59:$Z$505,Z132,$Y$59:$Y$505,"Оптимальный",$W$59:$W$505,"Рассчитан")=1,COUNTIFS($Z$59:$Z$505,Z132,$Y$59:$Y$505,"Агрессивный",$W$59:$W$505,"Рассчитан")=1),"Да","Нет")))</x:f>
      </x:c>
      <x:c r="AF132" s="5"/>
      <x:c r="AG132" s="5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IF(A133="","",IF(U133="","",IF(U133="Выигрыш",J133-1,IF(U133="Полувыигрыш",(J133-1)/2,IF(U133="Возврат",0,IF(U133="Полупроигрыш",-0.5,IF(U133="Поражение",-1,"Проверить результат")))))))</x:f>
      </x:c>
      <x:c r="W133" s="80" t="str">
        <x:f>IF(A133="","",IF(U133="","Открыт",IF(ISNUMBER(V133),"Рассчитан","Проверить результат")))</x:f>
      </x:c>
      <x:c r="X133" s="98"/>
      <x:c r="Y133" s="5"/>
      <x:c r="Z133" s="5"/>
      <x:c r="AA133" s="5"/>
      <x:c r="AB133" s="118"/>
      <x:c r="AC133" s="119"/>
      <x:c r="AD133" s="119"/>
      <x:c r="AE133" s="5" t="str">
        <x:f>IF(A133="","",IF(Z133="","Нет ID пары",IF(AND(COUNTIFS($Z$59:$Z$505,Z133,$Y$59:$Y$505,"Оптимальный",$W$59:$W$505,"Рассчитан")=1,COUNTIFS($Z$59:$Z$505,Z133,$Y$59:$Y$505,"Агрессивный",$W$59:$W$505,"Рассчитан")=1),"Да","Нет")))</x:f>
      </x:c>
      <x:c r="AF133" s="5"/>
      <x:c r="AG133" s="5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IF(A134="","",IF(U134="","",IF(U134="Выигрыш",J134-1,IF(U134="Полувыигрыш",(J134-1)/2,IF(U134="Возврат",0,IF(U134="Полупроигрыш",-0.5,IF(U134="Поражение",-1,"Проверить результат")))))))</x:f>
      </x:c>
      <x:c r="W134" s="80" t="str">
        <x:f>IF(A134="","",IF(U134="","Открыт",IF(ISNUMBER(V134),"Рассчитан","Проверить результат")))</x:f>
      </x:c>
      <x:c r="X134" s="98"/>
      <x:c r="Y134" s="5"/>
      <x:c r="Z134" s="5"/>
      <x:c r="AA134" s="5"/>
      <x:c r="AB134" s="118"/>
      <x:c r="AC134" s="119"/>
      <x:c r="AD134" s="119"/>
      <x:c r="AE134" s="5" t="str">
        <x:f>IF(A134="","",IF(Z134="","Нет ID пары",IF(AND(COUNTIFS($Z$59:$Z$505,Z134,$Y$59:$Y$505,"Оптимальный",$W$59:$W$505,"Рассчитан")=1,COUNTIFS($Z$59:$Z$505,Z134,$Y$59:$Y$505,"Агрессивный",$W$59:$W$505,"Рассчитан")=1),"Да","Нет")))</x:f>
      </x:c>
      <x:c r="AF134" s="5"/>
      <x:c r="AG134" s="5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IF(A135="","",IF(U135="","",IF(U135="Выигрыш",J135-1,IF(U135="Полувыигрыш",(J135-1)/2,IF(U135="Возврат",0,IF(U135="Полупроигрыш",-0.5,IF(U135="Поражение",-1,"Проверить результат")))))))</x:f>
      </x:c>
      <x:c r="W135" s="80" t="str">
        <x:f>IF(A135="","",IF(U135="","Открыт",IF(ISNUMBER(V135),"Рассчитан","Проверить результат")))</x:f>
      </x:c>
      <x:c r="X135" s="98"/>
      <x:c r="Y135" s="5"/>
      <x:c r="Z135" s="5"/>
      <x:c r="AA135" s="5"/>
      <x:c r="AB135" s="118"/>
      <x:c r="AC135" s="119"/>
      <x:c r="AD135" s="119"/>
      <x:c r="AE135" s="5" t="str">
        <x:f>IF(A135="","",IF(Z135="","Нет ID пары",IF(AND(COUNTIFS($Z$59:$Z$505,Z135,$Y$59:$Y$505,"Оптимальный",$W$59:$W$505,"Рассчитан")=1,COUNTIFS($Z$59:$Z$505,Z135,$Y$59:$Y$505,"Агрессивный",$W$59:$W$505,"Рассчитан")=1),"Да","Нет")))</x:f>
      </x:c>
      <x:c r="AF135" s="5"/>
      <x:c r="AG135" s="5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IF(A136="","",IF(U136="","",IF(U136="Выигрыш",J136-1,IF(U136="Полувыигрыш",(J136-1)/2,IF(U136="Возврат",0,IF(U136="Полупроигрыш",-0.5,IF(U136="Поражение",-1,"Проверить результат")))))))</x:f>
      </x:c>
      <x:c r="W136" s="80" t="str">
        <x:f>IF(A136="","",IF(U136="","Открыт",IF(ISNUMBER(V136),"Рассчитан","Проверить результат")))</x:f>
      </x:c>
      <x:c r="X136" s="98"/>
      <x:c r="Y136" s="5"/>
      <x:c r="Z136" s="5"/>
      <x:c r="AA136" s="5"/>
      <x:c r="AB136" s="118"/>
      <x:c r="AC136" s="119"/>
      <x:c r="AD136" s="119"/>
      <x:c r="AE136" s="5" t="str">
        <x:f>IF(A136="","",IF(Z136="","Нет ID пары",IF(AND(COUNTIFS($Z$59:$Z$505,Z136,$Y$59:$Y$505,"Оптимальный",$W$59:$W$505,"Рассчитан")=1,COUNTIFS($Z$59:$Z$505,Z136,$Y$59:$Y$505,"Агрессивный",$W$59:$W$505,"Рассчитан")=1),"Да","Нет")))</x:f>
      </x:c>
      <x:c r="AF136" s="5"/>
      <x:c r="AG136" s="5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IF(A137="","",IF(U137="","",IF(U137="Выигрыш",J137-1,IF(U137="Полувыигрыш",(J137-1)/2,IF(U137="Возврат",0,IF(U137="Полупроигрыш",-0.5,IF(U137="Поражение",-1,"Проверить результат")))))))</x:f>
      </x:c>
      <x:c r="W137" s="80" t="str">
        <x:f>IF(A137="","",IF(U137="","Открыт",IF(ISNUMBER(V137),"Рассчитан","Проверить результат")))</x:f>
      </x:c>
      <x:c r="X137" s="98"/>
      <x:c r="Y137" s="5"/>
      <x:c r="Z137" s="5"/>
      <x:c r="AA137" s="5"/>
      <x:c r="AB137" s="118"/>
      <x:c r="AC137" s="119"/>
      <x:c r="AD137" s="119"/>
      <x:c r="AE137" s="5" t="str">
        <x:f>IF(A137="","",IF(Z137="","Нет ID пары",IF(AND(COUNTIFS($Z$59:$Z$505,Z137,$Y$59:$Y$505,"Оптимальный",$W$59:$W$505,"Рассчитан")=1,COUNTIFS($Z$59:$Z$505,Z137,$Y$59:$Y$505,"Агрессивный",$W$59:$W$505,"Рассчитан")=1),"Да","Нет")))</x:f>
      </x:c>
      <x:c r="AF137" s="5"/>
      <x:c r="AG137" s="5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IF(A138="","",IF(U138="","",IF(U138="Выигрыш",J138-1,IF(U138="Полувыигрыш",(J138-1)/2,IF(U138="Возврат",0,IF(U138="Полупроигрыш",-0.5,IF(U138="Поражение",-1,"Проверить результат")))))))</x:f>
      </x:c>
      <x:c r="W138" s="80" t="str">
        <x:f>IF(A138="","",IF(U138="","Открыт",IF(ISNUMBER(V138),"Рассчитан","Проверить результат")))</x:f>
      </x:c>
      <x:c r="X138" s="98"/>
      <x:c r="Y138" s="5"/>
      <x:c r="Z138" s="5"/>
      <x:c r="AA138" s="5"/>
      <x:c r="AB138" s="118"/>
      <x:c r="AC138" s="119"/>
      <x:c r="AD138" s="119"/>
      <x:c r="AE138" s="5" t="str">
        <x:f>IF(A138="","",IF(Z138="","Нет ID пары",IF(AND(COUNTIFS($Z$59:$Z$505,Z138,$Y$59:$Y$505,"Оптимальный",$W$59:$W$505,"Рассчитан")=1,COUNTIFS($Z$59:$Z$505,Z138,$Y$59:$Y$505,"Агрессивный",$W$59:$W$505,"Рассчитан")=1),"Да","Нет")))</x:f>
      </x:c>
      <x:c r="AF138" s="5"/>
      <x:c r="AG138" s="5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IF(A139="","",IF(U139="","",IF(U139="Выигрыш",J139-1,IF(U139="Полувыигрыш",(J139-1)/2,IF(U139="Возврат",0,IF(U139="Полупроигрыш",-0.5,IF(U139="Поражение",-1,"Проверить результат")))))))</x:f>
      </x:c>
      <x:c r="W139" s="80" t="str">
        <x:f>IF(A139="","",IF(U139="","Открыт",IF(ISNUMBER(V139),"Рассчитан","Проверить результат")))</x:f>
      </x:c>
      <x:c r="X139" s="98"/>
      <x:c r="Y139" s="5"/>
      <x:c r="Z139" s="5"/>
      <x:c r="AA139" s="5"/>
      <x:c r="AB139" s="118"/>
      <x:c r="AC139" s="119"/>
      <x:c r="AD139" s="119"/>
      <x:c r="AE139" s="5" t="str">
        <x:f>IF(A139="","",IF(Z139="","Нет ID пары",IF(AND(COUNTIFS($Z$59:$Z$505,Z139,$Y$59:$Y$505,"Оптимальный",$W$59:$W$505,"Рассчитан")=1,COUNTIFS($Z$59:$Z$505,Z139,$Y$59:$Y$505,"Агрессивный",$W$59:$W$505,"Рассчитан")=1),"Да","Нет")))</x:f>
      </x:c>
      <x:c r="AF139" s="5"/>
      <x:c r="AG139" s="5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IF(A140="","",IF(U140="","",IF(U140="Выигрыш",J140-1,IF(U140="Полувыигрыш",(J140-1)/2,IF(U140="Возврат",0,IF(U140="Полупроигрыш",-0.5,IF(U140="Поражение",-1,"Проверить результат")))))))</x:f>
      </x:c>
      <x:c r="W140" s="80" t="str">
        <x:f>IF(A140="","",IF(U140="","Открыт",IF(ISNUMBER(V140),"Рассчитан","Проверить результат")))</x:f>
      </x:c>
      <x:c r="X140" s="98"/>
      <x:c r="Y140" s="5"/>
      <x:c r="Z140" s="5"/>
      <x:c r="AA140" s="5"/>
      <x:c r="AB140" s="118"/>
      <x:c r="AC140" s="119"/>
      <x:c r="AD140" s="119"/>
      <x:c r="AE140" s="5" t="str">
        <x:f>IF(A140="","",IF(Z140="","Нет ID пары",IF(AND(COUNTIFS($Z$59:$Z$505,Z140,$Y$59:$Y$505,"Оптимальный",$W$59:$W$505,"Рассчитан")=1,COUNTIFS($Z$59:$Z$505,Z140,$Y$59:$Y$505,"Агрессивный",$W$59:$W$505,"Рассчитан")=1),"Да","Нет")))</x:f>
      </x:c>
      <x:c r="AF140" s="5"/>
      <x:c r="AG140" s="5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IF(A141="","",IF(U141="","",IF(U141="Выигрыш",J141-1,IF(U141="Полувыигрыш",(J141-1)/2,IF(U141="Возврат",0,IF(U141="Полупроигрыш",-0.5,IF(U141="Поражение",-1,"Проверить результат")))))))</x:f>
      </x:c>
      <x:c r="W141" s="80" t="str">
        <x:f>IF(A141="","",IF(U141="","Открыт",IF(ISNUMBER(V141),"Рассчитан","Проверить результат")))</x:f>
      </x:c>
      <x:c r="X141" s="98"/>
      <x:c r="Y141" s="5"/>
      <x:c r="Z141" s="5"/>
      <x:c r="AA141" s="5"/>
      <x:c r="AB141" s="118"/>
      <x:c r="AC141" s="119"/>
      <x:c r="AD141" s="119"/>
      <x:c r="AE141" s="5" t="str">
        <x:f>IF(A141="","",IF(Z141="","Нет ID пары",IF(AND(COUNTIFS($Z$59:$Z$505,Z141,$Y$59:$Y$505,"Оптимальный",$W$59:$W$505,"Рассчитан")=1,COUNTIFS($Z$59:$Z$505,Z141,$Y$59:$Y$505,"Агрессивный",$W$59:$W$505,"Рассчитан")=1),"Да","Нет")))</x:f>
      </x:c>
      <x:c r="AF141" s="5"/>
      <x:c r="AG141" s="5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IF(A142="","",IF(U142="","",IF(U142="Выигрыш",J142-1,IF(U142="Полувыигрыш",(J142-1)/2,IF(U142="Возврат",0,IF(U142="Полупроигрыш",-0.5,IF(U142="Поражение",-1,"Проверить результат")))))))</x:f>
      </x:c>
      <x:c r="W142" s="80" t="str">
        <x:f>IF(A142="","",IF(U142="","Открыт",IF(ISNUMBER(V142),"Рассчитан","Проверить результат")))</x:f>
      </x:c>
      <x:c r="X142" s="98"/>
      <x:c r="Y142" s="5"/>
      <x:c r="Z142" s="5"/>
      <x:c r="AA142" s="5"/>
      <x:c r="AB142" s="118"/>
      <x:c r="AC142" s="119"/>
      <x:c r="AD142" s="119"/>
      <x:c r="AE142" s="5" t="str">
        <x:f>IF(A142="","",IF(Z142="","Нет ID пары",IF(AND(COUNTIFS($Z$59:$Z$505,Z142,$Y$59:$Y$505,"Оптимальный",$W$59:$W$505,"Рассчитан")=1,COUNTIFS($Z$59:$Z$505,Z142,$Y$59:$Y$505,"Агрессивный",$W$59:$W$505,"Рассчитан")=1),"Да","Нет")))</x:f>
      </x:c>
      <x:c r="AF142" s="5"/>
      <x:c r="AG142" s="5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IF(A143="","",IF(U143="","",IF(U143="Выигрыш",J143-1,IF(U143="Полувыигрыш",(J143-1)/2,IF(U143="Возврат",0,IF(U143="Полупроигрыш",-0.5,IF(U143="Поражение",-1,"Проверить результат")))))))</x:f>
      </x:c>
      <x:c r="W143" s="80" t="str">
        <x:f>IF(A143="","",IF(U143="","Открыт",IF(ISNUMBER(V143),"Рассчитан","Проверить результат")))</x:f>
      </x:c>
      <x:c r="X143" s="98"/>
      <x:c r="Y143" s="5"/>
      <x:c r="Z143" s="5"/>
      <x:c r="AA143" s="5"/>
      <x:c r="AB143" s="118"/>
      <x:c r="AC143" s="119"/>
      <x:c r="AD143" s="119"/>
      <x:c r="AE143" s="5" t="str">
        <x:f>IF(A143="","",IF(Z143="","Нет ID пары",IF(AND(COUNTIFS($Z$59:$Z$505,Z143,$Y$59:$Y$505,"Оптимальный",$W$59:$W$505,"Рассчитан")=1,COUNTIFS($Z$59:$Z$505,Z143,$Y$59:$Y$505,"Агрессивный",$W$59:$W$505,"Рассчитан")=1),"Да","Нет")))</x:f>
      </x:c>
      <x:c r="AF143" s="5"/>
      <x:c r="AG143" s="5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IF(A144="","",IF(U144="","",IF(U144="Выигрыш",J144-1,IF(U144="Полувыигрыш",(J144-1)/2,IF(U144="Возврат",0,IF(U144="Полупроигрыш",-0.5,IF(U144="Поражение",-1,"Проверить результат")))))))</x:f>
      </x:c>
      <x:c r="W144" s="80" t="str">
        <x:f>IF(A144="","",IF(U144="","Открыт",IF(ISNUMBER(V144),"Рассчитан","Проверить результат")))</x:f>
      </x:c>
      <x:c r="X144" s="98"/>
      <x:c r="Y144" s="5"/>
      <x:c r="Z144" s="5"/>
      <x:c r="AA144" s="5"/>
      <x:c r="AB144" s="118"/>
      <x:c r="AC144" s="119"/>
      <x:c r="AD144" s="119"/>
      <x:c r="AE144" s="5" t="str">
        <x:f>IF(A144="","",IF(Z144="","Нет ID пары",IF(AND(COUNTIFS($Z$59:$Z$505,Z144,$Y$59:$Y$505,"Оптимальный",$W$59:$W$505,"Рассчитан")=1,COUNTIFS($Z$59:$Z$505,Z144,$Y$59:$Y$505,"Агрессивный",$W$59:$W$505,"Рассчитан")=1),"Да","Нет")))</x:f>
      </x:c>
      <x:c r="AF144" s="5"/>
      <x:c r="AG144" s="5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IF(A145="","",IF(U145="","",IF(U145="Выигрыш",J145-1,IF(U145="Полувыигрыш",(J145-1)/2,IF(U145="Возврат",0,IF(U145="Полупроигрыш",-0.5,IF(U145="Поражение",-1,"Проверить результат")))))))</x:f>
      </x:c>
      <x:c r="W145" s="80" t="str">
        <x:f>IF(A145="","",IF(U145="","Открыт",IF(ISNUMBER(V145),"Рассчитан","Проверить результат")))</x:f>
      </x:c>
      <x:c r="X145" s="98"/>
      <x:c r="Y145" s="5"/>
      <x:c r="Z145" s="5"/>
      <x:c r="AA145" s="5"/>
      <x:c r="AB145" s="118"/>
      <x:c r="AC145" s="119"/>
      <x:c r="AD145" s="119"/>
      <x:c r="AE145" s="5" t="str">
        <x:f>IF(A145="","",IF(Z145="","Нет ID пары",IF(AND(COUNTIFS($Z$59:$Z$505,Z145,$Y$59:$Y$505,"Оптимальный",$W$59:$W$505,"Рассчитан")=1,COUNTIFS($Z$59:$Z$505,Z145,$Y$59:$Y$505,"Агрессивный",$W$59:$W$505,"Рассчитан")=1),"Да","Нет")))</x:f>
      </x:c>
      <x:c r="AF145" s="5"/>
      <x:c r="AG145" s="5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IF(A146="","",IF(U146="","",IF(U146="Выигрыш",J146-1,IF(U146="Полувыигрыш",(J146-1)/2,IF(U146="Возврат",0,IF(U146="Полупроигрыш",-0.5,IF(U146="Поражение",-1,"Проверить результат")))))))</x:f>
      </x:c>
      <x:c r="W146" s="80" t="str">
        <x:f>IF(A146="","",IF(U146="","Открыт",IF(ISNUMBER(V146),"Рассчитан","Проверить результат")))</x:f>
      </x:c>
      <x:c r="X146" s="98"/>
      <x:c r="Y146" s="5"/>
      <x:c r="Z146" s="5"/>
      <x:c r="AA146" s="5"/>
      <x:c r="AB146" s="118"/>
      <x:c r="AC146" s="119"/>
      <x:c r="AD146" s="119"/>
      <x:c r="AE146" s="5" t="str">
        <x:f>IF(A146="","",IF(Z146="","Нет ID пары",IF(AND(COUNTIFS($Z$59:$Z$505,Z146,$Y$59:$Y$505,"Оптимальный",$W$59:$W$505,"Рассчитан")=1,COUNTIFS($Z$59:$Z$505,Z146,$Y$59:$Y$505,"Агрессивный",$W$59:$W$505,"Рассчитан")=1),"Да","Нет")))</x:f>
      </x:c>
      <x:c r="AF146" s="5"/>
      <x:c r="AG146" s="5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IF(A147="","",IF(U147="","",IF(U147="Выигрыш",J147-1,IF(U147="Полувыигрыш",(J147-1)/2,IF(U147="Возврат",0,IF(U147="Полупроигрыш",-0.5,IF(U147="Поражение",-1,"Проверить результат")))))))</x:f>
      </x:c>
      <x:c r="W147" s="80" t="str">
        <x:f>IF(A147="","",IF(U147="","Открыт",IF(ISNUMBER(V147),"Рассчитан","Проверить результат")))</x:f>
      </x:c>
      <x:c r="X147" s="98"/>
      <x:c r="Y147" s="5"/>
      <x:c r="Z147" s="5"/>
      <x:c r="AA147" s="5"/>
      <x:c r="AB147" s="118"/>
      <x:c r="AC147" s="119"/>
      <x:c r="AD147" s="119"/>
      <x:c r="AE147" s="5" t="str">
        <x:f>IF(A147="","",IF(Z147="","Нет ID пары",IF(AND(COUNTIFS($Z$59:$Z$505,Z147,$Y$59:$Y$505,"Оптимальный",$W$59:$W$505,"Рассчитан")=1,COUNTIFS($Z$59:$Z$505,Z147,$Y$59:$Y$505,"Агрессивный",$W$59:$W$505,"Рассчитан")=1),"Да","Нет")))</x:f>
      </x:c>
      <x:c r="AF147" s="5"/>
      <x:c r="AG147" s="5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IF(A148="","",IF(U148="","",IF(U148="Выигрыш",J148-1,IF(U148="Полувыигрыш",(J148-1)/2,IF(U148="Возврат",0,IF(U148="Полупроигрыш",-0.5,IF(U148="Поражение",-1,"Проверить результат")))))))</x:f>
      </x:c>
      <x:c r="W148" s="80" t="str">
        <x:f>IF(A148="","",IF(U148="","Открыт",IF(ISNUMBER(V148),"Рассчитан","Проверить результат")))</x:f>
      </x:c>
      <x:c r="X148" s="98"/>
      <x:c r="Y148" s="5"/>
      <x:c r="Z148" s="5"/>
      <x:c r="AA148" s="5"/>
      <x:c r="AB148" s="118"/>
      <x:c r="AC148" s="119"/>
      <x:c r="AD148" s="119"/>
      <x:c r="AE148" s="5" t="str">
        <x:f>IF(A148="","",IF(Z148="","Нет ID пары",IF(AND(COUNTIFS($Z$59:$Z$505,Z148,$Y$59:$Y$505,"Оптимальный",$W$59:$W$505,"Рассчитан")=1,COUNTIFS($Z$59:$Z$505,Z148,$Y$59:$Y$505,"Агрессивный",$W$59:$W$505,"Рассчитан")=1),"Да","Нет")))</x:f>
      </x:c>
      <x:c r="AF148" s="5"/>
      <x:c r="AG148" s="5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IF(A149="","",IF(U149="","",IF(U149="Выигрыш",J149-1,IF(U149="Полувыигрыш",(J149-1)/2,IF(U149="Возврат",0,IF(U149="Полупроигрыш",-0.5,IF(U149="Поражение",-1,"Проверить результат")))))))</x:f>
      </x:c>
      <x:c r="W149" s="80" t="str">
        <x:f>IF(A149="","",IF(U149="","Открыт",IF(ISNUMBER(V149),"Рассчитан","Проверить результат")))</x:f>
      </x:c>
      <x:c r="X149" s="98"/>
      <x:c r="Y149" s="5"/>
      <x:c r="Z149" s="5"/>
      <x:c r="AA149" s="5"/>
      <x:c r="AB149" s="118"/>
      <x:c r="AC149" s="119"/>
      <x:c r="AD149" s="119"/>
      <x:c r="AE149" s="5" t="str">
        <x:f>IF(A149="","",IF(Z149="","Нет ID пары",IF(AND(COUNTIFS($Z$59:$Z$505,Z149,$Y$59:$Y$505,"Оптимальный",$W$59:$W$505,"Рассчитан")=1,COUNTIFS($Z$59:$Z$505,Z149,$Y$59:$Y$505,"Агрессивный",$W$59:$W$505,"Рассчитан")=1),"Да","Нет")))</x:f>
      </x:c>
      <x:c r="AF149" s="5"/>
      <x:c r="AG149" s="5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IF(A150="","",IF(U150="","",IF(U150="Выигрыш",J150-1,IF(U150="Полувыигрыш",(J150-1)/2,IF(U150="Возврат",0,IF(U150="Полупроигрыш",-0.5,IF(U150="Поражение",-1,"Проверить результат")))))))</x:f>
      </x:c>
      <x:c r="W150" s="80" t="str">
        <x:f>IF(A150="","",IF(U150="","Открыт",IF(ISNUMBER(V150),"Рассчитан","Проверить результат")))</x:f>
      </x:c>
      <x:c r="X150" s="98"/>
      <x:c r="Y150" s="5"/>
      <x:c r="Z150" s="5"/>
      <x:c r="AA150" s="5"/>
      <x:c r="AB150" s="118"/>
      <x:c r="AC150" s="119"/>
      <x:c r="AD150" s="119"/>
      <x:c r="AE150" s="5" t="str">
        <x:f>IF(A150="","",IF(Z150="","Нет ID пары",IF(AND(COUNTIFS($Z$59:$Z$505,Z150,$Y$59:$Y$505,"Оптимальный",$W$59:$W$505,"Рассчитан")=1,COUNTIFS($Z$59:$Z$505,Z150,$Y$59:$Y$505,"Агрессивный",$W$59:$W$505,"Рассчитан")=1),"Да","Нет")))</x:f>
      </x:c>
      <x:c r="AF150" s="5"/>
      <x:c r="AG150" s="5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IF(A151="","",IF(U151="","",IF(U151="Выигрыш",J151-1,IF(U151="Полувыигрыш",(J151-1)/2,IF(U151="Возврат",0,IF(U151="Полупроигрыш",-0.5,IF(U151="Поражение",-1,"Проверить результат")))))))</x:f>
      </x:c>
      <x:c r="W151" s="80" t="str">
        <x:f>IF(A151="","",IF(U151="","Открыт",IF(ISNUMBER(V151),"Рассчитан","Проверить результат")))</x:f>
      </x:c>
      <x:c r="X151" s="98"/>
      <x:c r="Y151" s="5"/>
      <x:c r="Z151" s="5"/>
      <x:c r="AA151" s="5"/>
      <x:c r="AB151" s="118"/>
      <x:c r="AC151" s="119"/>
      <x:c r="AD151" s="119"/>
      <x:c r="AE151" s="5" t="str">
        <x:f>IF(A151="","",IF(Z151="","Нет ID пары",IF(AND(COUNTIFS($Z$59:$Z$505,Z151,$Y$59:$Y$505,"Оптимальный",$W$59:$W$505,"Рассчитан")=1,COUNTIFS($Z$59:$Z$505,Z151,$Y$59:$Y$505,"Агрессивный",$W$59:$W$505,"Рассчитан")=1),"Да","Нет")))</x:f>
      </x:c>
      <x:c r="AF151" s="5"/>
      <x:c r="AG151" s="5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IF(A152="","",IF(U152="","",IF(U152="Выигрыш",J152-1,IF(U152="Полувыигрыш",(J152-1)/2,IF(U152="Возврат",0,IF(U152="Полупроигрыш",-0.5,IF(U152="Поражение",-1,"Проверить результат")))))))</x:f>
      </x:c>
      <x:c r="W152" s="80" t="str">
        <x:f>IF(A152="","",IF(U152="","Открыт",IF(ISNUMBER(V152),"Рассчитан","Проверить результат")))</x:f>
      </x:c>
      <x:c r="X152" s="98"/>
      <x:c r="Y152" s="5"/>
      <x:c r="Z152" s="5"/>
      <x:c r="AA152" s="5"/>
      <x:c r="AB152" s="118"/>
      <x:c r="AC152" s="119"/>
      <x:c r="AD152" s="119"/>
      <x:c r="AE152" s="5" t="str">
        <x:f>IF(A152="","",IF(Z152="","Нет ID пары",IF(AND(COUNTIFS($Z$59:$Z$505,Z152,$Y$59:$Y$505,"Оптимальный",$W$59:$W$505,"Рассчитан")=1,COUNTIFS($Z$59:$Z$505,Z152,$Y$59:$Y$505,"Агрессивный",$W$59:$W$505,"Рассчитан")=1),"Да","Нет")))</x:f>
      </x:c>
      <x:c r="AF152" s="5"/>
      <x:c r="AG152" s="5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IF(A153="","",IF(U153="","",IF(U153="Выигрыш",J153-1,IF(U153="Полувыигрыш",(J153-1)/2,IF(U153="Возврат",0,IF(U153="Полупроигрыш",-0.5,IF(U153="Поражение",-1,"Проверить результат")))))))</x:f>
      </x:c>
      <x:c r="W153" s="80" t="str">
        <x:f>IF(A153="","",IF(U153="","Открыт",IF(ISNUMBER(V153),"Рассчитан","Проверить результат")))</x:f>
      </x:c>
      <x:c r="X153" s="98"/>
      <x:c r="Y153" s="5"/>
      <x:c r="Z153" s="5"/>
      <x:c r="AA153" s="5"/>
      <x:c r="AB153" s="118"/>
      <x:c r="AC153" s="119"/>
      <x:c r="AD153" s="119"/>
      <x:c r="AE153" s="5" t="str">
        <x:f>IF(A153="","",IF(Z153="","Нет ID пары",IF(AND(COUNTIFS($Z$59:$Z$505,Z153,$Y$59:$Y$505,"Оптимальный",$W$59:$W$505,"Рассчитан")=1,COUNTIFS($Z$59:$Z$505,Z153,$Y$59:$Y$505,"Агрессивный",$W$59:$W$505,"Рассчитан")=1),"Да","Нет")))</x:f>
      </x:c>
      <x:c r="AF153" s="5"/>
      <x:c r="AG153" s="5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IF(A154="","",IF(U154="","",IF(U154="Выигрыш",J154-1,IF(U154="Полувыигрыш",(J154-1)/2,IF(U154="Возврат",0,IF(U154="Полупроигрыш",-0.5,IF(U154="Поражение",-1,"Проверить результат")))))))</x:f>
      </x:c>
      <x:c r="W154" s="80" t="str">
        <x:f>IF(A154="","",IF(U154="","Открыт",IF(ISNUMBER(V154),"Рассчитан","Проверить результат")))</x:f>
      </x:c>
      <x:c r="X154" s="98"/>
      <x:c r="Y154" s="5"/>
      <x:c r="Z154" s="5"/>
      <x:c r="AA154" s="5"/>
      <x:c r="AB154" s="118"/>
      <x:c r="AC154" s="119"/>
      <x:c r="AD154" s="119"/>
      <x:c r="AE154" s="5" t="str">
        <x:f>IF(A154="","",IF(Z154="","Нет ID пары",IF(AND(COUNTIFS($Z$59:$Z$505,Z154,$Y$59:$Y$505,"Оптимальный",$W$59:$W$505,"Рассчитан")=1,COUNTIFS($Z$59:$Z$505,Z154,$Y$59:$Y$505,"Агрессивный",$W$59:$W$505,"Рассчитан")=1),"Да","Нет")))</x:f>
      </x:c>
      <x:c r="AF154" s="5"/>
      <x:c r="AG154" s="5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IF(A155="","",IF(U155="","",IF(U155="Выигрыш",J155-1,IF(U155="Полувыигрыш",(J155-1)/2,IF(U155="Возврат",0,IF(U155="Полупроигрыш",-0.5,IF(U155="Поражение",-1,"Проверить результат")))))))</x:f>
      </x:c>
      <x:c r="W155" s="80" t="str">
        <x:f>IF(A155="","",IF(U155="","Открыт",IF(ISNUMBER(V155),"Рассчитан","Проверить результат")))</x:f>
      </x:c>
      <x:c r="X155" s="98"/>
      <x:c r="Y155" s="5"/>
      <x:c r="Z155" s="5"/>
      <x:c r="AA155" s="5"/>
      <x:c r="AB155" s="118"/>
      <x:c r="AC155" s="119"/>
      <x:c r="AD155" s="119"/>
      <x:c r="AE155" s="5" t="str">
        <x:f>IF(A155="","",IF(Z155="","Нет ID пары",IF(AND(COUNTIFS($Z$59:$Z$505,Z155,$Y$59:$Y$505,"Оптимальный",$W$59:$W$505,"Рассчитан")=1,COUNTIFS($Z$59:$Z$505,Z155,$Y$59:$Y$505,"Агрессивный",$W$59:$W$505,"Рассчитан")=1),"Да","Нет")))</x:f>
      </x:c>
      <x:c r="AF155" s="5"/>
      <x:c r="AG155" s="5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IF(A156="","",IF(U156="","",IF(U156="Выигрыш",J156-1,IF(U156="Полувыигрыш",(J156-1)/2,IF(U156="Возврат",0,IF(U156="Полупроигрыш",-0.5,IF(U156="Поражение",-1,"Проверить результат")))))))</x:f>
      </x:c>
      <x:c r="W156" s="80" t="str">
        <x:f>IF(A156="","",IF(U156="","Открыт",IF(ISNUMBER(V156),"Рассчитан","Проверить результат")))</x:f>
      </x:c>
      <x:c r="X156" s="98"/>
      <x:c r="Y156" s="5"/>
      <x:c r="Z156" s="5"/>
      <x:c r="AA156" s="5"/>
      <x:c r="AB156" s="118"/>
      <x:c r="AC156" s="119"/>
      <x:c r="AD156" s="119"/>
      <x:c r="AE156" s="5" t="str">
        <x:f>IF(A156="","",IF(Z156="","Нет ID пары",IF(AND(COUNTIFS($Z$59:$Z$505,Z156,$Y$59:$Y$505,"Оптимальный",$W$59:$W$505,"Рассчитан")=1,COUNTIFS($Z$59:$Z$505,Z156,$Y$59:$Y$505,"Агрессивный",$W$59:$W$505,"Рассчитан")=1),"Да","Нет")))</x:f>
      </x:c>
      <x:c r="AF156" s="5"/>
      <x:c r="AG156" s="5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IF(A157="","",IF(U157="","",IF(U157="Выигрыш",J157-1,IF(U157="Полувыигрыш",(J157-1)/2,IF(U157="Возврат",0,IF(U157="Полупроигрыш",-0.5,IF(U157="Поражение",-1,"Проверить результат")))))))</x:f>
      </x:c>
      <x:c r="W157" s="80" t="str">
        <x:f>IF(A157="","",IF(U157="","Открыт",IF(ISNUMBER(V157),"Рассчитан","Проверить результат")))</x:f>
      </x:c>
      <x:c r="X157" s="98"/>
      <x:c r="Y157" s="5"/>
      <x:c r="Z157" s="5"/>
      <x:c r="AA157" s="5"/>
      <x:c r="AB157" s="118"/>
      <x:c r="AC157" s="119"/>
      <x:c r="AD157" s="119"/>
      <x:c r="AE157" s="5" t="str">
        <x:f>IF(A157="","",IF(Z157="","Нет ID пары",IF(AND(COUNTIFS($Z$59:$Z$505,Z157,$Y$59:$Y$505,"Оптимальный",$W$59:$W$505,"Рассчитан")=1,COUNTIFS($Z$59:$Z$505,Z157,$Y$59:$Y$505,"Агрессивный",$W$59:$W$505,"Рассчитан")=1),"Да","Нет")))</x:f>
      </x:c>
      <x:c r="AF157" s="5"/>
      <x:c r="AG157" s="5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IF(A158="","",IF(U158="","",IF(U158="Выигрыш",J158-1,IF(U158="Полувыигрыш",(J158-1)/2,IF(U158="Возврат",0,IF(U158="Полупроигрыш",-0.5,IF(U158="Поражение",-1,"Проверить результат")))))))</x:f>
      </x:c>
      <x:c r="W158" s="80" t="str">
        <x:f>IF(A158="","",IF(U158="","Открыт",IF(ISNUMBER(V158),"Рассчитан","Проверить результат")))</x:f>
      </x:c>
      <x:c r="X158" s="98"/>
      <x:c r="Y158" s="5"/>
      <x:c r="Z158" s="5"/>
      <x:c r="AA158" s="5"/>
      <x:c r="AB158" s="118"/>
      <x:c r="AC158" s="119"/>
      <x:c r="AD158" s="119"/>
      <x:c r="AE158" s="5" t="str">
        <x:f>IF(A158="","",IF(Z158="","Нет ID пары",IF(AND(COUNTIFS($Z$59:$Z$505,Z158,$Y$59:$Y$505,"Оптимальный",$W$59:$W$505,"Рассчитан")=1,COUNTIFS($Z$59:$Z$505,Z158,$Y$59:$Y$505,"Агрессивный",$W$59:$W$505,"Рассчитан")=1),"Да","Нет")))</x:f>
      </x:c>
      <x:c r="AF158" s="5"/>
      <x:c r="AG158" s="5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IF(A159="","",IF(U159="","",IF(U159="Выигрыш",J159-1,IF(U159="Полувыигрыш",(J159-1)/2,IF(U159="Возврат",0,IF(U159="Полупроигрыш",-0.5,IF(U159="Поражение",-1,"Проверить результат")))))))</x:f>
      </x:c>
      <x:c r="W159" s="80" t="str">
        <x:f>IF(A159="","",IF(U159="","Открыт",IF(ISNUMBER(V159),"Рассчитан","Проверить результат")))</x:f>
      </x:c>
      <x:c r="X159" s="98"/>
      <x:c r="Y159" s="5"/>
      <x:c r="Z159" s="5"/>
      <x:c r="AA159" s="5"/>
      <x:c r="AB159" s="118"/>
      <x:c r="AC159" s="119"/>
      <x:c r="AD159" s="119"/>
      <x:c r="AE159" s="5" t="str">
        <x:f>IF(A159="","",IF(Z159="","Нет ID пары",IF(AND(COUNTIFS($Z$59:$Z$505,Z159,$Y$59:$Y$505,"Оптимальный",$W$59:$W$505,"Рассчитан")=1,COUNTIFS($Z$59:$Z$505,Z159,$Y$59:$Y$505,"Агрессивный",$W$59:$W$505,"Рассчитан")=1),"Да","Нет")))</x:f>
      </x:c>
      <x:c r="AF159" s="5"/>
      <x:c r="AG159" s="5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IF(A160="","",IF(U160="","",IF(U160="Выигрыш",J160-1,IF(U160="Полувыигрыш",(J160-1)/2,IF(U160="Возврат",0,IF(U160="Полупроигрыш",-0.5,IF(U160="Поражение",-1,"Проверить результат")))))))</x:f>
      </x:c>
      <x:c r="W160" s="80" t="str">
        <x:f>IF(A160="","",IF(U160="","Открыт",IF(ISNUMBER(V160),"Рассчитан","Проверить результат")))</x:f>
      </x:c>
      <x:c r="X160" s="98"/>
      <x:c r="Y160" s="5"/>
      <x:c r="Z160" s="5"/>
      <x:c r="AA160" s="5"/>
      <x:c r="AB160" s="118"/>
      <x:c r="AC160" s="119"/>
      <x:c r="AD160" s="119"/>
      <x:c r="AE160" s="5" t="str">
        <x:f>IF(A160="","",IF(Z160="","Нет ID пары",IF(AND(COUNTIFS($Z$59:$Z$505,Z160,$Y$59:$Y$505,"Оптимальный",$W$59:$W$505,"Рассчитан")=1,COUNTIFS($Z$59:$Z$505,Z160,$Y$59:$Y$505,"Агрессивный",$W$59:$W$505,"Рассчитан")=1),"Да","Нет")))</x:f>
      </x:c>
      <x:c r="AF160" s="5"/>
      <x:c r="AG160" s="5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IF(A161="","",IF(U161="","",IF(U161="Выигрыш",J161-1,IF(U161="Полувыигрыш",(J161-1)/2,IF(U161="Возврат",0,IF(U161="Полупроигрыш",-0.5,IF(U161="Поражение",-1,"Проверить результат")))))))</x:f>
      </x:c>
      <x:c r="W161" s="80" t="str">
        <x:f>IF(A161="","",IF(U161="","Открыт",IF(ISNUMBER(V161),"Рассчитан","Проверить результат")))</x:f>
      </x:c>
      <x:c r="X161" s="98"/>
      <x:c r="Y161" s="5"/>
      <x:c r="Z161" s="5"/>
      <x:c r="AA161" s="5"/>
      <x:c r="AB161" s="118"/>
      <x:c r="AC161" s="119"/>
      <x:c r="AD161" s="119"/>
      <x:c r="AE161" s="5" t="str">
        <x:f>IF(A161="","",IF(Z161="","Нет ID пары",IF(AND(COUNTIFS($Z$59:$Z$505,Z161,$Y$59:$Y$505,"Оптимальный",$W$59:$W$505,"Рассчитан")=1,COUNTIFS($Z$59:$Z$505,Z161,$Y$59:$Y$505,"Агрессивный",$W$59:$W$505,"Рассчитан")=1),"Да","Нет")))</x:f>
      </x:c>
      <x:c r="AF161" s="5"/>
      <x:c r="AG161" s="5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IF(A162="","",IF(U162="","",IF(U162="Выигрыш",J162-1,IF(U162="Полувыигрыш",(J162-1)/2,IF(U162="Возврат",0,IF(U162="Полупроигрыш",-0.5,IF(U162="Поражение",-1,"Проверить результат")))))))</x:f>
      </x:c>
      <x:c r="W162" s="80" t="str">
        <x:f>IF(A162="","",IF(U162="","Открыт",IF(ISNUMBER(V162),"Рассчитан","Проверить результат")))</x:f>
      </x:c>
      <x:c r="X162" s="98"/>
      <x:c r="Y162" s="5"/>
      <x:c r="Z162" s="5"/>
      <x:c r="AA162" s="5"/>
      <x:c r="AB162" s="118"/>
      <x:c r="AC162" s="119"/>
      <x:c r="AD162" s="119"/>
      <x:c r="AE162" s="5" t="str">
        <x:f>IF(A162="","",IF(Z162="","Нет ID пары",IF(AND(COUNTIFS($Z$59:$Z$505,Z162,$Y$59:$Y$505,"Оптимальный",$W$59:$W$505,"Рассчитан")=1,COUNTIFS($Z$59:$Z$505,Z162,$Y$59:$Y$505,"Агрессивный",$W$59:$W$505,"Рассчитан")=1),"Да","Нет")))</x:f>
      </x:c>
      <x:c r="AF162" s="5"/>
      <x:c r="AG162" s="5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IF(A163="","",IF(U163="","",IF(U163="Выигрыш",J163-1,IF(U163="Полувыигрыш",(J163-1)/2,IF(U163="Возврат",0,IF(U163="Полупроигрыш",-0.5,IF(U163="Поражение",-1,"Проверить результат")))))))</x:f>
      </x:c>
      <x:c r="W163" s="80" t="str">
        <x:f>IF(A163="","",IF(U163="","Открыт",IF(ISNUMBER(V163),"Рассчитан","Проверить результат")))</x:f>
      </x:c>
      <x:c r="X163" s="98"/>
      <x:c r="Y163" s="5"/>
      <x:c r="Z163" s="5"/>
      <x:c r="AA163" s="5"/>
      <x:c r="AB163" s="118"/>
      <x:c r="AC163" s="119"/>
      <x:c r="AD163" s="119"/>
      <x:c r="AE163" s="5" t="str">
        <x:f>IF(A163="","",IF(Z163="","Нет ID пары",IF(AND(COUNTIFS($Z$59:$Z$505,Z163,$Y$59:$Y$505,"Оптимальный",$W$59:$W$505,"Рассчитан")=1,COUNTIFS($Z$59:$Z$505,Z163,$Y$59:$Y$505,"Агрессивный",$W$59:$W$505,"Рассчитан")=1),"Да","Нет")))</x:f>
      </x:c>
      <x:c r="AF163" s="5"/>
      <x:c r="AG163" s="5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IF(A164="","",IF(U164="","",IF(U164="Выигрыш",J164-1,IF(U164="Полувыигрыш",(J164-1)/2,IF(U164="Возврат",0,IF(U164="Полупроигрыш",-0.5,IF(U164="Поражение",-1,"Проверить результат")))))))</x:f>
      </x:c>
      <x:c r="W164" s="80" t="str">
        <x:f>IF(A164="","",IF(U164="","Открыт",IF(ISNUMBER(V164),"Рассчитан","Проверить результат")))</x:f>
      </x:c>
      <x:c r="X164" s="98"/>
      <x:c r="Y164" s="5"/>
      <x:c r="Z164" s="5"/>
      <x:c r="AA164" s="5"/>
      <x:c r="AB164" s="118"/>
      <x:c r="AC164" s="119"/>
      <x:c r="AD164" s="119"/>
      <x:c r="AE164" s="5" t="str">
        <x:f>IF(A164="","",IF(Z164="","Нет ID пары",IF(AND(COUNTIFS($Z$59:$Z$505,Z164,$Y$59:$Y$505,"Оптимальный",$W$59:$W$505,"Рассчитан")=1,COUNTIFS($Z$59:$Z$505,Z164,$Y$59:$Y$505,"Агрессивный",$W$59:$W$505,"Рассчитан")=1),"Да","Нет")))</x:f>
      </x:c>
      <x:c r="AF164" s="5"/>
      <x:c r="AG164" s="5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IF(A165="","",IF(U165="","",IF(U165="Выигрыш",J165-1,IF(U165="Полувыигрыш",(J165-1)/2,IF(U165="Возврат",0,IF(U165="Полупроигрыш",-0.5,IF(U165="Поражение",-1,"Проверить результат")))))))</x:f>
      </x:c>
      <x:c r="W165" s="80" t="str">
        <x:f>IF(A165="","",IF(U165="","Открыт",IF(ISNUMBER(V165),"Рассчитан","Проверить результат")))</x:f>
      </x:c>
      <x:c r="X165" s="98"/>
      <x:c r="Y165" s="5"/>
      <x:c r="Z165" s="5"/>
      <x:c r="AA165" s="5"/>
      <x:c r="AB165" s="118"/>
      <x:c r="AC165" s="119"/>
      <x:c r="AD165" s="119"/>
      <x:c r="AE165" s="5" t="str">
        <x:f>IF(A165="","",IF(Z165="","Нет ID пары",IF(AND(COUNTIFS($Z$59:$Z$505,Z165,$Y$59:$Y$505,"Оптимальный",$W$59:$W$505,"Рассчитан")=1,COUNTIFS($Z$59:$Z$505,Z165,$Y$59:$Y$505,"Агрессивный",$W$59:$W$505,"Рассчитан")=1),"Да","Нет")))</x:f>
      </x:c>
      <x:c r="AF165" s="5"/>
      <x:c r="AG165" s="5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IF(A166="","",IF(U166="","",IF(U166="Выигрыш",J166-1,IF(U166="Полувыигрыш",(J166-1)/2,IF(U166="Возврат",0,IF(U166="Полупроигрыш",-0.5,IF(U166="Поражение",-1,"Проверить результат")))))))</x:f>
      </x:c>
      <x:c r="W166" s="80" t="str">
        <x:f>IF(A166="","",IF(U166="","Открыт",IF(ISNUMBER(V166),"Рассчитан","Проверить результат")))</x:f>
      </x:c>
      <x:c r="X166" s="98"/>
      <x:c r="Y166" s="5"/>
      <x:c r="Z166" s="5"/>
      <x:c r="AA166" s="5"/>
      <x:c r="AB166" s="118"/>
      <x:c r="AC166" s="119"/>
      <x:c r="AD166" s="119"/>
      <x:c r="AE166" s="5" t="str">
        <x:f>IF(A166="","",IF(Z166="","Нет ID пары",IF(AND(COUNTIFS($Z$59:$Z$505,Z166,$Y$59:$Y$505,"Оптимальный",$W$59:$W$505,"Рассчитан")=1,COUNTIFS($Z$59:$Z$505,Z166,$Y$59:$Y$505,"Агрессивный",$W$59:$W$505,"Рассчитан")=1),"Да","Нет")))</x:f>
      </x:c>
      <x:c r="AF166" s="5"/>
      <x:c r="AG166" s="5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IF(A167="","",IF(U167="","",IF(U167="Выигрыш",J167-1,IF(U167="Полувыигрыш",(J167-1)/2,IF(U167="Возврат",0,IF(U167="Полупроигрыш",-0.5,IF(U167="Поражение",-1,"Проверить результат")))))))</x:f>
      </x:c>
      <x:c r="W167" s="80" t="str">
        <x:f>IF(A167="","",IF(U167="","Открыт",IF(ISNUMBER(V167),"Рассчитан","Проверить результат")))</x:f>
      </x:c>
      <x:c r="X167" s="98"/>
      <x:c r="Y167" s="5"/>
      <x:c r="Z167" s="5"/>
      <x:c r="AA167" s="5"/>
      <x:c r="AB167" s="118"/>
      <x:c r="AC167" s="119"/>
      <x:c r="AD167" s="119"/>
      <x:c r="AE167" s="5" t="str">
        <x:f>IF(A167="","",IF(Z167="","Нет ID пары",IF(AND(COUNTIFS($Z$59:$Z$505,Z167,$Y$59:$Y$505,"Оптимальный",$W$59:$W$505,"Рассчитан")=1,COUNTIFS($Z$59:$Z$505,Z167,$Y$59:$Y$505,"Агрессивный",$W$59:$W$505,"Рассчитан")=1),"Да","Нет")))</x:f>
      </x:c>
      <x:c r="AF167" s="5"/>
      <x:c r="AG167" s="5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IF(A168="","",IF(U168="","",IF(U168="Выигрыш",J168-1,IF(U168="Полувыигрыш",(J168-1)/2,IF(U168="Возврат",0,IF(U168="Полупроигрыш",-0.5,IF(U168="Поражение",-1,"Проверить результат")))))))</x:f>
      </x:c>
      <x:c r="W168" s="80" t="str">
        <x:f>IF(A168="","",IF(U168="","Открыт",IF(ISNUMBER(V168),"Рассчитан","Проверить результат")))</x:f>
      </x:c>
      <x:c r="X168" s="98"/>
      <x:c r="Y168" s="5"/>
      <x:c r="Z168" s="5"/>
      <x:c r="AA168" s="5"/>
      <x:c r="AB168" s="118"/>
      <x:c r="AC168" s="119"/>
      <x:c r="AD168" s="119"/>
      <x:c r="AE168" s="5" t="str">
        <x:f>IF(A168="","",IF(Z168="","Нет ID пары",IF(AND(COUNTIFS($Z$59:$Z$505,Z168,$Y$59:$Y$505,"Оптимальный",$W$59:$W$505,"Рассчитан")=1,COUNTIFS($Z$59:$Z$505,Z168,$Y$59:$Y$505,"Агрессивный",$W$59:$W$505,"Рассчитан")=1),"Да","Нет")))</x:f>
      </x:c>
      <x:c r="AF168" s="5"/>
      <x:c r="AG168" s="5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IF(A169="","",IF(U169="","",IF(U169="Выигрыш",J169-1,IF(U169="Полувыигрыш",(J169-1)/2,IF(U169="Возврат",0,IF(U169="Полупроигрыш",-0.5,IF(U169="Поражение",-1,"Проверить результат")))))))</x:f>
      </x:c>
      <x:c r="W169" s="80" t="str">
        <x:f>IF(A169="","",IF(U169="","Открыт",IF(ISNUMBER(V169),"Рассчитан","Проверить результат")))</x:f>
      </x:c>
      <x:c r="X169" s="98"/>
      <x:c r="Y169" s="5"/>
      <x:c r="Z169" s="5"/>
      <x:c r="AA169" s="5"/>
      <x:c r="AB169" s="118"/>
      <x:c r="AC169" s="119"/>
      <x:c r="AD169" s="119"/>
      <x:c r="AE169" s="5" t="str">
        <x:f>IF(A169="","",IF(Z169="","Нет ID пары",IF(AND(COUNTIFS($Z$59:$Z$505,Z169,$Y$59:$Y$505,"Оптимальный",$W$59:$W$505,"Рассчитан")=1,COUNTIFS($Z$59:$Z$505,Z169,$Y$59:$Y$505,"Агрессивный",$W$59:$W$505,"Рассчитан")=1),"Да","Нет")))</x:f>
      </x:c>
      <x:c r="AF169" s="5"/>
      <x:c r="AG169" s="5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IF(A170="","",IF(U170="","",IF(U170="Выигрыш",J170-1,IF(U170="Полувыигрыш",(J170-1)/2,IF(U170="Возврат",0,IF(U170="Полупроигрыш",-0.5,IF(U170="Поражение",-1,"Проверить результат")))))))</x:f>
      </x:c>
      <x:c r="W170" s="80" t="str">
        <x:f>IF(A170="","",IF(U170="","Открыт",IF(ISNUMBER(V170),"Рассчитан","Проверить результат")))</x:f>
      </x:c>
      <x:c r="X170" s="98"/>
      <x:c r="Y170" s="5"/>
      <x:c r="Z170" s="5"/>
      <x:c r="AA170" s="5"/>
      <x:c r="AB170" s="118"/>
      <x:c r="AC170" s="119"/>
      <x:c r="AD170" s="119"/>
      <x:c r="AE170" s="5" t="str">
        <x:f>IF(A170="","",IF(Z170="","Нет ID пары",IF(AND(COUNTIFS($Z$59:$Z$505,Z170,$Y$59:$Y$505,"Оптимальный",$W$59:$W$505,"Рассчитан")=1,COUNTIFS($Z$59:$Z$505,Z170,$Y$59:$Y$505,"Агрессивный",$W$59:$W$505,"Рассчитан")=1),"Да","Нет")))</x:f>
      </x:c>
      <x:c r="AF170" s="5"/>
      <x:c r="AG170" s="5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IF(A171="","",IF(U171="","",IF(U171="Выигрыш",J171-1,IF(U171="Полувыигрыш",(J171-1)/2,IF(U171="Возврат",0,IF(U171="Полупроигрыш",-0.5,IF(U171="Поражение",-1,"Проверить результат")))))))</x:f>
      </x:c>
      <x:c r="W171" s="80" t="str">
        <x:f>IF(A171="","",IF(U171="","Открыт",IF(ISNUMBER(V171),"Рассчитан","Проверить результат")))</x:f>
      </x:c>
      <x:c r="X171" s="98"/>
      <x:c r="Y171" s="5"/>
      <x:c r="Z171" s="5"/>
      <x:c r="AA171" s="5"/>
      <x:c r="AB171" s="118"/>
      <x:c r="AC171" s="119"/>
      <x:c r="AD171" s="119"/>
      <x:c r="AE171" s="5" t="str">
        <x:f>IF(A171="","",IF(Z171="","Нет ID пары",IF(AND(COUNTIFS($Z$59:$Z$505,Z171,$Y$59:$Y$505,"Оптимальный",$W$59:$W$505,"Рассчитан")=1,COUNTIFS($Z$59:$Z$505,Z171,$Y$59:$Y$505,"Агрессивный",$W$59:$W$505,"Рассчитан")=1),"Да","Нет")))</x:f>
      </x:c>
      <x:c r="AF171" s="5"/>
      <x:c r="AG171" s="5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IF(A172="","",IF(U172="","",IF(U172="Выигрыш",J172-1,IF(U172="Полувыигрыш",(J172-1)/2,IF(U172="Возврат",0,IF(U172="Полупроигрыш",-0.5,IF(U172="Поражение",-1,"Проверить результат")))))))</x:f>
      </x:c>
      <x:c r="W172" s="80" t="str">
        <x:f>IF(A172="","",IF(U172="","Открыт",IF(ISNUMBER(V172),"Рассчитан","Проверить результат")))</x:f>
      </x:c>
      <x:c r="X172" s="98"/>
      <x:c r="Y172" s="5"/>
      <x:c r="Z172" s="5"/>
      <x:c r="AA172" s="5"/>
      <x:c r="AB172" s="118"/>
      <x:c r="AC172" s="119"/>
      <x:c r="AD172" s="119"/>
      <x:c r="AE172" s="5" t="str">
        <x:f>IF(A172="","",IF(Z172="","Нет ID пары",IF(AND(COUNTIFS($Z$59:$Z$505,Z172,$Y$59:$Y$505,"Оптимальный",$W$59:$W$505,"Рассчитан")=1,COUNTIFS($Z$59:$Z$505,Z172,$Y$59:$Y$505,"Агрессивный",$W$59:$W$505,"Рассчитан")=1),"Да","Нет")))</x:f>
      </x:c>
      <x:c r="AF172" s="5"/>
      <x:c r="AG172" s="5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IF(A173="","",IF(U173="","",IF(U173="Выигрыш",J173-1,IF(U173="Полувыигрыш",(J173-1)/2,IF(U173="Возврат",0,IF(U173="Полупроигрыш",-0.5,IF(U173="Поражение",-1,"Проверить результат")))))))</x:f>
      </x:c>
      <x:c r="W173" s="80" t="str">
        <x:f>IF(A173="","",IF(U173="","Открыт",IF(ISNUMBER(V173),"Рассчитан","Проверить результат")))</x:f>
      </x:c>
      <x:c r="X173" s="98"/>
      <x:c r="Y173" s="5"/>
      <x:c r="Z173" s="5"/>
      <x:c r="AA173" s="5"/>
      <x:c r="AB173" s="118"/>
      <x:c r="AC173" s="119"/>
      <x:c r="AD173" s="119"/>
      <x:c r="AE173" s="5" t="str">
        <x:f>IF(A173="","",IF(Z173="","Нет ID пары",IF(AND(COUNTIFS($Z$59:$Z$505,Z173,$Y$59:$Y$505,"Оптимальный",$W$59:$W$505,"Рассчитан")=1,COUNTIFS($Z$59:$Z$505,Z173,$Y$59:$Y$505,"Агрессивный",$W$59:$W$505,"Рассчитан")=1),"Да","Нет")))</x:f>
      </x:c>
      <x:c r="AF173" s="5"/>
      <x:c r="AG173" s="5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IF(A174="","",IF(U174="","",IF(U174="Выигрыш",J174-1,IF(U174="Полувыигрыш",(J174-1)/2,IF(U174="Возврат",0,IF(U174="Полупроигрыш",-0.5,IF(U174="Поражение",-1,"Проверить результат")))))))</x:f>
      </x:c>
      <x:c r="W174" s="80" t="str">
        <x:f>IF(A174="","",IF(U174="","Открыт",IF(ISNUMBER(V174),"Рассчитан","Проверить результат")))</x:f>
      </x:c>
      <x:c r="X174" s="98"/>
      <x:c r="Y174" s="5"/>
      <x:c r="Z174" s="5"/>
      <x:c r="AA174" s="5"/>
      <x:c r="AB174" s="118"/>
      <x:c r="AC174" s="119"/>
      <x:c r="AD174" s="119"/>
      <x:c r="AE174" s="5" t="str">
        <x:f>IF(A174="","",IF(Z174="","Нет ID пары",IF(AND(COUNTIFS($Z$59:$Z$505,Z174,$Y$59:$Y$505,"Оптимальный",$W$59:$W$505,"Рассчитан")=1,COUNTIFS($Z$59:$Z$505,Z174,$Y$59:$Y$505,"Агрессивный",$W$59:$W$505,"Рассчитан")=1),"Да","Нет")))</x:f>
      </x:c>
      <x:c r="AF174" s="5"/>
      <x:c r="AG174" s="5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IF(A175="","",IF(U175="","",IF(U175="Выигрыш",J175-1,IF(U175="Полувыигрыш",(J175-1)/2,IF(U175="Возврат",0,IF(U175="Полупроигрыш",-0.5,IF(U175="Поражение",-1,"Проверить результат")))))))</x:f>
      </x:c>
      <x:c r="W175" s="80" t="str">
        <x:f>IF(A175="","",IF(U175="","Открыт",IF(ISNUMBER(V175),"Рассчитан","Проверить результат")))</x:f>
      </x:c>
      <x:c r="X175" s="98"/>
      <x:c r="Y175" s="5"/>
      <x:c r="Z175" s="5"/>
      <x:c r="AA175" s="5"/>
      <x:c r="AB175" s="118"/>
      <x:c r="AC175" s="119"/>
      <x:c r="AD175" s="119"/>
      <x:c r="AE175" s="5" t="str">
        <x:f>IF(A175="","",IF(Z175="","Нет ID пары",IF(AND(COUNTIFS($Z$59:$Z$505,Z175,$Y$59:$Y$505,"Оптимальный",$W$59:$W$505,"Рассчитан")=1,COUNTIFS($Z$59:$Z$505,Z175,$Y$59:$Y$505,"Агрессивный",$W$59:$W$505,"Рассчитан")=1),"Да","Нет")))</x:f>
      </x:c>
      <x:c r="AF175" s="5"/>
      <x:c r="AG175" s="5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IF(A176="","",IF(U176="","",IF(U176="Выигрыш",J176-1,IF(U176="Полувыигрыш",(J176-1)/2,IF(U176="Возврат",0,IF(U176="Полупроигрыш",-0.5,IF(U176="Поражение",-1,"Проверить результат")))))))</x:f>
      </x:c>
      <x:c r="W176" s="80" t="str">
        <x:f>IF(A176="","",IF(U176="","Открыт",IF(ISNUMBER(V176),"Рассчитан","Проверить результат")))</x:f>
      </x:c>
      <x:c r="X176" s="98"/>
      <x:c r="Y176" s="5"/>
      <x:c r="Z176" s="5"/>
      <x:c r="AA176" s="5"/>
      <x:c r="AB176" s="118"/>
      <x:c r="AC176" s="119"/>
      <x:c r="AD176" s="119"/>
      <x:c r="AE176" s="5" t="str">
        <x:f>IF(A176="","",IF(Z176="","Нет ID пары",IF(AND(COUNTIFS($Z$59:$Z$505,Z176,$Y$59:$Y$505,"Оптимальный",$W$59:$W$505,"Рассчитан")=1,COUNTIFS($Z$59:$Z$505,Z176,$Y$59:$Y$505,"Агрессивный",$W$59:$W$505,"Рассчитан")=1),"Да","Нет")))</x:f>
      </x:c>
      <x:c r="AF176" s="5"/>
      <x:c r="AG176" s="5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IF(A177="","",IF(U177="","",IF(U177="Выигрыш",J177-1,IF(U177="Полувыигрыш",(J177-1)/2,IF(U177="Возврат",0,IF(U177="Полупроигрыш",-0.5,IF(U177="Поражение",-1,"Проверить результат")))))))</x:f>
      </x:c>
      <x:c r="W177" s="80" t="str">
        <x:f>IF(A177="","",IF(U177="","Открыт",IF(ISNUMBER(V177),"Рассчитан","Проверить результат")))</x:f>
      </x:c>
      <x:c r="X177" s="98"/>
      <x:c r="Y177" s="5"/>
      <x:c r="Z177" s="5"/>
      <x:c r="AA177" s="5"/>
      <x:c r="AB177" s="118"/>
      <x:c r="AC177" s="119"/>
      <x:c r="AD177" s="119"/>
      <x:c r="AE177" s="5" t="str">
        <x:f>IF(A177="","",IF(Z177="","Нет ID пары",IF(AND(COUNTIFS($Z$59:$Z$505,Z177,$Y$59:$Y$505,"Оптимальный",$W$59:$W$505,"Рассчитан")=1,COUNTIFS($Z$59:$Z$505,Z177,$Y$59:$Y$505,"Агрессивный",$W$59:$W$505,"Рассчитан")=1),"Да","Нет")))</x:f>
      </x:c>
      <x:c r="AF177" s="5"/>
      <x:c r="AG177" s="5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IF(A178="","",IF(U178="","",IF(U178="Выигрыш",J178-1,IF(U178="Полувыигрыш",(J178-1)/2,IF(U178="Возврат",0,IF(U178="Полупроигрыш",-0.5,IF(U178="Поражение",-1,"Проверить результат")))))))</x:f>
      </x:c>
      <x:c r="W178" s="80" t="str">
        <x:f>IF(A178="","",IF(U178="","Открыт",IF(ISNUMBER(V178),"Рассчитан","Проверить результат")))</x:f>
      </x:c>
      <x:c r="X178" s="98"/>
      <x:c r="Y178" s="5"/>
      <x:c r="Z178" s="5"/>
      <x:c r="AA178" s="5"/>
      <x:c r="AB178" s="118"/>
      <x:c r="AC178" s="119"/>
      <x:c r="AD178" s="119"/>
      <x:c r="AE178" s="5" t="str">
        <x:f>IF(A178="","",IF(Z178="","Нет ID пары",IF(AND(COUNTIFS($Z$59:$Z$505,Z178,$Y$59:$Y$505,"Оптимальный",$W$59:$W$505,"Рассчитан")=1,COUNTIFS($Z$59:$Z$505,Z178,$Y$59:$Y$505,"Агрессивный",$W$59:$W$505,"Рассчитан")=1),"Да","Нет")))</x:f>
      </x:c>
      <x:c r="AF178" s="5"/>
      <x:c r="AG178" s="5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IF(A179="","",IF(U179="","",IF(U179="Выигрыш",J179-1,IF(U179="Полувыигрыш",(J179-1)/2,IF(U179="Возврат",0,IF(U179="Полупроигрыш",-0.5,IF(U179="Поражение",-1,"Проверить результат")))))))</x:f>
      </x:c>
      <x:c r="W179" s="80" t="str">
        <x:f>IF(A179="","",IF(U179="","Открыт",IF(ISNUMBER(V179),"Рассчитан","Проверить результат")))</x:f>
      </x:c>
      <x:c r="X179" s="98"/>
      <x:c r="Y179" s="5"/>
      <x:c r="Z179" s="5"/>
      <x:c r="AA179" s="5"/>
      <x:c r="AB179" s="118"/>
      <x:c r="AC179" s="119"/>
      <x:c r="AD179" s="119"/>
      <x:c r="AE179" s="5" t="str">
        <x:f>IF(A179="","",IF(Z179="","Нет ID пары",IF(AND(COUNTIFS($Z$59:$Z$505,Z179,$Y$59:$Y$505,"Оптимальный",$W$59:$W$505,"Рассчитан")=1,COUNTIFS($Z$59:$Z$505,Z179,$Y$59:$Y$505,"Агрессивный",$W$59:$W$505,"Рассчитан")=1),"Да","Нет")))</x:f>
      </x:c>
      <x:c r="AF179" s="5"/>
      <x:c r="AG179" s="5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IF(A180="","",IF(U180="","",IF(U180="Выигрыш",J180-1,IF(U180="Полувыигрыш",(J180-1)/2,IF(U180="Возврат",0,IF(U180="Полупроигрыш",-0.5,IF(U180="Поражение",-1,"Проверить результат")))))))</x:f>
      </x:c>
      <x:c r="W180" s="80" t="str">
        <x:f>IF(A180="","",IF(U180="","Открыт",IF(ISNUMBER(V180),"Рассчитан","Проверить результат")))</x:f>
      </x:c>
      <x:c r="X180" s="98"/>
      <x:c r="Y180" s="5"/>
      <x:c r="Z180" s="5"/>
      <x:c r="AA180" s="5"/>
      <x:c r="AB180" s="118"/>
      <x:c r="AC180" s="119"/>
      <x:c r="AD180" s="119"/>
      <x:c r="AE180" s="5" t="str">
        <x:f>IF(A180="","",IF(Z180="","Нет ID пары",IF(AND(COUNTIFS($Z$59:$Z$505,Z180,$Y$59:$Y$505,"Оптимальный",$W$59:$W$505,"Рассчитан")=1,COUNTIFS($Z$59:$Z$505,Z180,$Y$59:$Y$505,"Агрессивный",$W$59:$W$505,"Рассчитан")=1),"Да","Нет")))</x:f>
      </x:c>
      <x:c r="AF180" s="5"/>
      <x:c r="AG180" s="5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IF(A181="","",IF(U181="","",IF(U181="Выигрыш",J181-1,IF(U181="Полувыигрыш",(J181-1)/2,IF(U181="Возврат",0,IF(U181="Полупроигрыш",-0.5,IF(U181="Поражение",-1,"Проверить результат")))))))</x:f>
      </x:c>
      <x:c r="W181" s="80" t="str">
        <x:f>IF(A181="","",IF(U181="","Открыт",IF(ISNUMBER(V181),"Рассчитан","Проверить результат")))</x:f>
      </x:c>
      <x:c r="X181" s="98"/>
      <x:c r="Y181" s="5"/>
      <x:c r="Z181" s="5"/>
      <x:c r="AA181" s="5"/>
      <x:c r="AB181" s="118"/>
      <x:c r="AC181" s="119"/>
      <x:c r="AD181" s="119"/>
      <x:c r="AE181" s="5" t="str">
        <x:f>IF(A181="","",IF(Z181="","Нет ID пары",IF(AND(COUNTIFS($Z$59:$Z$505,Z181,$Y$59:$Y$505,"Оптимальный",$W$59:$W$505,"Рассчитан")=1,COUNTIFS($Z$59:$Z$505,Z181,$Y$59:$Y$505,"Агрессивный",$W$59:$W$505,"Рассчитан")=1),"Да","Нет")))</x:f>
      </x:c>
      <x:c r="AF181" s="5"/>
      <x:c r="AG181" s="5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IF(A182="","",IF(U182="","",IF(U182="Выигрыш",J182-1,IF(U182="Полувыигрыш",(J182-1)/2,IF(U182="Возврат",0,IF(U182="Полупроигрыш",-0.5,IF(U182="Поражение",-1,"Проверить результат")))))))</x:f>
      </x:c>
      <x:c r="W182" s="80" t="str">
        <x:f>IF(A182="","",IF(U182="","Открыт",IF(ISNUMBER(V182),"Рассчитан","Проверить результат")))</x:f>
      </x:c>
      <x:c r="X182" s="98"/>
      <x:c r="Y182" s="5"/>
      <x:c r="Z182" s="5"/>
      <x:c r="AA182" s="5"/>
      <x:c r="AB182" s="118"/>
      <x:c r="AC182" s="119"/>
      <x:c r="AD182" s="119"/>
      <x:c r="AE182" s="5" t="str">
        <x:f>IF(A182="","",IF(Z182="","Нет ID пары",IF(AND(COUNTIFS($Z$59:$Z$505,Z182,$Y$59:$Y$505,"Оптимальный",$W$59:$W$505,"Рассчитан")=1,COUNTIFS($Z$59:$Z$505,Z182,$Y$59:$Y$505,"Агрессивный",$W$59:$W$505,"Рассчитан")=1),"Да","Нет")))</x:f>
      </x:c>
      <x:c r="AF182" s="5"/>
      <x:c r="AG182" s="5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IF(A183="","",IF(U183="","",IF(U183="Выигрыш",J183-1,IF(U183="Полувыигрыш",(J183-1)/2,IF(U183="Возврат",0,IF(U183="Полупроигрыш",-0.5,IF(U183="Поражение",-1,"Проверить результат")))))))</x:f>
      </x:c>
      <x:c r="W183" s="80" t="str">
        <x:f>IF(A183="","",IF(U183="","Открыт",IF(ISNUMBER(V183),"Рассчитан","Проверить результат")))</x:f>
      </x:c>
      <x:c r="X183" s="98"/>
      <x:c r="Y183" s="5"/>
      <x:c r="Z183" s="5"/>
      <x:c r="AA183" s="5"/>
      <x:c r="AB183" s="118"/>
      <x:c r="AC183" s="119"/>
      <x:c r="AD183" s="119"/>
      <x:c r="AE183" s="5" t="str">
        <x:f>IF(A183="","",IF(Z183="","Нет ID пары",IF(AND(COUNTIFS($Z$59:$Z$505,Z183,$Y$59:$Y$505,"Оптимальный",$W$59:$W$505,"Рассчитан")=1,COUNTIFS($Z$59:$Z$505,Z183,$Y$59:$Y$505,"Агрессивный",$W$59:$W$505,"Рассчитан")=1),"Да","Нет")))</x:f>
      </x:c>
      <x:c r="AF183" s="5"/>
      <x:c r="AG183" s="5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IF(A184="","",IF(U184="","",IF(U184="Выигрыш",J184-1,IF(U184="Полувыигрыш",(J184-1)/2,IF(U184="Возврат",0,IF(U184="Полупроигрыш",-0.5,IF(U184="Поражение",-1,"Проверить результат")))))))</x:f>
      </x:c>
      <x:c r="W184" s="80" t="str">
        <x:f>IF(A184="","",IF(U184="","Открыт",IF(ISNUMBER(V184),"Рассчитан","Проверить результат")))</x:f>
      </x:c>
      <x:c r="X184" s="98"/>
      <x:c r="Y184" s="5"/>
      <x:c r="Z184" s="5"/>
      <x:c r="AA184" s="5"/>
      <x:c r="AB184" s="118"/>
      <x:c r="AC184" s="119"/>
      <x:c r="AD184" s="119"/>
      <x:c r="AE184" s="5" t="str">
        <x:f>IF(A184="","",IF(Z184="","Нет ID пары",IF(AND(COUNTIFS($Z$59:$Z$505,Z184,$Y$59:$Y$505,"Оптимальный",$W$59:$W$505,"Рассчитан")=1,COUNTIFS($Z$59:$Z$505,Z184,$Y$59:$Y$505,"Агрессивный",$W$59:$W$505,"Рассчитан")=1),"Да","Нет")))</x:f>
      </x:c>
      <x:c r="AF184" s="5"/>
      <x:c r="AG184" s="5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IF(A185="","",IF(U185="","",IF(U185="Выигрыш",J185-1,IF(U185="Полувыигрыш",(J185-1)/2,IF(U185="Возврат",0,IF(U185="Полупроигрыш",-0.5,IF(U185="Поражение",-1,"Проверить результат")))))))</x:f>
      </x:c>
      <x:c r="W185" s="80" t="str">
        <x:f>IF(A185="","",IF(U185="","Открыт",IF(ISNUMBER(V185),"Рассчитан","Проверить результат")))</x:f>
      </x:c>
      <x:c r="X185" s="98"/>
      <x:c r="Y185" s="5"/>
      <x:c r="Z185" s="5"/>
      <x:c r="AA185" s="5"/>
      <x:c r="AB185" s="118"/>
      <x:c r="AC185" s="119"/>
      <x:c r="AD185" s="119"/>
      <x:c r="AE185" s="5" t="str">
        <x:f>IF(A185="","",IF(Z185="","Нет ID пары",IF(AND(COUNTIFS($Z$59:$Z$505,Z185,$Y$59:$Y$505,"Оптимальный",$W$59:$W$505,"Рассчитан")=1,COUNTIFS($Z$59:$Z$505,Z185,$Y$59:$Y$505,"Агрессивный",$W$59:$W$505,"Рассчитан")=1),"Да","Нет")))</x:f>
      </x:c>
      <x:c r="AF185" s="5"/>
      <x:c r="AG185" s="5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IF(A186="","",IF(U186="","",IF(U186="Выигрыш",J186-1,IF(U186="Полувыигрыш",(J186-1)/2,IF(U186="Возврат",0,IF(U186="Полупроигрыш",-0.5,IF(U186="Поражение",-1,"Проверить результат")))))))</x:f>
      </x:c>
      <x:c r="W186" s="80" t="str">
        <x:f>IF(A186="","",IF(U186="","Открыт",IF(ISNUMBER(V186),"Рассчитан","Проверить результат")))</x:f>
      </x:c>
      <x:c r="X186" s="98"/>
      <x:c r="Y186" s="5"/>
      <x:c r="Z186" s="5"/>
      <x:c r="AA186" s="5"/>
      <x:c r="AB186" s="118"/>
      <x:c r="AC186" s="119"/>
      <x:c r="AD186" s="119"/>
      <x:c r="AE186" s="5" t="str">
        <x:f>IF(A186="","",IF(Z186="","Нет ID пары",IF(AND(COUNTIFS($Z$59:$Z$505,Z186,$Y$59:$Y$505,"Оптимальный",$W$59:$W$505,"Рассчитан")=1,COUNTIFS($Z$59:$Z$505,Z186,$Y$59:$Y$505,"Агрессивный",$W$59:$W$505,"Рассчитан")=1),"Да","Нет")))</x:f>
      </x:c>
      <x:c r="AF186" s="5"/>
      <x:c r="AG186" s="5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IF(A187="","",IF(U187="","",IF(U187="Выигрыш",J187-1,IF(U187="Полувыигрыш",(J187-1)/2,IF(U187="Возврат",0,IF(U187="Полупроигрыш",-0.5,IF(U187="Поражение",-1,"Проверить результат")))))))</x:f>
      </x:c>
      <x:c r="W187" s="80" t="str">
        <x:f>IF(A187="","",IF(U187="","Открыт",IF(ISNUMBER(V187),"Рассчитан","Проверить результат")))</x:f>
      </x:c>
      <x:c r="X187" s="98"/>
      <x:c r="Y187" s="5"/>
      <x:c r="Z187" s="5"/>
      <x:c r="AA187" s="5"/>
      <x:c r="AB187" s="118"/>
      <x:c r="AC187" s="119"/>
      <x:c r="AD187" s="119"/>
      <x:c r="AE187" s="5" t="str">
        <x:f>IF(A187="","",IF(Z187="","Нет ID пары",IF(AND(COUNTIFS($Z$59:$Z$505,Z187,$Y$59:$Y$505,"Оптимальный",$W$59:$W$505,"Рассчитан")=1,COUNTIFS($Z$59:$Z$505,Z187,$Y$59:$Y$505,"Агрессивный",$W$59:$W$505,"Рассчитан")=1),"Да","Нет")))</x:f>
      </x:c>
      <x:c r="AF187" s="5"/>
      <x:c r="AG187" s="5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IF(A188="","",IF(U188="","",IF(U188="Выигрыш",J188-1,IF(U188="Полувыигрыш",(J188-1)/2,IF(U188="Возврат",0,IF(U188="Полупроигрыш",-0.5,IF(U188="Поражение",-1,"Проверить результат")))))))</x:f>
      </x:c>
      <x:c r="W188" s="80" t="str">
        <x:f>IF(A188="","",IF(U188="","Открыт",IF(ISNUMBER(V188),"Рассчитан","Проверить результат")))</x:f>
      </x:c>
      <x:c r="X188" s="98"/>
      <x:c r="Y188" s="5"/>
      <x:c r="Z188" s="5"/>
      <x:c r="AA188" s="5"/>
      <x:c r="AB188" s="118"/>
      <x:c r="AC188" s="119"/>
      <x:c r="AD188" s="119"/>
      <x:c r="AE188" s="5" t="str">
        <x:f>IF(A188="","",IF(Z188="","Нет ID пары",IF(AND(COUNTIFS($Z$59:$Z$505,Z188,$Y$59:$Y$505,"Оптимальный",$W$59:$W$505,"Рассчитан")=1,COUNTIFS($Z$59:$Z$505,Z188,$Y$59:$Y$505,"Агрессивный",$W$59:$W$505,"Рассчитан")=1),"Да","Нет")))</x:f>
      </x:c>
      <x:c r="AF188" s="5"/>
      <x:c r="AG188" s="5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IF(A189="","",IF(U189="","",IF(U189="Выигрыш",J189-1,IF(U189="Полувыигрыш",(J189-1)/2,IF(U189="Возврат",0,IF(U189="Полупроигрыш",-0.5,IF(U189="Поражение",-1,"Проверить результат")))))))</x:f>
      </x:c>
      <x:c r="W189" s="80" t="str">
        <x:f>IF(A189="","",IF(U189="","Открыт",IF(ISNUMBER(V189),"Рассчитан","Проверить результат")))</x:f>
      </x:c>
      <x:c r="X189" s="98"/>
      <x:c r="Y189" s="5"/>
      <x:c r="Z189" s="5"/>
      <x:c r="AA189" s="5"/>
      <x:c r="AB189" s="118"/>
      <x:c r="AC189" s="119"/>
      <x:c r="AD189" s="119"/>
      <x:c r="AE189" s="5" t="str">
        <x:f>IF(A189="","",IF(Z189="","Нет ID пары",IF(AND(COUNTIFS($Z$59:$Z$505,Z189,$Y$59:$Y$505,"Оптимальный",$W$59:$W$505,"Рассчитан")=1,COUNTIFS($Z$59:$Z$505,Z189,$Y$59:$Y$505,"Агрессивный",$W$59:$W$505,"Рассчитан")=1),"Да","Нет")))</x:f>
      </x:c>
      <x:c r="AF189" s="5"/>
      <x:c r="AG189" s="5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IF(A190="","",IF(U190="","",IF(U190="Выигрыш",J190-1,IF(U190="Полувыигрыш",(J190-1)/2,IF(U190="Возврат",0,IF(U190="Полупроигрыш",-0.5,IF(U190="Поражение",-1,"Проверить результат")))))))</x:f>
      </x:c>
      <x:c r="W190" s="80" t="str">
        <x:f>IF(A190="","",IF(U190="","Открыт",IF(ISNUMBER(V190),"Рассчитан","Проверить результат")))</x:f>
      </x:c>
      <x:c r="X190" s="98"/>
      <x:c r="Y190" s="5"/>
      <x:c r="Z190" s="5"/>
      <x:c r="AA190" s="5"/>
      <x:c r="AB190" s="118"/>
      <x:c r="AC190" s="119"/>
      <x:c r="AD190" s="119"/>
      <x:c r="AE190" s="5" t="str">
        <x:f>IF(A190="","",IF(Z190="","Нет ID пары",IF(AND(COUNTIFS($Z$59:$Z$505,Z190,$Y$59:$Y$505,"Оптимальный",$W$59:$W$505,"Рассчитан")=1,COUNTIFS($Z$59:$Z$505,Z190,$Y$59:$Y$505,"Агрессивный",$W$59:$W$505,"Рассчитан")=1),"Да","Нет")))</x:f>
      </x:c>
      <x:c r="AF190" s="5"/>
      <x:c r="AG190" s="5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IF(A191="","",IF(U191="","",IF(U191="Выигрыш",J191-1,IF(U191="Полувыигрыш",(J191-1)/2,IF(U191="Возврат",0,IF(U191="Полупроигрыш",-0.5,IF(U191="Поражение",-1,"Проверить результат")))))))</x:f>
      </x:c>
      <x:c r="W191" s="80" t="str">
        <x:f>IF(A191="","",IF(U191="","Открыт",IF(ISNUMBER(V191),"Рассчитан","Проверить результат")))</x:f>
      </x:c>
      <x:c r="X191" s="98"/>
      <x:c r="Y191" s="5"/>
      <x:c r="Z191" s="5"/>
      <x:c r="AA191" s="5"/>
      <x:c r="AB191" s="118"/>
      <x:c r="AC191" s="119"/>
      <x:c r="AD191" s="119"/>
      <x:c r="AE191" s="5" t="str">
        <x:f>IF(A191="","",IF(Z191="","Нет ID пары",IF(AND(COUNTIFS($Z$59:$Z$505,Z191,$Y$59:$Y$505,"Оптимальный",$W$59:$W$505,"Рассчитан")=1,COUNTIFS($Z$59:$Z$505,Z191,$Y$59:$Y$505,"Агрессивный",$W$59:$W$505,"Рассчитан")=1),"Да","Нет")))</x:f>
      </x:c>
      <x:c r="AF191" s="5"/>
      <x:c r="AG191" s="5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IF(A192="","",IF(U192="","",IF(U192="Выигрыш",J192-1,IF(U192="Полувыигрыш",(J192-1)/2,IF(U192="Возврат",0,IF(U192="Полупроигрыш",-0.5,IF(U192="Поражение",-1,"Проверить результат")))))))</x:f>
      </x:c>
      <x:c r="W192" s="80" t="str">
        <x:f>IF(A192="","",IF(U192="","Открыт",IF(ISNUMBER(V192),"Рассчитан","Проверить результат")))</x:f>
      </x:c>
      <x:c r="X192" s="98"/>
      <x:c r="Y192" s="5"/>
      <x:c r="Z192" s="5"/>
      <x:c r="AA192" s="5"/>
      <x:c r="AB192" s="118"/>
      <x:c r="AC192" s="119"/>
      <x:c r="AD192" s="119"/>
      <x:c r="AE192" s="5" t="str">
        <x:f>IF(A192="","",IF(Z192="","Нет ID пары",IF(AND(COUNTIFS($Z$59:$Z$505,Z192,$Y$59:$Y$505,"Оптимальный",$W$59:$W$505,"Рассчитан")=1,COUNTIFS($Z$59:$Z$505,Z192,$Y$59:$Y$505,"Агрессивный",$W$59:$W$505,"Рассчитан")=1),"Да","Нет")))</x:f>
      </x:c>
      <x:c r="AF192" s="5"/>
      <x:c r="AG192" s="5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IF(A193="","",IF(U193="","",IF(U193="Выигрыш",J193-1,IF(U193="Полувыигрыш",(J193-1)/2,IF(U193="Возврат",0,IF(U193="Полупроигрыш",-0.5,IF(U193="Поражение",-1,"Проверить результат")))))))</x:f>
      </x:c>
      <x:c r="W193" s="80" t="str">
        <x:f>IF(A193="","",IF(U193="","Открыт",IF(ISNUMBER(V193),"Рассчитан","Проверить результат")))</x:f>
      </x:c>
      <x:c r="X193" s="98"/>
      <x:c r="Y193" s="5"/>
      <x:c r="Z193" s="5"/>
      <x:c r="AA193" s="5"/>
      <x:c r="AB193" s="118"/>
      <x:c r="AC193" s="119"/>
      <x:c r="AD193" s="119"/>
      <x:c r="AE193" s="5" t="str">
        <x:f>IF(A193="","",IF(Z193="","Нет ID пары",IF(AND(COUNTIFS($Z$59:$Z$505,Z193,$Y$59:$Y$505,"Оптимальный",$W$59:$W$505,"Рассчитан")=1,COUNTIFS($Z$59:$Z$505,Z193,$Y$59:$Y$505,"Агрессивный",$W$59:$W$505,"Рассчитан")=1),"Да","Нет")))</x:f>
      </x:c>
      <x:c r="AF193" s="5"/>
      <x:c r="AG193" s="5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IF(A194="","",IF(U194="","",IF(U194="Выигрыш",J194-1,IF(U194="Полувыигрыш",(J194-1)/2,IF(U194="Возврат",0,IF(U194="Полупроигрыш",-0.5,IF(U194="Поражение",-1,"Проверить результат")))))))</x:f>
      </x:c>
      <x:c r="W194" s="80" t="str">
        <x:f>IF(A194="","",IF(U194="","Открыт",IF(ISNUMBER(V194),"Рассчитан","Проверить результат")))</x:f>
      </x:c>
      <x:c r="X194" s="98"/>
      <x:c r="Y194" s="5"/>
      <x:c r="Z194" s="5"/>
      <x:c r="AA194" s="5"/>
      <x:c r="AB194" s="118"/>
      <x:c r="AC194" s="119"/>
      <x:c r="AD194" s="119"/>
      <x:c r="AE194" s="5" t="str">
        <x:f>IF(A194="","",IF(Z194="","Нет ID пары",IF(AND(COUNTIFS($Z$59:$Z$505,Z194,$Y$59:$Y$505,"Оптимальный",$W$59:$W$505,"Рассчитан")=1,COUNTIFS($Z$59:$Z$505,Z194,$Y$59:$Y$505,"Агрессивный",$W$59:$W$505,"Рассчитан")=1),"Да","Нет")))</x:f>
      </x:c>
      <x:c r="AF194" s="5"/>
      <x:c r="AG194" s="5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IF(A195="","",IF(U195="","",IF(U195="Выигрыш",J195-1,IF(U195="Полувыигрыш",(J195-1)/2,IF(U195="Возврат",0,IF(U195="Полупроигрыш",-0.5,IF(U195="Поражение",-1,"Проверить результат")))))))</x:f>
      </x:c>
      <x:c r="W195" s="80" t="str">
        <x:f>IF(A195="","",IF(U195="","Открыт",IF(ISNUMBER(V195),"Рассчитан","Проверить результат")))</x:f>
      </x:c>
      <x:c r="X195" s="98"/>
      <x:c r="Y195" s="5"/>
      <x:c r="Z195" s="5"/>
      <x:c r="AA195" s="5"/>
      <x:c r="AB195" s="118"/>
      <x:c r="AC195" s="119"/>
      <x:c r="AD195" s="119"/>
      <x:c r="AE195" s="5" t="str">
        <x:f>IF(A195="","",IF(Z195="","Нет ID пары",IF(AND(COUNTIFS($Z$59:$Z$505,Z195,$Y$59:$Y$505,"Оптимальный",$W$59:$W$505,"Рассчитан")=1,COUNTIFS($Z$59:$Z$505,Z195,$Y$59:$Y$505,"Агрессивный",$W$59:$W$505,"Рассчитан")=1),"Да","Нет")))</x:f>
      </x:c>
      <x:c r="AF195" s="5"/>
      <x:c r="AG195" s="5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IF(A196="","",IF(U196="","",IF(U196="Выигрыш",J196-1,IF(U196="Полувыигрыш",(J196-1)/2,IF(U196="Возврат",0,IF(U196="Полупроигрыш",-0.5,IF(U196="Поражение",-1,"Проверить результат")))))))</x:f>
      </x:c>
      <x:c r="W196" s="80" t="str">
        <x:f>IF(A196="","",IF(U196="","Открыт",IF(ISNUMBER(V196),"Рассчитан","Проверить результат")))</x:f>
      </x:c>
      <x:c r="X196" s="98"/>
      <x:c r="Y196" s="5"/>
      <x:c r="Z196" s="5"/>
      <x:c r="AA196" s="5"/>
      <x:c r="AB196" s="118"/>
      <x:c r="AC196" s="119"/>
      <x:c r="AD196" s="119"/>
      <x:c r="AE196" s="5" t="str">
        <x:f>IF(A196="","",IF(Z196="","Нет ID пары",IF(AND(COUNTIFS($Z$59:$Z$505,Z196,$Y$59:$Y$505,"Оптимальный",$W$59:$W$505,"Рассчитан")=1,COUNTIFS($Z$59:$Z$505,Z196,$Y$59:$Y$505,"Агрессивный",$W$59:$W$505,"Рассчитан")=1),"Да","Нет")))</x:f>
      </x:c>
      <x:c r="AF196" s="5"/>
      <x:c r="AG196" s="5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IF(A197="","",IF(U197="","",IF(U197="Выигрыш",J197-1,IF(U197="Полувыигрыш",(J197-1)/2,IF(U197="Возврат",0,IF(U197="Полупроигрыш",-0.5,IF(U197="Поражение",-1,"Проверить результат")))))))</x:f>
      </x:c>
      <x:c r="W197" s="80" t="str">
        <x:f>IF(A197="","",IF(U197="","Открыт",IF(ISNUMBER(V197),"Рассчитан","Проверить результат")))</x:f>
      </x:c>
      <x:c r="X197" s="98"/>
      <x:c r="Y197" s="5"/>
      <x:c r="Z197" s="5"/>
      <x:c r="AA197" s="5"/>
      <x:c r="AB197" s="118"/>
      <x:c r="AC197" s="119"/>
      <x:c r="AD197" s="119"/>
      <x:c r="AE197" s="5" t="str">
        <x:f>IF(A197="","",IF(Z197="","Нет ID пары",IF(AND(COUNTIFS($Z$59:$Z$505,Z197,$Y$59:$Y$505,"Оптимальный",$W$59:$W$505,"Рассчитан")=1,COUNTIFS($Z$59:$Z$505,Z197,$Y$59:$Y$505,"Агрессивный",$W$59:$W$505,"Рассчитан")=1),"Да","Нет")))</x:f>
      </x:c>
      <x:c r="AF197" s="5"/>
      <x:c r="AG197" s="5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IF(A198="","",IF(U198="","",IF(U198="Выигрыш",J198-1,IF(U198="Полувыигрыш",(J198-1)/2,IF(U198="Возврат",0,IF(U198="Полупроигрыш",-0.5,IF(U198="Поражение",-1,"Проверить результат")))))))</x:f>
      </x:c>
      <x:c r="W198" s="80" t="str">
        <x:f>IF(A198="","",IF(U198="","Открыт",IF(ISNUMBER(V198),"Рассчитан","Проверить результат")))</x:f>
      </x:c>
      <x:c r="X198" s="98"/>
      <x:c r="Y198" s="5"/>
      <x:c r="Z198" s="5"/>
      <x:c r="AA198" s="5"/>
      <x:c r="AB198" s="118"/>
      <x:c r="AC198" s="119"/>
      <x:c r="AD198" s="119"/>
      <x:c r="AE198" s="5" t="str">
        <x:f>IF(A198="","",IF(Z198="","Нет ID пары",IF(AND(COUNTIFS($Z$59:$Z$505,Z198,$Y$59:$Y$505,"Оптимальный",$W$59:$W$505,"Рассчитан")=1,COUNTIFS($Z$59:$Z$505,Z198,$Y$59:$Y$505,"Агрессивный",$W$59:$W$505,"Рассчитан")=1),"Да","Нет")))</x:f>
      </x:c>
      <x:c r="AF198" s="5"/>
      <x:c r="AG198" s="5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IF(A199="","",IF(U199="","",IF(U199="Выигрыш",J199-1,IF(U199="Полувыигрыш",(J199-1)/2,IF(U199="Возврат",0,IF(U199="Полупроигрыш",-0.5,IF(U199="Поражение",-1,"Проверить результат")))))))</x:f>
      </x:c>
      <x:c r="W199" s="80" t="str">
        <x:f>IF(A199="","",IF(U199="","Открыт",IF(ISNUMBER(V199),"Рассчитан","Проверить результат")))</x:f>
      </x:c>
      <x:c r="X199" s="98"/>
      <x:c r="Y199" s="5"/>
      <x:c r="Z199" s="5"/>
      <x:c r="AA199" s="5"/>
      <x:c r="AB199" s="118"/>
      <x:c r="AC199" s="119"/>
      <x:c r="AD199" s="119"/>
      <x:c r="AE199" s="5" t="str">
        <x:f>IF(A199="","",IF(Z199="","Нет ID пары",IF(AND(COUNTIFS($Z$59:$Z$505,Z199,$Y$59:$Y$505,"Оптимальный",$W$59:$W$505,"Рассчитан")=1,COUNTIFS($Z$59:$Z$505,Z199,$Y$59:$Y$505,"Агрессивный",$W$59:$W$505,"Рассчитан")=1),"Да","Нет")))</x:f>
      </x:c>
      <x:c r="AF199" s="5"/>
      <x:c r="AG199" s="5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IF(A200="","",IF(U200="","",IF(U200="Выигрыш",J200-1,IF(U200="Полувыигрыш",(J200-1)/2,IF(U200="Возврат",0,IF(U200="Полупроигрыш",-0.5,IF(U200="Поражение",-1,"Проверить результат")))))))</x:f>
      </x:c>
      <x:c r="W200" s="80" t="str">
        <x:f>IF(A200="","",IF(U200="","Открыт",IF(ISNUMBER(V200),"Рассчитан","Проверить результат")))</x:f>
      </x:c>
      <x:c r="X200" s="98"/>
      <x:c r="Y200" s="5"/>
      <x:c r="Z200" s="5"/>
      <x:c r="AA200" s="5"/>
      <x:c r="AB200" s="118"/>
      <x:c r="AC200" s="119"/>
      <x:c r="AD200" s="119"/>
      <x:c r="AE200" s="5" t="str">
        <x:f>IF(A200="","",IF(Z200="","Нет ID пары",IF(AND(COUNTIFS($Z$59:$Z$505,Z200,$Y$59:$Y$505,"Оптимальный",$W$59:$W$505,"Рассчитан")=1,COUNTIFS($Z$59:$Z$505,Z200,$Y$59:$Y$505,"Агрессивный",$W$59:$W$505,"Рассчитан")=1),"Да","Нет")))</x:f>
      </x:c>
      <x:c r="AF200" s="5"/>
      <x:c r="AG200" s="5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IF(A201="","",IF(U201="","",IF(U201="Выигрыш",J201-1,IF(U201="Полувыигрыш",(J201-1)/2,IF(U201="Возврат",0,IF(U201="Полупроигрыш",-0.5,IF(U201="Поражение",-1,"Проверить результат")))))))</x:f>
      </x:c>
      <x:c r="W201" s="80" t="str">
        <x:f>IF(A201="","",IF(U201="","Открыт",IF(ISNUMBER(V201),"Рассчитан","Проверить результат")))</x:f>
      </x:c>
      <x:c r="X201" s="98"/>
      <x:c r="Y201" s="5"/>
      <x:c r="Z201" s="5"/>
      <x:c r="AA201" s="5"/>
      <x:c r="AB201" s="118"/>
      <x:c r="AC201" s="119"/>
      <x:c r="AD201" s="119"/>
      <x:c r="AE201" s="5" t="str">
        <x:f>IF(A201="","",IF(Z201="","Нет ID пары",IF(AND(COUNTIFS($Z$59:$Z$505,Z201,$Y$59:$Y$505,"Оптимальный",$W$59:$W$505,"Рассчитан")=1,COUNTIFS($Z$59:$Z$505,Z201,$Y$59:$Y$505,"Агрессивный",$W$59:$W$505,"Рассчитан")=1),"Да","Нет")))</x:f>
      </x:c>
      <x:c r="AF201" s="5"/>
      <x:c r="AG201" s="5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IF(A202="","",IF(U202="","",IF(U202="Выигрыш",J202-1,IF(U202="Полувыигрыш",(J202-1)/2,IF(U202="Возврат",0,IF(U202="Полупроигрыш",-0.5,IF(U202="Поражение",-1,"Проверить результат")))))))</x:f>
      </x:c>
      <x:c r="W202" s="80" t="str">
        <x:f>IF(A202="","",IF(U202="","Открыт",IF(ISNUMBER(V202),"Рассчитан","Проверить результат")))</x:f>
      </x:c>
      <x:c r="X202" s="98"/>
      <x:c r="Y202" s="5"/>
      <x:c r="Z202" s="5"/>
      <x:c r="AA202" s="5"/>
      <x:c r="AB202" s="118"/>
      <x:c r="AC202" s="119"/>
      <x:c r="AD202" s="119"/>
      <x:c r="AE202" s="5" t="str">
        <x:f>IF(A202="","",IF(Z202="","Нет ID пары",IF(AND(COUNTIFS($Z$59:$Z$505,Z202,$Y$59:$Y$505,"Оптимальный",$W$59:$W$505,"Рассчитан")=1,COUNTIFS($Z$59:$Z$505,Z202,$Y$59:$Y$505,"Агрессивный",$W$59:$W$505,"Рассчитан")=1),"Да","Нет")))</x:f>
      </x:c>
      <x:c r="AF202" s="5"/>
      <x:c r="AG202" s="5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IF(A203="","",IF(U203="","",IF(U203="Выигрыш",J203-1,IF(U203="Полувыигрыш",(J203-1)/2,IF(U203="Возврат",0,IF(U203="Полупроигрыш",-0.5,IF(U203="Поражение",-1,"Проверить результат")))))))</x:f>
      </x:c>
      <x:c r="W203" s="80" t="str">
        <x:f>IF(A203="","",IF(U203="","Открыт",IF(ISNUMBER(V203),"Рассчитан","Проверить результат")))</x:f>
      </x:c>
      <x:c r="X203" s="98"/>
      <x:c r="Y203" s="5"/>
      <x:c r="Z203" s="5"/>
      <x:c r="AA203" s="5"/>
      <x:c r="AB203" s="118"/>
      <x:c r="AC203" s="119"/>
      <x:c r="AD203" s="119"/>
      <x:c r="AE203" s="5" t="str">
        <x:f>IF(A203="","",IF(Z203="","Нет ID пары",IF(AND(COUNTIFS($Z$59:$Z$505,Z203,$Y$59:$Y$505,"Оптимальный",$W$59:$W$505,"Рассчитан")=1,COUNTIFS($Z$59:$Z$505,Z203,$Y$59:$Y$505,"Агрессивный",$W$59:$W$505,"Рассчитан")=1),"Да","Нет")))</x:f>
      </x:c>
      <x:c r="AF203" s="5"/>
      <x:c r="AG203" s="5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IF(A204="","",IF(U204="","",IF(U204="Выигрыш",J204-1,IF(U204="Полувыигрыш",(J204-1)/2,IF(U204="Возврат",0,IF(U204="Полупроигрыш",-0.5,IF(U204="Поражение",-1,"Проверить результат")))))))</x:f>
      </x:c>
      <x:c r="W204" s="80" t="str">
        <x:f>IF(A204="","",IF(U204="","Открыт",IF(ISNUMBER(V204),"Рассчитан","Проверить результат")))</x:f>
      </x:c>
      <x:c r="X204" s="98"/>
      <x:c r="Y204" s="5"/>
      <x:c r="Z204" s="5"/>
      <x:c r="AA204" s="5"/>
      <x:c r="AB204" s="118"/>
      <x:c r="AC204" s="119"/>
      <x:c r="AD204" s="119"/>
      <x:c r="AE204" s="5" t="str">
        <x:f>IF(A204="","",IF(Z204="","Нет ID пары",IF(AND(COUNTIFS($Z$59:$Z$505,Z204,$Y$59:$Y$505,"Оптимальный",$W$59:$W$505,"Рассчитан")=1,COUNTIFS($Z$59:$Z$505,Z204,$Y$59:$Y$505,"Агрессивный",$W$59:$W$505,"Рассчитан")=1),"Да","Нет")))</x:f>
      </x:c>
      <x:c r="AF204" s="5"/>
      <x:c r="AG204" s="5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IF(A205="","",IF(U205="","",IF(U205="Выигрыш",J205-1,IF(U205="Полувыигрыш",(J205-1)/2,IF(U205="Возврат",0,IF(U205="Полупроигрыш",-0.5,IF(U205="Поражение",-1,"Проверить результат")))))))</x:f>
      </x:c>
      <x:c r="W205" s="80" t="str">
        <x:f>IF(A205="","",IF(U205="","Открыт",IF(ISNUMBER(V205),"Рассчитан","Проверить результат")))</x:f>
      </x:c>
      <x:c r="X205" s="98"/>
      <x:c r="Y205" s="5"/>
      <x:c r="Z205" s="5"/>
      <x:c r="AA205" s="5"/>
      <x:c r="AB205" s="118"/>
      <x:c r="AC205" s="119"/>
      <x:c r="AD205" s="119"/>
      <x:c r="AE205" s="5" t="str">
        <x:f>IF(A205="","",IF(Z205="","Нет ID пары",IF(AND(COUNTIFS($Z$59:$Z$505,Z205,$Y$59:$Y$505,"Оптимальный",$W$59:$W$505,"Рассчитан")=1,COUNTIFS($Z$59:$Z$505,Z205,$Y$59:$Y$505,"Агрессивный",$W$59:$W$505,"Рассчитан")=1),"Да","Нет")))</x:f>
      </x:c>
      <x:c r="AF205" s="5"/>
      <x:c r="AG205" s="5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IF(A206="","",IF(U206="","",IF(U206="Выигрыш",J206-1,IF(U206="Полувыигрыш",(J206-1)/2,IF(U206="Возврат",0,IF(U206="Полупроигрыш",-0.5,IF(U206="Поражение",-1,"Проверить результат")))))))</x:f>
      </x:c>
      <x:c r="W206" s="80" t="str">
        <x:f>IF(A206="","",IF(U206="","Открыт",IF(ISNUMBER(V206),"Рассчитан","Проверить результат")))</x:f>
      </x:c>
      <x:c r="X206" s="98"/>
      <x:c r="Y206" s="5"/>
      <x:c r="Z206" s="5"/>
      <x:c r="AA206" s="5"/>
      <x:c r="AB206" s="118"/>
      <x:c r="AC206" s="119"/>
      <x:c r="AD206" s="119"/>
      <x:c r="AE206" s="5" t="str">
        <x:f>IF(A206="","",IF(Z206="","Нет ID пары",IF(AND(COUNTIFS($Z$59:$Z$505,Z206,$Y$59:$Y$505,"Оптимальный",$W$59:$W$505,"Рассчитан")=1,COUNTIFS($Z$59:$Z$505,Z206,$Y$59:$Y$505,"Агрессивный",$W$59:$W$505,"Рассчитан")=1),"Да","Нет")))</x:f>
      </x:c>
      <x:c r="AF206" s="5"/>
      <x:c r="AG206" s="5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IF(A207="","",IF(U207="","",IF(U207="Выигрыш",J207-1,IF(U207="Полувыигрыш",(J207-1)/2,IF(U207="Возврат",0,IF(U207="Полупроигрыш",-0.5,IF(U207="Поражение",-1,"Проверить результат")))))))</x:f>
      </x:c>
      <x:c r="W207" s="80" t="str">
        <x:f>IF(A207="","",IF(U207="","Открыт",IF(ISNUMBER(V207),"Рассчитан","Проверить результат")))</x:f>
      </x:c>
      <x:c r="X207" s="98"/>
      <x:c r="Y207" s="5"/>
      <x:c r="Z207" s="5"/>
      <x:c r="AA207" s="5"/>
      <x:c r="AB207" s="118"/>
      <x:c r="AC207" s="119"/>
      <x:c r="AD207" s="119"/>
      <x:c r="AE207" s="5" t="str">
        <x:f>IF(A207="","",IF(Z207="","Нет ID пары",IF(AND(COUNTIFS($Z$59:$Z$505,Z207,$Y$59:$Y$505,"Оптимальный",$W$59:$W$505,"Рассчитан")=1,COUNTIFS($Z$59:$Z$505,Z207,$Y$59:$Y$505,"Агрессивный",$W$59:$W$505,"Рассчитан")=1),"Да","Нет")))</x:f>
      </x:c>
      <x:c r="AF207" s="5"/>
      <x:c r="AG207" s="5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IF(A208="","",IF(U208="","",IF(U208="Выигрыш",J208-1,IF(U208="Полувыигрыш",(J208-1)/2,IF(U208="Возврат",0,IF(U208="Полупроигрыш",-0.5,IF(U208="Поражение",-1,"Проверить результат")))))))</x:f>
      </x:c>
      <x:c r="W208" s="80" t="str">
        <x:f>IF(A208="","",IF(U208="","Открыт",IF(ISNUMBER(V208),"Рассчитан","Проверить результат")))</x:f>
      </x:c>
      <x:c r="X208" s="98"/>
      <x:c r="Y208" s="5"/>
      <x:c r="Z208" s="5"/>
      <x:c r="AA208" s="5"/>
      <x:c r="AB208" s="118"/>
      <x:c r="AC208" s="119"/>
      <x:c r="AD208" s="119"/>
      <x:c r="AE208" s="5" t="str">
        <x:f>IF(A208="","",IF(Z208="","Нет ID пары",IF(AND(COUNTIFS($Z$59:$Z$505,Z208,$Y$59:$Y$505,"Оптимальный",$W$59:$W$505,"Рассчитан")=1,COUNTIFS($Z$59:$Z$505,Z208,$Y$59:$Y$505,"Агрессивный",$W$59:$W$505,"Рассчитан")=1),"Да","Нет")))</x:f>
      </x:c>
      <x:c r="AF208" s="5"/>
      <x:c r="AG208" s="5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IF(A209="","",IF(U209="","",IF(U209="Выигрыш",J209-1,IF(U209="Полувыигрыш",(J209-1)/2,IF(U209="Возврат",0,IF(U209="Полупроигрыш",-0.5,IF(U209="Поражение",-1,"Проверить результат")))))))</x:f>
      </x:c>
      <x:c r="W209" s="80" t="str">
        <x:f>IF(A209="","",IF(U209="","Открыт",IF(ISNUMBER(V209),"Рассчитан","Проверить результат")))</x:f>
      </x:c>
      <x:c r="X209" s="98"/>
      <x:c r="Y209" s="5"/>
      <x:c r="Z209" s="5"/>
      <x:c r="AA209" s="5"/>
      <x:c r="AB209" s="118"/>
      <x:c r="AC209" s="119"/>
      <x:c r="AD209" s="119"/>
      <x:c r="AE209" s="5" t="str">
        <x:f>IF(A209="","",IF(Z209="","Нет ID пары",IF(AND(COUNTIFS($Z$59:$Z$505,Z209,$Y$59:$Y$505,"Оптимальный",$W$59:$W$505,"Рассчитан")=1,COUNTIFS($Z$59:$Z$505,Z209,$Y$59:$Y$505,"Агрессивный",$W$59:$W$505,"Рассчитан")=1),"Да","Нет")))</x:f>
      </x:c>
      <x:c r="AF209" s="5"/>
      <x:c r="AG209" s="5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IF(A210="","",IF(U210="","",IF(U210="Выигрыш",J210-1,IF(U210="Полувыигрыш",(J210-1)/2,IF(U210="Возврат",0,IF(U210="Полупроигрыш",-0.5,IF(U210="Поражение",-1,"Проверить результат")))))))</x:f>
      </x:c>
      <x:c r="W210" s="80" t="str">
        <x:f>IF(A210="","",IF(U210="","Открыт",IF(ISNUMBER(V210),"Рассчитан","Проверить результат")))</x:f>
      </x:c>
      <x:c r="X210" s="98"/>
      <x:c r="Y210" s="5"/>
      <x:c r="Z210" s="5"/>
      <x:c r="AA210" s="5"/>
      <x:c r="AB210" s="118"/>
      <x:c r="AC210" s="119"/>
      <x:c r="AD210" s="119"/>
      <x:c r="AE210" s="5" t="str">
        <x:f>IF(A210="","",IF(Z210="","Нет ID пары",IF(AND(COUNTIFS($Z$59:$Z$505,Z210,$Y$59:$Y$505,"Оптимальный",$W$59:$W$505,"Рассчитан")=1,COUNTIFS($Z$59:$Z$505,Z210,$Y$59:$Y$505,"Агрессивный",$W$59:$W$505,"Рассчитан")=1),"Да","Нет")))</x:f>
      </x:c>
      <x:c r="AF210" s="5"/>
      <x:c r="AG210" s="5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IF(A211="","",IF(U211="","",IF(U211="Выигрыш",J211-1,IF(U211="Полувыигрыш",(J211-1)/2,IF(U211="Возврат",0,IF(U211="Полупроигрыш",-0.5,IF(U211="Поражение",-1,"Проверить результат")))))))</x:f>
      </x:c>
      <x:c r="W211" s="80" t="str">
        <x:f>IF(A211="","",IF(U211="","Открыт",IF(ISNUMBER(V211),"Рассчитан","Проверить результат")))</x:f>
      </x:c>
      <x:c r="X211" s="98"/>
      <x:c r="Y211" s="5"/>
      <x:c r="Z211" s="5"/>
      <x:c r="AA211" s="5"/>
      <x:c r="AB211" s="118"/>
      <x:c r="AC211" s="119"/>
      <x:c r="AD211" s="119"/>
      <x:c r="AE211" s="5" t="str">
        <x:f>IF(A211="","",IF(Z211="","Нет ID пары",IF(AND(COUNTIFS($Z$59:$Z$505,Z211,$Y$59:$Y$505,"Оптимальный",$W$59:$W$505,"Рассчитан")=1,COUNTIFS($Z$59:$Z$505,Z211,$Y$59:$Y$505,"Агрессивный",$W$59:$W$505,"Рассчитан")=1),"Да","Нет")))</x:f>
      </x:c>
      <x:c r="AF211" s="5"/>
      <x:c r="AG211" s="5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IF(A212="","",IF(U212="","",IF(U212="Выигрыш",J212-1,IF(U212="Полувыигрыш",(J212-1)/2,IF(U212="Возврат",0,IF(U212="Полупроигрыш",-0.5,IF(U212="Поражение",-1,"Проверить результат")))))))</x:f>
      </x:c>
      <x:c r="W212" s="80" t="str">
        <x:f>IF(A212="","",IF(U212="","Открыт",IF(ISNUMBER(V212),"Рассчитан","Проверить результат")))</x:f>
      </x:c>
      <x:c r="X212" s="98"/>
      <x:c r="Y212" s="5"/>
      <x:c r="Z212" s="5"/>
      <x:c r="AA212" s="5"/>
      <x:c r="AB212" s="118"/>
      <x:c r="AC212" s="119"/>
      <x:c r="AD212" s="119"/>
      <x:c r="AE212" s="5" t="str">
        <x:f>IF(A212="","",IF(Z212="","Нет ID пары",IF(AND(COUNTIFS($Z$59:$Z$505,Z212,$Y$59:$Y$505,"Оптимальный",$W$59:$W$505,"Рассчитан")=1,COUNTIFS($Z$59:$Z$505,Z212,$Y$59:$Y$505,"Агрессивный",$W$59:$W$505,"Рассчитан")=1),"Да","Нет")))</x:f>
      </x:c>
      <x:c r="AF212" s="5"/>
      <x:c r="AG212" s="5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IF(A213="","",IF(U213="","",IF(U213="Выигрыш",J213-1,IF(U213="Полувыигрыш",(J213-1)/2,IF(U213="Возврат",0,IF(U213="Полупроигрыш",-0.5,IF(U213="Поражение",-1,"Проверить результат")))))))</x:f>
      </x:c>
      <x:c r="W213" s="80" t="str">
        <x:f>IF(A213="","",IF(U213="","Открыт",IF(ISNUMBER(V213),"Рассчитан","Проверить результат")))</x:f>
      </x:c>
      <x:c r="X213" s="98"/>
      <x:c r="Y213" s="5"/>
      <x:c r="Z213" s="5"/>
      <x:c r="AA213" s="5"/>
      <x:c r="AB213" s="118"/>
      <x:c r="AC213" s="119"/>
      <x:c r="AD213" s="119"/>
      <x:c r="AE213" s="5" t="str">
        <x:f>IF(A213="","",IF(Z213="","Нет ID пары",IF(AND(COUNTIFS($Z$59:$Z$505,Z213,$Y$59:$Y$505,"Оптимальный",$W$59:$W$505,"Рассчитан")=1,COUNTIFS($Z$59:$Z$505,Z213,$Y$59:$Y$505,"Агрессивный",$W$59:$W$505,"Рассчитан")=1),"Да","Нет")))</x:f>
      </x:c>
      <x:c r="AF213" s="5"/>
      <x:c r="AG213" s="5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IF(A214="","",IF(U214="","",IF(U214="Выигрыш",J214-1,IF(U214="Полувыигрыш",(J214-1)/2,IF(U214="Возврат",0,IF(U214="Полупроигрыш",-0.5,IF(U214="Поражение",-1,"Проверить результат")))))))</x:f>
      </x:c>
      <x:c r="W214" s="80" t="str">
        <x:f>IF(A214="","",IF(U214="","Открыт",IF(ISNUMBER(V214),"Рассчитан","Проверить результат")))</x:f>
      </x:c>
      <x:c r="X214" s="98"/>
      <x:c r="Y214" s="5"/>
      <x:c r="Z214" s="5"/>
      <x:c r="AA214" s="5"/>
      <x:c r="AB214" s="118"/>
      <x:c r="AC214" s="119"/>
      <x:c r="AD214" s="119"/>
      <x:c r="AE214" s="5" t="str">
        <x:f>IF(A214="","",IF(Z214="","Нет ID пары",IF(AND(COUNTIFS($Z$59:$Z$505,Z214,$Y$59:$Y$505,"Оптимальный",$W$59:$W$505,"Рассчитан")=1,COUNTIFS($Z$59:$Z$505,Z214,$Y$59:$Y$505,"Агрессивный",$W$59:$W$505,"Рассчитан")=1),"Да","Нет")))</x:f>
      </x:c>
      <x:c r="AF214" s="5"/>
      <x:c r="AG214" s="5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IF(A215="","",IF(U215="","",IF(U215="Выигрыш",J215-1,IF(U215="Полувыигрыш",(J215-1)/2,IF(U215="Возврат",0,IF(U215="Полупроигрыш",-0.5,IF(U215="Поражение",-1,"Проверить результат")))))))</x:f>
      </x:c>
      <x:c r="W215" s="80" t="str">
        <x:f>IF(A215="","",IF(U215="","Открыт",IF(ISNUMBER(V215),"Рассчитан","Проверить результат")))</x:f>
      </x:c>
      <x:c r="X215" s="98"/>
      <x:c r="Y215" s="5"/>
      <x:c r="Z215" s="5"/>
      <x:c r="AA215" s="5"/>
      <x:c r="AB215" s="118"/>
      <x:c r="AC215" s="119"/>
      <x:c r="AD215" s="119"/>
      <x:c r="AE215" s="5" t="str">
        <x:f>IF(A215="","",IF(Z215="","Нет ID пары",IF(AND(COUNTIFS($Z$59:$Z$505,Z215,$Y$59:$Y$505,"Оптимальный",$W$59:$W$505,"Рассчитан")=1,COUNTIFS($Z$59:$Z$505,Z215,$Y$59:$Y$505,"Агрессивный",$W$59:$W$505,"Рассчитан")=1),"Да","Нет")))</x:f>
      </x:c>
      <x:c r="AF215" s="5"/>
      <x:c r="AG215" s="5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IF(A216="","",IF(U216="","",IF(U216="Выигрыш",J216-1,IF(U216="Полувыигрыш",(J216-1)/2,IF(U216="Возврат",0,IF(U216="Полупроигрыш",-0.5,IF(U216="Поражение",-1,"Проверить результат")))))))</x:f>
      </x:c>
      <x:c r="W216" s="80" t="str">
        <x:f>IF(A216="","",IF(U216="","Открыт",IF(ISNUMBER(V216),"Рассчитан","Проверить результат")))</x:f>
      </x:c>
      <x:c r="X216" s="98"/>
      <x:c r="Y216" s="5"/>
      <x:c r="Z216" s="5"/>
      <x:c r="AA216" s="5"/>
      <x:c r="AB216" s="118"/>
      <x:c r="AC216" s="119"/>
      <x:c r="AD216" s="119"/>
      <x:c r="AE216" s="5" t="str">
        <x:f>IF(A216="","",IF(Z216="","Нет ID пары",IF(AND(COUNTIFS($Z$59:$Z$505,Z216,$Y$59:$Y$505,"Оптимальный",$W$59:$W$505,"Рассчитан")=1,COUNTIFS($Z$59:$Z$505,Z216,$Y$59:$Y$505,"Агрессивный",$W$59:$W$505,"Рассчитан")=1),"Да","Нет")))</x:f>
      </x:c>
      <x:c r="AF216" s="5"/>
      <x:c r="AG216" s="5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IF(A217="","",IF(U217="","",IF(U217="Выигрыш",J217-1,IF(U217="Полувыигрыш",(J217-1)/2,IF(U217="Возврат",0,IF(U217="Полупроигрыш",-0.5,IF(U217="Поражение",-1,"Проверить результат")))))))</x:f>
      </x:c>
      <x:c r="W217" s="80" t="str">
        <x:f>IF(A217="","",IF(U217="","Открыт",IF(ISNUMBER(V217),"Рассчитан","Проверить результат")))</x:f>
      </x:c>
      <x:c r="X217" s="98"/>
      <x:c r="Y217" s="5"/>
      <x:c r="Z217" s="5"/>
      <x:c r="AA217" s="5"/>
      <x:c r="AB217" s="118"/>
      <x:c r="AC217" s="119"/>
      <x:c r="AD217" s="119"/>
      <x:c r="AE217" s="5" t="str">
        <x:f>IF(A217="","",IF(Z217="","Нет ID пары",IF(AND(COUNTIFS($Z$59:$Z$505,Z217,$Y$59:$Y$505,"Оптимальный",$W$59:$W$505,"Рассчитан")=1,COUNTIFS($Z$59:$Z$505,Z217,$Y$59:$Y$505,"Агрессивный",$W$59:$W$505,"Рассчитан")=1),"Да","Нет")))</x:f>
      </x:c>
      <x:c r="AF217" s="5"/>
      <x:c r="AG217" s="5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IF(A218="","",IF(U218="","",IF(U218="Выигрыш",J218-1,IF(U218="Полувыигрыш",(J218-1)/2,IF(U218="Возврат",0,IF(U218="Полупроигрыш",-0.5,IF(U218="Поражение",-1,"Проверить результат")))))))</x:f>
      </x:c>
      <x:c r="W218" s="80" t="str">
        <x:f>IF(A218="","",IF(U218="","Открыт",IF(ISNUMBER(V218),"Рассчитан","Проверить результат")))</x:f>
      </x:c>
      <x:c r="X218" s="98"/>
      <x:c r="Y218" s="5"/>
      <x:c r="Z218" s="5"/>
      <x:c r="AA218" s="5"/>
      <x:c r="AB218" s="118"/>
      <x:c r="AC218" s="119"/>
      <x:c r="AD218" s="119"/>
      <x:c r="AE218" s="5" t="str">
        <x:f>IF(A218="","",IF(Z218="","Нет ID пары",IF(AND(COUNTIFS($Z$59:$Z$505,Z218,$Y$59:$Y$505,"Оптимальный",$W$59:$W$505,"Рассчитан")=1,COUNTIFS($Z$59:$Z$505,Z218,$Y$59:$Y$505,"Агрессивный",$W$59:$W$505,"Рассчитан")=1),"Да","Нет")))</x:f>
      </x:c>
      <x:c r="AF218" s="5"/>
      <x:c r="AG218" s="5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IF(A219="","",IF(U219="","",IF(U219="Выигрыш",J219-1,IF(U219="Полувыигрыш",(J219-1)/2,IF(U219="Возврат",0,IF(U219="Полупроигрыш",-0.5,IF(U219="Поражение",-1,"Проверить результат")))))))</x:f>
      </x:c>
      <x:c r="W219" s="80" t="str">
        <x:f>IF(A219="","",IF(U219="","Открыт",IF(ISNUMBER(V219),"Рассчитан","Проверить результат")))</x:f>
      </x:c>
      <x:c r="X219" s="98"/>
      <x:c r="Y219" s="5"/>
      <x:c r="Z219" s="5"/>
      <x:c r="AA219" s="5"/>
      <x:c r="AB219" s="118"/>
      <x:c r="AC219" s="119"/>
      <x:c r="AD219" s="119"/>
      <x:c r="AE219" s="5" t="str">
        <x:f>IF(A219="","",IF(Z219="","Нет ID пары",IF(AND(COUNTIFS($Z$59:$Z$505,Z219,$Y$59:$Y$505,"Оптимальный",$W$59:$W$505,"Рассчитан")=1,COUNTIFS($Z$59:$Z$505,Z219,$Y$59:$Y$505,"Агрессивный",$W$59:$W$505,"Рассчитан")=1),"Да","Нет")))</x:f>
      </x:c>
      <x:c r="AF219" s="5"/>
      <x:c r="AG219" s="5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IF(A220="","",IF(U220="","",IF(U220="Выигрыш",J220-1,IF(U220="Полувыигрыш",(J220-1)/2,IF(U220="Возврат",0,IF(U220="Полупроигрыш",-0.5,IF(U220="Поражение",-1,"Проверить результат")))))))</x:f>
      </x:c>
      <x:c r="W220" s="80" t="str">
        <x:f>IF(A220="","",IF(U220="","Открыт",IF(ISNUMBER(V220),"Рассчитан","Проверить результат")))</x:f>
      </x:c>
      <x:c r="X220" s="98"/>
      <x:c r="Y220" s="5"/>
      <x:c r="Z220" s="5"/>
      <x:c r="AA220" s="5"/>
      <x:c r="AB220" s="118"/>
      <x:c r="AC220" s="119"/>
      <x:c r="AD220" s="119"/>
      <x:c r="AE220" s="5" t="str">
        <x:f>IF(A220="","",IF(Z220="","Нет ID пары",IF(AND(COUNTIFS($Z$59:$Z$505,Z220,$Y$59:$Y$505,"Оптимальный",$W$59:$W$505,"Рассчитан")=1,COUNTIFS($Z$59:$Z$505,Z220,$Y$59:$Y$505,"Агрессивный",$W$59:$W$505,"Рассчитан")=1),"Да","Нет")))</x:f>
      </x:c>
      <x:c r="AF220" s="5"/>
      <x:c r="AG220" s="5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IF(A221="","",IF(U221="","",IF(U221="Выигрыш",J221-1,IF(U221="Полувыигрыш",(J221-1)/2,IF(U221="Возврат",0,IF(U221="Полупроигрыш",-0.5,IF(U221="Поражение",-1,"Проверить результат")))))))</x:f>
      </x:c>
      <x:c r="W221" s="80" t="str">
        <x:f>IF(A221="","",IF(U221="","Открыт",IF(ISNUMBER(V221),"Рассчитан","Проверить результат")))</x:f>
      </x:c>
      <x:c r="X221" s="98"/>
      <x:c r="Y221" s="5"/>
      <x:c r="Z221" s="5"/>
      <x:c r="AA221" s="5"/>
      <x:c r="AB221" s="118"/>
      <x:c r="AC221" s="119"/>
      <x:c r="AD221" s="119"/>
      <x:c r="AE221" s="5" t="str">
        <x:f>IF(A221="","",IF(Z221="","Нет ID пары",IF(AND(COUNTIFS($Z$59:$Z$505,Z221,$Y$59:$Y$505,"Оптимальный",$W$59:$W$505,"Рассчитан")=1,COUNTIFS($Z$59:$Z$505,Z221,$Y$59:$Y$505,"Агрессивный",$W$59:$W$505,"Рассчитан")=1),"Да","Нет")))</x:f>
      </x:c>
      <x:c r="AF221" s="5"/>
      <x:c r="AG221" s="5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IF(A222="","",IF(U222="","",IF(U222="Выигрыш",J222-1,IF(U222="Полувыигрыш",(J222-1)/2,IF(U222="Возврат",0,IF(U222="Полупроигрыш",-0.5,IF(U222="Поражение",-1,"Проверить результат")))))))</x:f>
      </x:c>
      <x:c r="W222" s="80" t="str">
        <x:f>IF(A222="","",IF(U222="","Открыт",IF(ISNUMBER(V222),"Рассчитан","Проверить результат")))</x:f>
      </x:c>
      <x:c r="X222" s="98"/>
      <x:c r="Y222" s="5"/>
      <x:c r="Z222" s="5"/>
      <x:c r="AA222" s="5"/>
      <x:c r="AB222" s="118"/>
      <x:c r="AC222" s="119"/>
      <x:c r="AD222" s="119"/>
      <x:c r="AE222" s="5" t="str">
        <x:f>IF(A222="","",IF(Z222="","Нет ID пары",IF(AND(COUNTIFS($Z$59:$Z$505,Z222,$Y$59:$Y$505,"Оптимальный",$W$59:$W$505,"Рассчитан")=1,COUNTIFS($Z$59:$Z$505,Z222,$Y$59:$Y$505,"Агрессивный",$W$59:$W$505,"Рассчитан")=1),"Да","Нет")))</x:f>
      </x:c>
      <x:c r="AF222" s="5"/>
      <x:c r="AG222" s="5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IF(A223="","",IF(U223="","",IF(U223="Выигрыш",J223-1,IF(U223="Полувыигрыш",(J223-1)/2,IF(U223="Возврат",0,IF(U223="Полупроигрыш",-0.5,IF(U223="Поражение",-1,"Проверить результат")))))))</x:f>
      </x:c>
      <x:c r="W223" s="80" t="str">
        <x:f>IF(A223="","",IF(U223="","Открыт",IF(ISNUMBER(V223),"Рассчитан","Проверить результат")))</x:f>
      </x:c>
      <x:c r="X223" s="98"/>
      <x:c r="Y223" s="5"/>
      <x:c r="Z223" s="5"/>
      <x:c r="AA223" s="5"/>
      <x:c r="AB223" s="118"/>
      <x:c r="AC223" s="119"/>
      <x:c r="AD223" s="119"/>
      <x:c r="AE223" s="5" t="str">
        <x:f>IF(A223="","",IF(Z223="","Нет ID пары",IF(AND(COUNTIFS($Z$59:$Z$505,Z223,$Y$59:$Y$505,"Оптимальный",$W$59:$W$505,"Рассчитан")=1,COUNTIFS($Z$59:$Z$505,Z223,$Y$59:$Y$505,"Агрессивный",$W$59:$W$505,"Рассчитан")=1),"Да","Нет")))</x:f>
      </x:c>
      <x:c r="AF223" s="5"/>
      <x:c r="AG223" s="5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IF(A224="","",IF(U224="","",IF(U224="Выигрыш",J224-1,IF(U224="Полувыигрыш",(J224-1)/2,IF(U224="Возврат",0,IF(U224="Полупроигрыш",-0.5,IF(U224="Поражение",-1,"Проверить результат")))))))</x:f>
      </x:c>
      <x:c r="W224" s="80" t="str">
        <x:f>IF(A224="","",IF(U224="","Открыт",IF(ISNUMBER(V224),"Рассчитан","Проверить результат")))</x:f>
      </x:c>
      <x:c r="X224" s="98"/>
      <x:c r="Y224" s="5"/>
      <x:c r="Z224" s="5"/>
      <x:c r="AA224" s="5"/>
      <x:c r="AB224" s="118"/>
      <x:c r="AC224" s="119"/>
      <x:c r="AD224" s="119"/>
      <x:c r="AE224" s="5" t="str">
        <x:f>IF(A224="","",IF(Z224="","Нет ID пары",IF(AND(COUNTIFS($Z$59:$Z$505,Z224,$Y$59:$Y$505,"Оптимальный",$W$59:$W$505,"Рассчитан")=1,COUNTIFS($Z$59:$Z$505,Z224,$Y$59:$Y$505,"Агрессивный",$W$59:$W$505,"Рассчитан")=1),"Да","Нет")))</x:f>
      </x:c>
      <x:c r="AF224" s="5"/>
      <x:c r="AG224" s="5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IF(A225="","",IF(U225="","",IF(U225="Выигрыш",J225-1,IF(U225="Полувыигрыш",(J225-1)/2,IF(U225="Возврат",0,IF(U225="Полупроигрыш",-0.5,IF(U225="Поражение",-1,"Проверить результат")))))))</x:f>
      </x:c>
      <x:c r="W225" s="80" t="str">
        <x:f>IF(A225="","",IF(U225="","Открыт",IF(ISNUMBER(V225),"Рассчитан","Проверить результат")))</x:f>
      </x:c>
      <x:c r="X225" s="98"/>
      <x:c r="Y225" s="5"/>
      <x:c r="Z225" s="5"/>
      <x:c r="AA225" s="5"/>
      <x:c r="AB225" s="118"/>
      <x:c r="AC225" s="119"/>
      <x:c r="AD225" s="119"/>
      <x:c r="AE225" s="5" t="str">
        <x:f>IF(A225="","",IF(Z225="","Нет ID пары",IF(AND(COUNTIFS($Z$59:$Z$505,Z225,$Y$59:$Y$505,"Оптимальный",$W$59:$W$505,"Рассчитан")=1,COUNTIFS($Z$59:$Z$505,Z225,$Y$59:$Y$505,"Агрессивный",$W$59:$W$505,"Рассчитан")=1),"Да","Нет")))</x:f>
      </x:c>
      <x:c r="AF225" s="5"/>
      <x:c r="AG225" s="5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IF(A226="","",IF(U226="","",IF(U226="Выигрыш",J226-1,IF(U226="Полувыигрыш",(J226-1)/2,IF(U226="Возврат",0,IF(U226="Полупроигрыш",-0.5,IF(U226="Поражение",-1,"Проверить результат")))))))</x:f>
      </x:c>
      <x:c r="W226" s="80" t="str">
        <x:f>IF(A226="","",IF(U226="","Открыт",IF(ISNUMBER(V226),"Рассчитан","Проверить результат")))</x:f>
      </x:c>
      <x:c r="X226" s="98"/>
      <x:c r="Y226" s="5"/>
      <x:c r="Z226" s="5"/>
      <x:c r="AA226" s="5"/>
      <x:c r="AB226" s="118"/>
      <x:c r="AC226" s="119"/>
      <x:c r="AD226" s="119"/>
      <x:c r="AE226" s="5" t="str">
        <x:f>IF(A226="","",IF(Z226="","Нет ID пары",IF(AND(COUNTIFS($Z$59:$Z$505,Z226,$Y$59:$Y$505,"Оптимальный",$W$59:$W$505,"Рассчитан")=1,COUNTIFS($Z$59:$Z$505,Z226,$Y$59:$Y$505,"Агрессивный",$W$59:$W$505,"Рассчитан")=1),"Да","Нет")))</x:f>
      </x:c>
      <x:c r="AF226" s="5"/>
      <x:c r="AG226" s="5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IF(A227="","",IF(U227="","",IF(U227="Выигрыш",J227-1,IF(U227="Полувыигрыш",(J227-1)/2,IF(U227="Возврат",0,IF(U227="Полупроигрыш",-0.5,IF(U227="Поражение",-1,"Проверить результат")))))))</x:f>
      </x:c>
      <x:c r="W227" s="80" t="str">
        <x:f>IF(A227="","",IF(U227="","Открыт",IF(ISNUMBER(V227),"Рассчитан","Проверить результат")))</x:f>
      </x:c>
      <x:c r="X227" s="98"/>
      <x:c r="Y227" s="5"/>
      <x:c r="Z227" s="5"/>
      <x:c r="AA227" s="5"/>
      <x:c r="AB227" s="118"/>
      <x:c r="AC227" s="119"/>
      <x:c r="AD227" s="119"/>
      <x:c r="AE227" s="5" t="str">
        <x:f>IF(A227="","",IF(Z227="","Нет ID пары",IF(AND(COUNTIFS($Z$59:$Z$505,Z227,$Y$59:$Y$505,"Оптимальный",$W$59:$W$505,"Рассчитан")=1,COUNTIFS($Z$59:$Z$505,Z227,$Y$59:$Y$505,"Агрессивный",$W$59:$W$505,"Рассчитан")=1),"Да","Нет")))</x:f>
      </x:c>
      <x:c r="AF227" s="5"/>
      <x:c r="AG227" s="5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IF(A228="","",IF(U228="","",IF(U228="Выигрыш",J228-1,IF(U228="Полувыигрыш",(J228-1)/2,IF(U228="Возврат",0,IF(U228="Полупроигрыш",-0.5,IF(U228="Поражение",-1,"Проверить результат")))))))</x:f>
      </x:c>
      <x:c r="W228" s="80" t="str">
        <x:f>IF(A228="","",IF(U228="","Открыт",IF(ISNUMBER(V228),"Рассчитан","Проверить результат")))</x:f>
      </x:c>
      <x:c r="X228" s="98"/>
      <x:c r="Y228" s="5"/>
      <x:c r="Z228" s="5"/>
      <x:c r="AA228" s="5"/>
      <x:c r="AB228" s="118"/>
      <x:c r="AC228" s="119"/>
      <x:c r="AD228" s="119"/>
      <x:c r="AE228" s="5" t="str">
        <x:f>IF(A228="","",IF(Z228="","Нет ID пары",IF(AND(COUNTIFS($Z$59:$Z$505,Z228,$Y$59:$Y$505,"Оптимальный",$W$59:$W$505,"Рассчитан")=1,COUNTIFS($Z$59:$Z$505,Z228,$Y$59:$Y$505,"Агрессивный",$W$59:$W$505,"Рассчитан")=1),"Да","Нет")))</x:f>
      </x:c>
      <x:c r="AF228" s="5"/>
      <x:c r="AG228" s="5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IF(A229="","",IF(U229="","",IF(U229="Выигрыш",J229-1,IF(U229="Полувыигрыш",(J229-1)/2,IF(U229="Возврат",0,IF(U229="Полупроигрыш",-0.5,IF(U229="Поражение",-1,"Проверить результат")))))))</x:f>
      </x:c>
      <x:c r="W229" s="80" t="str">
        <x:f>IF(A229="","",IF(U229="","Открыт",IF(ISNUMBER(V229),"Рассчитан","Проверить результат")))</x:f>
      </x:c>
      <x:c r="X229" s="98"/>
      <x:c r="Y229" s="5"/>
      <x:c r="Z229" s="5"/>
      <x:c r="AA229" s="5"/>
      <x:c r="AB229" s="118"/>
      <x:c r="AC229" s="119"/>
      <x:c r="AD229" s="119"/>
      <x:c r="AE229" s="5" t="str">
        <x:f>IF(A229="","",IF(Z229="","Нет ID пары",IF(AND(COUNTIFS($Z$59:$Z$505,Z229,$Y$59:$Y$505,"Оптимальный",$W$59:$W$505,"Рассчитан")=1,COUNTIFS($Z$59:$Z$505,Z229,$Y$59:$Y$505,"Агрессивный",$W$59:$W$505,"Рассчитан")=1),"Да","Нет")))</x:f>
      </x:c>
      <x:c r="AF229" s="5"/>
      <x:c r="AG229" s="5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IF(A230="","",IF(U230="","",IF(U230="Выигрыш",J230-1,IF(U230="Полувыигрыш",(J230-1)/2,IF(U230="Возврат",0,IF(U230="Полупроигрыш",-0.5,IF(U230="Поражение",-1,"Проверить результат")))))))</x:f>
      </x:c>
      <x:c r="W230" s="80" t="str">
        <x:f>IF(A230="","",IF(U230="","Открыт",IF(ISNUMBER(V230),"Рассчитан","Проверить результат")))</x:f>
      </x:c>
      <x:c r="X230" s="98"/>
      <x:c r="Y230" s="5"/>
      <x:c r="Z230" s="5"/>
      <x:c r="AA230" s="5"/>
      <x:c r="AB230" s="118"/>
      <x:c r="AC230" s="119"/>
      <x:c r="AD230" s="119"/>
      <x:c r="AE230" s="5" t="str">
        <x:f>IF(A230="","",IF(Z230="","Нет ID пары",IF(AND(COUNTIFS($Z$59:$Z$505,Z230,$Y$59:$Y$505,"Оптимальный",$W$59:$W$505,"Рассчитан")=1,COUNTIFS($Z$59:$Z$505,Z230,$Y$59:$Y$505,"Агрессивный",$W$59:$W$505,"Рассчитан")=1),"Да","Нет")))</x:f>
      </x:c>
      <x:c r="AF230" s="5"/>
      <x:c r="AG230" s="5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IF(A231="","",IF(U231="","",IF(U231="Выигрыш",J231-1,IF(U231="Полувыигрыш",(J231-1)/2,IF(U231="Возврат",0,IF(U231="Полупроигрыш",-0.5,IF(U231="Поражение",-1,"Проверить результат")))))))</x:f>
      </x:c>
      <x:c r="W231" s="80" t="str">
        <x:f>IF(A231="","",IF(U231="","Открыт",IF(ISNUMBER(V231),"Рассчитан","Проверить результат")))</x:f>
      </x:c>
      <x:c r="X231" s="98"/>
      <x:c r="Y231" s="5"/>
      <x:c r="Z231" s="5"/>
      <x:c r="AA231" s="5"/>
      <x:c r="AB231" s="118"/>
      <x:c r="AC231" s="119"/>
      <x:c r="AD231" s="119"/>
      <x:c r="AE231" s="5" t="str">
        <x:f>IF(A231="","",IF(Z231="","Нет ID пары",IF(AND(COUNTIFS($Z$59:$Z$505,Z231,$Y$59:$Y$505,"Оптимальный",$W$59:$W$505,"Рассчитан")=1,COUNTIFS($Z$59:$Z$505,Z231,$Y$59:$Y$505,"Агрессивный",$W$59:$W$505,"Рассчитан")=1),"Да","Нет")))</x:f>
      </x:c>
      <x:c r="AF231" s="5"/>
      <x:c r="AG231" s="5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IF(A232="","",IF(U232="","",IF(U232="Выигрыш",J232-1,IF(U232="Полувыигрыш",(J232-1)/2,IF(U232="Возврат",0,IF(U232="Полупроигрыш",-0.5,IF(U232="Поражение",-1,"Проверить результат")))))))</x:f>
      </x:c>
      <x:c r="W232" s="80" t="str">
        <x:f>IF(A232="","",IF(U232="","Открыт",IF(ISNUMBER(V232),"Рассчитан","Проверить результат")))</x:f>
      </x:c>
      <x:c r="X232" s="98"/>
      <x:c r="Y232" s="5"/>
      <x:c r="Z232" s="5"/>
      <x:c r="AA232" s="5"/>
      <x:c r="AB232" s="118"/>
      <x:c r="AC232" s="119"/>
      <x:c r="AD232" s="119"/>
      <x:c r="AE232" s="5" t="str">
        <x:f>IF(A232="","",IF(Z232="","Нет ID пары",IF(AND(COUNTIFS($Z$59:$Z$505,Z232,$Y$59:$Y$505,"Оптимальный",$W$59:$W$505,"Рассчитан")=1,COUNTIFS($Z$59:$Z$505,Z232,$Y$59:$Y$505,"Агрессивный",$W$59:$W$505,"Рассчитан")=1),"Да","Нет")))</x:f>
      </x:c>
      <x:c r="AF232" s="5"/>
      <x:c r="AG232" s="5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IF(A233="","",IF(U233="","",IF(U233="Выигрыш",J233-1,IF(U233="Полувыигрыш",(J233-1)/2,IF(U233="Возврат",0,IF(U233="Полупроигрыш",-0.5,IF(U233="Поражение",-1,"Проверить результат")))))))</x:f>
      </x:c>
      <x:c r="W233" s="80" t="str">
        <x:f>IF(A233="","",IF(U233="","Открыт",IF(ISNUMBER(V233),"Рассчитан","Проверить результат")))</x:f>
      </x:c>
      <x:c r="X233" s="98"/>
      <x:c r="Y233" s="5"/>
      <x:c r="Z233" s="5"/>
      <x:c r="AA233" s="5"/>
      <x:c r="AB233" s="118"/>
      <x:c r="AC233" s="119"/>
      <x:c r="AD233" s="119"/>
      <x:c r="AE233" s="5" t="str">
        <x:f>IF(A233="","",IF(Z233="","Нет ID пары",IF(AND(COUNTIFS($Z$59:$Z$505,Z233,$Y$59:$Y$505,"Оптимальный",$W$59:$W$505,"Рассчитан")=1,COUNTIFS($Z$59:$Z$505,Z233,$Y$59:$Y$505,"Агрессивный",$W$59:$W$505,"Рассчитан")=1),"Да","Нет")))</x:f>
      </x:c>
      <x:c r="AF233" s="5"/>
      <x:c r="AG233" s="5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IF(A234="","",IF(U234="","",IF(U234="Выигрыш",J234-1,IF(U234="Полувыигрыш",(J234-1)/2,IF(U234="Возврат",0,IF(U234="Полупроигрыш",-0.5,IF(U234="Поражение",-1,"Проверить результат")))))))</x:f>
      </x:c>
      <x:c r="W234" s="80" t="str">
        <x:f>IF(A234="","",IF(U234="","Открыт",IF(ISNUMBER(V234),"Рассчитан","Проверить результат")))</x:f>
      </x:c>
      <x:c r="X234" s="98"/>
      <x:c r="Y234" s="5"/>
      <x:c r="Z234" s="5"/>
      <x:c r="AA234" s="5"/>
      <x:c r="AB234" s="118"/>
      <x:c r="AC234" s="119"/>
      <x:c r="AD234" s="119"/>
      <x:c r="AE234" s="5" t="str">
        <x:f>IF(A234="","",IF(Z234="","Нет ID пары",IF(AND(COUNTIFS($Z$59:$Z$505,Z234,$Y$59:$Y$505,"Оптимальный",$W$59:$W$505,"Рассчитан")=1,COUNTIFS($Z$59:$Z$505,Z234,$Y$59:$Y$505,"Агрессивный",$W$59:$W$505,"Рассчитан")=1),"Да","Нет")))</x:f>
      </x:c>
      <x:c r="AF234" s="5"/>
      <x:c r="AG234" s="5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IF(A235="","",IF(U235="","",IF(U235="Выигрыш",J235-1,IF(U235="Полувыигрыш",(J235-1)/2,IF(U235="Возврат",0,IF(U235="Полупроигрыш",-0.5,IF(U235="Поражение",-1,"Проверить результат")))))))</x:f>
      </x:c>
      <x:c r="W235" s="80" t="str">
        <x:f>IF(A235="","",IF(U235="","Открыт",IF(ISNUMBER(V235),"Рассчитан","Проверить результат")))</x:f>
      </x:c>
      <x:c r="X235" s="98"/>
      <x:c r="Y235" s="5"/>
      <x:c r="Z235" s="5"/>
      <x:c r="AA235" s="5"/>
      <x:c r="AB235" s="118"/>
      <x:c r="AC235" s="119"/>
      <x:c r="AD235" s="119"/>
      <x:c r="AE235" s="5" t="str">
        <x:f>IF(A235="","",IF(Z235="","Нет ID пары",IF(AND(COUNTIFS($Z$59:$Z$505,Z235,$Y$59:$Y$505,"Оптимальный",$W$59:$W$505,"Рассчитан")=1,COUNTIFS($Z$59:$Z$505,Z235,$Y$59:$Y$505,"Агрессивный",$W$59:$W$505,"Рассчитан")=1),"Да","Нет")))</x:f>
      </x:c>
      <x:c r="AF235" s="5"/>
      <x:c r="AG235" s="5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IF(A236="","",IF(U236="","",IF(U236="Выигрыш",J236-1,IF(U236="Полувыигрыш",(J236-1)/2,IF(U236="Возврат",0,IF(U236="Полупроигрыш",-0.5,IF(U236="Поражение",-1,"Проверить результат")))))))</x:f>
      </x:c>
      <x:c r="W236" s="80" t="str">
        <x:f>IF(A236="","",IF(U236="","Открыт",IF(ISNUMBER(V236),"Рассчитан","Проверить результат")))</x:f>
      </x:c>
      <x:c r="X236" s="98"/>
      <x:c r="Y236" s="5"/>
      <x:c r="Z236" s="5"/>
      <x:c r="AA236" s="5"/>
      <x:c r="AB236" s="118"/>
      <x:c r="AC236" s="119"/>
      <x:c r="AD236" s="119"/>
      <x:c r="AE236" s="5" t="str">
        <x:f>IF(A236="","",IF(Z236="","Нет ID пары",IF(AND(COUNTIFS($Z$59:$Z$505,Z236,$Y$59:$Y$505,"Оптимальный",$W$59:$W$505,"Рассчитан")=1,COUNTIFS($Z$59:$Z$505,Z236,$Y$59:$Y$505,"Агрессивный",$W$59:$W$505,"Рассчитан")=1),"Да","Нет")))</x:f>
      </x:c>
      <x:c r="AF236" s="5"/>
      <x:c r="AG236" s="5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IF(A237="","",IF(U237="","",IF(U237="Выигрыш",J237-1,IF(U237="Полувыигрыш",(J237-1)/2,IF(U237="Возврат",0,IF(U237="Полупроигрыш",-0.5,IF(U237="Поражение",-1,"Проверить результат")))))))</x:f>
      </x:c>
      <x:c r="W237" s="80" t="str">
        <x:f>IF(A237="","",IF(U237="","Открыт",IF(ISNUMBER(V237),"Рассчитан","Проверить результат")))</x:f>
      </x:c>
      <x:c r="X237" s="98"/>
      <x:c r="Y237" s="5"/>
      <x:c r="Z237" s="5"/>
      <x:c r="AA237" s="5"/>
      <x:c r="AB237" s="118"/>
      <x:c r="AC237" s="119"/>
      <x:c r="AD237" s="119"/>
      <x:c r="AE237" s="5" t="str">
        <x:f>IF(A237="","",IF(Z237="","Нет ID пары",IF(AND(COUNTIFS($Z$59:$Z$505,Z237,$Y$59:$Y$505,"Оптимальный",$W$59:$W$505,"Рассчитан")=1,COUNTIFS($Z$59:$Z$505,Z237,$Y$59:$Y$505,"Агрессивный",$W$59:$W$505,"Рассчитан")=1),"Да","Нет")))</x:f>
      </x:c>
      <x:c r="AF237" s="5"/>
      <x:c r="AG237" s="5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IF(A238="","",IF(U238="","",IF(U238="Выигрыш",J238-1,IF(U238="Полувыигрыш",(J238-1)/2,IF(U238="Возврат",0,IF(U238="Полупроигрыш",-0.5,IF(U238="Поражение",-1,"Проверить результат")))))))</x:f>
      </x:c>
      <x:c r="W238" s="80" t="str">
        <x:f>IF(A238="","",IF(U238="","Открыт",IF(ISNUMBER(V238),"Рассчитан","Проверить результат")))</x:f>
      </x:c>
      <x:c r="X238" s="98"/>
      <x:c r="Y238" s="5"/>
      <x:c r="Z238" s="5"/>
      <x:c r="AA238" s="5"/>
      <x:c r="AB238" s="118"/>
      <x:c r="AC238" s="119"/>
      <x:c r="AD238" s="119"/>
      <x:c r="AE238" s="5" t="str">
        <x:f>IF(A238="","",IF(Z238="","Нет ID пары",IF(AND(COUNTIFS($Z$59:$Z$505,Z238,$Y$59:$Y$505,"Оптимальный",$W$59:$W$505,"Рассчитан")=1,COUNTIFS($Z$59:$Z$505,Z238,$Y$59:$Y$505,"Агрессивный",$W$59:$W$505,"Рассчитан")=1),"Да","Нет")))</x:f>
      </x:c>
      <x:c r="AF238" s="5"/>
      <x:c r="AG238" s="5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IF(A239="","",IF(U239="","",IF(U239="Выигрыш",J239-1,IF(U239="Полувыигрыш",(J239-1)/2,IF(U239="Возврат",0,IF(U239="Полупроигрыш",-0.5,IF(U239="Поражение",-1,"Проверить результат")))))))</x:f>
      </x:c>
      <x:c r="W239" s="80" t="str">
        <x:f>IF(A239="","",IF(U239="","Открыт",IF(ISNUMBER(V239),"Рассчитан","Проверить результат")))</x:f>
      </x:c>
      <x:c r="X239" s="98"/>
      <x:c r="Y239" s="5"/>
      <x:c r="Z239" s="5"/>
      <x:c r="AA239" s="5"/>
      <x:c r="AB239" s="118"/>
      <x:c r="AC239" s="119"/>
      <x:c r="AD239" s="119"/>
      <x:c r="AE239" s="5" t="str">
        <x:f>IF(A239="","",IF(Z239="","Нет ID пары",IF(AND(COUNTIFS($Z$59:$Z$505,Z239,$Y$59:$Y$505,"Оптимальный",$W$59:$W$505,"Рассчитан")=1,COUNTIFS($Z$59:$Z$505,Z239,$Y$59:$Y$505,"Агрессивный",$W$59:$W$505,"Рассчитан")=1),"Да","Нет")))</x:f>
      </x:c>
      <x:c r="AF239" s="5"/>
      <x:c r="AG239" s="5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IF(A240="","",IF(U240="","",IF(U240="Выигрыш",J240-1,IF(U240="Полувыигрыш",(J240-1)/2,IF(U240="Возврат",0,IF(U240="Полупроигрыш",-0.5,IF(U240="Поражение",-1,"Проверить результат")))))))</x:f>
      </x:c>
      <x:c r="W240" s="80" t="str">
        <x:f>IF(A240="","",IF(U240="","Открыт",IF(ISNUMBER(V240),"Рассчитан","Проверить результат")))</x:f>
      </x:c>
      <x:c r="X240" s="98"/>
      <x:c r="Y240" s="5"/>
      <x:c r="Z240" s="5"/>
      <x:c r="AA240" s="5"/>
      <x:c r="AB240" s="118"/>
      <x:c r="AC240" s="119"/>
      <x:c r="AD240" s="119"/>
      <x:c r="AE240" s="5" t="str">
        <x:f>IF(A240="","",IF(Z240="","Нет ID пары",IF(AND(COUNTIFS($Z$59:$Z$505,Z240,$Y$59:$Y$505,"Оптимальный",$W$59:$W$505,"Рассчитан")=1,COUNTIFS($Z$59:$Z$505,Z240,$Y$59:$Y$505,"Агрессивный",$W$59:$W$505,"Рассчитан")=1),"Да","Нет")))</x:f>
      </x:c>
      <x:c r="AF240" s="5"/>
      <x:c r="AG240" s="5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IF(A241="","",IF(U241="","",IF(U241="Выигрыш",J241-1,IF(U241="Полувыигрыш",(J241-1)/2,IF(U241="Возврат",0,IF(U241="Полупроигрыш",-0.5,IF(U241="Поражение",-1,"Проверить результат")))))))</x:f>
      </x:c>
      <x:c r="W241" s="80" t="str">
        <x:f>IF(A241="","",IF(U241="","Открыт",IF(ISNUMBER(V241),"Рассчитан","Проверить результат")))</x:f>
      </x:c>
      <x:c r="X241" s="98"/>
      <x:c r="Y241" s="5"/>
      <x:c r="Z241" s="5"/>
      <x:c r="AA241" s="5"/>
      <x:c r="AB241" s="118"/>
      <x:c r="AC241" s="119"/>
      <x:c r="AD241" s="119"/>
      <x:c r="AE241" s="5" t="str">
        <x:f>IF(A241="","",IF(Z241="","Нет ID пары",IF(AND(COUNTIFS($Z$59:$Z$505,Z241,$Y$59:$Y$505,"Оптимальный",$W$59:$W$505,"Рассчитан")=1,COUNTIFS($Z$59:$Z$505,Z241,$Y$59:$Y$505,"Агрессивный",$W$59:$W$505,"Рассчитан")=1),"Да","Нет")))</x:f>
      </x:c>
      <x:c r="AF241" s="5"/>
      <x:c r="AG241" s="5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IF(A242="","",IF(U242="","",IF(U242="Выигрыш",J242-1,IF(U242="Полувыигрыш",(J242-1)/2,IF(U242="Возврат",0,IF(U242="Полупроигрыш",-0.5,IF(U242="Поражение",-1,"Проверить результат")))))))</x:f>
      </x:c>
      <x:c r="W242" s="80" t="str">
        <x:f>IF(A242="","",IF(U242="","Открыт",IF(ISNUMBER(V242),"Рассчитан","Проверить результат")))</x:f>
      </x:c>
      <x:c r="X242" s="98"/>
      <x:c r="Y242" s="5"/>
      <x:c r="Z242" s="5"/>
      <x:c r="AA242" s="5"/>
      <x:c r="AB242" s="118"/>
      <x:c r="AC242" s="119"/>
      <x:c r="AD242" s="119"/>
      <x:c r="AE242" s="5" t="str">
        <x:f>IF(A242="","",IF(Z242="","Нет ID пары",IF(AND(COUNTIFS($Z$59:$Z$505,Z242,$Y$59:$Y$505,"Оптимальный",$W$59:$W$505,"Рассчитан")=1,COUNTIFS($Z$59:$Z$505,Z242,$Y$59:$Y$505,"Агрессивный",$W$59:$W$505,"Рассчитан")=1),"Да","Нет")))</x:f>
      </x:c>
      <x:c r="AF242" s="5"/>
      <x:c r="AG242" s="5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IF(A243="","",IF(U243="","",IF(U243="Выигрыш",J243-1,IF(U243="Полувыигрыш",(J243-1)/2,IF(U243="Возврат",0,IF(U243="Полупроигрыш",-0.5,IF(U243="Поражение",-1,"Проверить результат")))))))</x:f>
      </x:c>
      <x:c r="W243" s="80" t="str">
        <x:f>IF(A243="","",IF(U243="","Открыт",IF(ISNUMBER(V243),"Рассчитан","Проверить результат")))</x:f>
      </x:c>
      <x:c r="X243" s="98"/>
      <x:c r="Y243" s="5"/>
      <x:c r="Z243" s="5"/>
      <x:c r="AA243" s="5"/>
      <x:c r="AB243" s="118"/>
      <x:c r="AC243" s="119"/>
      <x:c r="AD243" s="119"/>
      <x:c r="AE243" s="5" t="str">
        <x:f>IF(A243="","",IF(Z243="","Нет ID пары",IF(AND(COUNTIFS($Z$59:$Z$505,Z243,$Y$59:$Y$505,"Оптимальный",$W$59:$W$505,"Рассчитан")=1,COUNTIFS($Z$59:$Z$505,Z243,$Y$59:$Y$505,"Агрессивный",$W$59:$W$505,"Рассчитан")=1),"Да","Нет")))</x:f>
      </x:c>
      <x:c r="AF243" s="5"/>
      <x:c r="AG243" s="5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IF(A244="","",IF(U244="","",IF(U244="Выигрыш",J244-1,IF(U244="Полувыигрыш",(J244-1)/2,IF(U244="Возврат",0,IF(U244="Полупроигрыш",-0.5,IF(U244="Поражение",-1,"Проверить результат")))))))</x:f>
      </x:c>
      <x:c r="W244" s="80" t="str">
        <x:f>IF(A244="","",IF(U244="","Открыт",IF(ISNUMBER(V244),"Рассчитан","Проверить результат")))</x:f>
      </x:c>
      <x:c r="X244" s="98"/>
      <x:c r="Y244" s="5"/>
      <x:c r="Z244" s="5"/>
      <x:c r="AA244" s="5"/>
      <x:c r="AB244" s="118"/>
      <x:c r="AC244" s="119"/>
      <x:c r="AD244" s="119"/>
      <x:c r="AE244" s="5" t="str">
        <x:f>IF(A244="","",IF(Z244="","Нет ID пары",IF(AND(COUNTIFS($Z$59:$Z$505,Z244,$Y$59:$Y$505,"Оптимальный",$W$59:$W$505,"Рассчитан")=1,COUNTIFS($Z$59:$Z$505,Z244,$Y$59:$Y$505,"Агрессивный",$W$59:$W$505,"Рассчитан")=1),"Да","Нет")))</x:f>
      </x:c>
      <x:c r="AF244" s="5"/>
      <x:c r="AG244" s="5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IF(A245="","",IF(U245="","",IF(U245="Выигрыш",J245-1,IF(U245="Полувыигрыш",(J245-1)/2,IF(U245="Возврат",0,IF(U245="Полупроигрыш",-0.5,IF(U245="Поражение",-1,"Проверить результат")))))))</x:f>
      </x:c>
      <x:c r="W245" s="80" t="str">
        <x:f>IF(A245="","",IF(U245="","Открыт",IF(ISNUMBER(V245),"Рассчитан","Проверить результат")))</x:f>
      </x:c>
      <x:c r="X245" s="98"/>
      <x:c r="Y245" s="5"/>
      <x:c r="Z245" s="5"/>
      <x:c r="AA245" s="5"/>
      <x:c r="AB245" s="118"/>
      <x:c r="AC245" s="119"/>
      <x:c r="AD245" s="119"/>
      <x:c r="AE245" s="5" t="str">
        <x:f>IF(A245="","",IF(Z245="","Нет ID пары",IF(AND(COUNTIFS($Z$59:$Z$505,Z245,$Y$59:$Y$505,"Оптимальный",$W$59:$W$505,"Рассчитан")=1,COUNTIFS($Z$59:$Z$505,Z245,$Y$59:$Y$505,"Агрессивный",$W$59:$W$505,"Рассчитан")=1),"Да","Нет")))</x:f>
      </x:c>
      <x:c r="AF245" s="5"/>
      <x:c r="AG245" s="5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IF(A246="","",IF(U246="","",IF(U246="Выигрыш",J246-1,IF(U246="Полувыигрыш",(J246-1)/2,IF(U246="Возврат",0,IF(U246="Полупроигрыш",-0.5,IF(U246="Поражение",-1,"Проверить результат")))))))</x:f>
      </x:c>
      <x:c r="W246" s="80" t="str">
        <x:f>IF(A246="","",IF(U246="","Открыт",IF(ISNUMBER(V246),"Рассчитан","Проверить результат")))</x:f>
      </x:c>
      <x:c r="X246" s="98"/>
      <x:c r="Y246" s="5"/>
      <x:c r="Z246" s="5"/>
      <x:c r="AA246" s="5"/>
      <x:c r="AB246" s="118"/>
      <x:c r="AC246" s="119"/>
      <x:c r="AD246" s="119"/>
      <x:c r="AE246" s="5" t="str">
        <x:f>IF(A246="","",IF(Z246="","Нет ID пары",IF(AND(COUNTIFS($Z$59:$Z$505,Z246,$Y$59:$Y$505,"Оптимальный",$W$59:$W$505,"Рассчитан")=1,COUNTIFS($Z$59:$Z$505,Z246,$Y$59:$Y$505,"Агрессивный",$W$59:$W$505,"Рассчитан")=1),"Да","Нет")))</x:f>
      </x:c>
      <x:c r="AF246" s="5"/>
      <x:c r="AG246" s="5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IF(A247="","",IF(U247="","",IF(U247="Выигрыш",J247-1,IF(U247="Полувыигрыш",(J247-1)/2,IF(U247="Возврат",0,IF(U247="Полупроигрыш",-0.5,IF(U247="Поражение",-1,"Проверить результат")))))))</x:f>
      </x:c>
      <x:c r="W247" s="80" t="str">
        <x:f>IF(A247="","",IF(U247="","Открыт",IF(ISNUMBER(V247),"Рассчитан","Проверить результат")))</x:f>
      </x:c>
      <x:c r="X247" s="98"/>
      <x:c r="Y247" s="5"/>
      <x:c r="Z247" s="5"/>
      <x:c r="AA247" s="5"/>
      <x:c r="AB247" s="118"/>
      <x:c r="AC247" s="119"/>
      <x:c r="AD247" s="119"/>
      <x:c r="AE247" s="5" t="str">
        <x:f>IF(A247="","",IF(Z247="","Нет ID пары",IF(AND(COUNTIFS($Z$59:$Z$505,Z247,$Y$59:$Y$505,"Оптимальный",$W$59:$W$505,"Рассчитан")=1,COUNTIFS($Z$59:$Z$505,Z247,$Y$59:$Y$505,"Агрессивный",$W$59:$W$505,"Рассчитан")=1),"Да","Нет")))</x:f>
      </x:c>
      <x:c r="AF247" s="5"/>
      <x:c r="AG247" s="5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IF(A248="","",IF(U248="","",IF(U248="Выигрыш",J248-1,IF(U248="Полувыигрыш",(J248-1)/2,IF(U248="Возврат",0,IF(U248="Полупроигрыш",-0.5,IF(U248="Поражение",-1,"Проверить результат")))))))</x:f>
      </x:c>
      <x:c r="W248" s="80" t="str">
        <x:f>IF(A248="","",IF(U248="","Открыт",IF(ISNUMBER(V248),"Рассчитан","Проверить результат")))</x:f>
      </x:c>
      <x:c r="X248" s="98"/>
      <x:c r="Y248" s="5"/>
      <x:c r="Z248" s="5"/>
      <x:c r="AA248" s="5"/>
      <x:c r="AB248" s="118"/>
      <x:c r="AC248" s="119"/>
      <x:c r="AD248" s="119"/>
      <x:c r="AE248" s="5" t="str">
        <x:f>IF(A248="","",IF(Z248="","Нет ID пары",IF(AND(COUNTIFS($Z$59:$Z$505,Z248,$Y$59:$Y$505,"Оптимальный",$W$59:$W$505,"Рассчитан")=1,COUNTIFS($Z$59:$Z$505,Z248,$Y$59:$Y$505,"Агрессивный",$W$59:$W$505,"Рассчитан")=1),"Да","Нет")))</x:f>
      </x:c>
      <x:c r="AF248" s="5"/>
      <x:c r="AG248" s="5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IF(A249="","",IF(U249="","",IF(U249="Выигрыш",J249-1,IF(U249="Полувыигрыш",(J249-1)/2,IF(U249="Возврат",0,IF(U249="Полупроигрыш",-0.5,IF(U249="Поражение",-1,"Проверить результат")))))))</x:f>
      </x:c>
      <x:c r="W249" s="80" t="str">
        <x:f>IF(A249="","",IF(U249="","Открыт",IF(ISNUMBER(V249),"Рассчитан","Проверить результат")))</x:f>
      </x:c>
      <x:c r="X249" s="98"/>
      <x:c r="Y249" s="5"/>
      <x:c r="Z249" s="5"/>
      <x:c r="AA249" s="5"/>
      <x:c r="AB249" s="118"/>
      <x:c r="AC249" s="119"/>
      <x:c r="AD249" s="119"/>
      <x:c r="AE249" s="5" t="str">
        <x:f>IF(A249="","",IF(Z249="","Нет ID пары",IF(AND(COUNTIFS($Z$59:$Z$505,Z249,$Y$59:$Y$505,"Оптимальный",$W$59:$W$505,"Рассчитан")=1,COUNTIFS($Z$59:$Z$505,Z249,$Y$59:$Y$505,"Агрессивный",$W$59:$W$505,"Рассчитан")=1),"Да","Нет")))</x:f>
      </x:c>
      <x:c r="AF249" s="5"/>
      <x:c r="AG249" s="5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IF(A250="","",IF(U250="","",IF(U250="Выигрыш",J250-1,IF(U250="Полувыигрыш",(J250-1)/2,IF(U250="Возврат",0,IF(U250="Полупроигрыш",-0.5,IF(U250="Поражение",-1,"Проверить результат")))))))</x:f>
      </x:c>
      <x:c r="W250" s="80" t="str">
        <x:f>IF(A250="","",IF(U250="","Открыт",IF(ISNUMBER(V250),"Рассчитан","Проверить результат")))</x:f>
      </x:c>
      <x:c r="X250" s="98"/>
      <x:c r="Y250" s="5"/>
      <x:c r="Z250" s="5"/>
      <x:c r="AA250" s="5"/>
      <x:c r="AB250" s="118"/>
      <x:c r="AC250" s="119"/>
      <x:c r="AD250" s="119"/>
      <x:c r="AE250" s="5" t="str">
        <x:f>IF(A250="","",IF(Z250="","Нет ID пары",IF(AND(COUNTIFS($Z$59:$Z$505,Z250,$Y$59:$Y$505,"Оптимальный",$W$59:$W$505,"Рассчитан")=1,COUNTIFS($Z$59:$Z$505,Z250,$Y$59:$Y$505,"Агрессивный",$W$59:$W$505,"Рассчитан")=1),"Да","Нет")))</x:f>
      </x:c>
      <x:c r="AF250" s="5"/>
      <x:c r="AG250" s="5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IF(A251="","",IF(U251="","",IF(U251="Выигрыш",J251-1,IF(U251="Полувыигрыш",(J251-1)/2,IF(U251="Возврат",0,IF(U251="Полупроигрыш",-0.5,IF(U251="Поражение",-1,"Проверить результат")))))))</x:f>
      </x:c>
      <x:c r="W251" s="80" t="str">
        <x:f>IF(A251="","",IF(U251="","Открыт",IF(ISNUMBER(V251),"Рассчитан","Проверить результат")))</x:f>
      </x:c>
      <x:c r="X251" s="98"/>
      <x:c r="Y251" s="5"/>
      <x:c r="Z251" s="5"/>
      <x:c r="AA251" s="5"/>
      <x:c r="AB251" s="118"/>
      <x:c r="AC251" s="119"/>
      <x:c r="AD251" s="119"/>
      <x:c r="AE251" s="5" t="str">
        <x:f>IF(A251="","",IF(Z251="","Нет ID пары",IF(AND(COUNTIFS($Z$59:$Z$505,Z251,$Y$59:$Y$505,"Оптимальный",$W$59:$W$505,"Рассчитан")=1,COUNTIFS($Z$59:$Z$505,Z251,$Y$59:$Y$505,"Агрессивный",$W$59:$W$505,"Рассчитан")=1),"Да","Нет")))</x:f>
      </x:c>
      <x:c r="AF251" s="5"/>
      <x:c r="AG251" s="5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IF(A252="","",IF(U252="","",IF(U252="Выигрыш",J252-1,IF(U252="Полувыигрыш",(J252-1)/2,IF(U252="Возврат",0,IF(U252="Полупроигрыш",-0.5,IF(U252="Поражение",-1,"Проверить результат")))))))</x:f>
      </x:c>
      <x:c r="W252" s="80" t="str">
        <x:f>IF(A252="","",IF(U252="","Открыт",IF(ISNUMBER(V252),"Рассчитан","Проверить результат")))</x:f>
      </x:c>
      <x:c r="X252" s="98"/>
      <x:c r="Y252" s="5"/>
      <x:c r="Z252" s="5"/>
      <x:c r="AA252" s="5"/>
      <x:c r="AB252" s="118"/>
      <x:c r="AC252" s="119"/>
      <x:c r="AD252" s="119"/>
      <x:c r="AE252" s="5" t="str">
        <x:f>IF(A252="","",IF(Z252="","Нет ID пары",IF(AND(COUNTIFS($Z$59:$Z$505,Z252,$Y$59:$Y$505,"Оптимальный",$W$59:$W$505,"Рассчитан")=1,COUNTIFS($Z$59:$Z$505,Z252,$Y$59:$Y$505,"Агрессивный",$W$59:$W$505,"Рассчитан")=1),"Да","Нет")))</x:f>
      </x:c>
      <x:c r="AF252" s="5"/>
      <x:c r="AG252" s="5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IF(A253="","",IF(U253="","",IF(U253="Выигрыш",J253-1,IF(U253="Полувыигрыш",(J253-1)/2,IF(U253="Возврат",0,IF(U253="Полупроигрыш",-0.5,IF(U253="Поражение",-1,"Проверить результат")))))))</x:f>
      </x:c>
      <x:c r="W253" s="80" t="str">
        <x:f>IF(A253="","",IF(U253="","Открыт",IF(ISNUMBER(V253),"Рассчитан","Проверить результат")))</x:f>
      </x:c>
      <x:c r="X253" s="98"/>
      <x:c r="Y253" s="5"/>
      <x:c r="Z253" s="5"/>
      <x:c r="AA253" s="5"/>
      <x:c r="AB253" s="118"/>
      <x:c r="AC253" s="119"/>
      <x:c r="AD253" s="119"/>
      <x:c r="AE253" s="5" t="str">
        <x:f>IF(A253="","",IF(Z253="","Нет ID пары",IF(AND(COUNTIFS($Z$59:$Z$505,Z253,$Y$59:$Y$505,"Оптимальный",$W$59:$W$505,"Рассчитан")=1,COUNTIFS($Z$59:$Z$505,Z253,$Y$59:$Y$505,"Агрессивный",$W$59:$W$505,"Рассчитан")=1),"Да","Нет")))</x:f>
      </x:c>
      <x:c r="AF253" s="5"/>
      <x:c r="AG253" s="5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IF(A254="","",IF(U254="","",IF(U254="Выигрыш",J254-1,IF(U254="Полувыигрыш",(J254-1)/2,IF(U254="Возврат",0,IF(U254="Полупроигрыш",-0.5,IF(U254="Поражение",-1,"Проверить результат")))))))</x:f>
      </x:c>
      <x:c r="W254" s="80" t="str">
        <x:f>IF(A254="","",IF(U254="","Открыт",IF(ISNUMBER(V254),"Рассчитан","Проверить результат")))</x:f>
      </x:c>
      <x:c r="X254" s="98"/>
      <x:c r="Y254" s="5"/>
      <x:c r="Z254" s="5"/>
      <x:c r="AA254" s="5"/>
      <x:c r="AB254" s="118"/>
      <x:c r="AC254" s="119"/>
      <x:c r="AD254" s="119"/>
      <x:c r="AE254" s="5" t="str">
        <x:f>IF(A254="","",IF(Z254="","Нет ID пары",IF(AND(COUNTIFS($Z$59:$Z$505,Z254,$Y$59:$Y$505,"Оптимальный",$W$59:$W$505,"Рассчитан")=1,COUNTIFS($Z$59:$Z$505,Z254,$Y$59:$Y$505,"Агрессивный",$W$59:$W$505,"Рассчитан")=1),"Да","Нет")))</x:f>
      </x:c>
      <x:c r="AF254" s="5"/>
      <x:c r="AG254" s="5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IF(A255="","",IF(U255="","",IF(U255="Выигрыш",J255-1,IF(U255="Полувыигрыш",(J255-1)/2,IF(U255="Возврат",0,IF(U255="Полупроигрыш",-0.5,IF(U255="Поражение",-1,"Проверить результат")))))))</x:f>
      </x:c>
      <x:c r="W255" s="80" t="str">
        <x:f>IF(A255="","",IF(U255="","Открыт",IF(ISNUMBER(V255),"Рассчитан","Проверить результат")))</x:f>
      </x:c>
      <x:c r="X255" s="98"/>
      <x:c r="Y255" s="5"/>
      <x:c r="Z255" s="5"/>
      <x:c r="AA255" s="5"/>
      <x:c r="AB255" s="118"/>
      <x:c r="AC255" s="119"/>
      <x:c r="AD255" s="119"/>
      <x:c r="AE255" s="5" t="str">
        <x:f>IF(A255="","",IF(Z255="","Нет ID пары",IF(AND(COUNTIFS($Z$59:$Z$505,Z255,$Y$59:$Y$505,"Оптимальный",$W$59:$W$505,"Рассчитан")=1,COUNTIFS($Z$59:$Z$505,Z255,$Y$59:$Y$505,"Агрессивный",$W$59:$W$505,"Рассчитан")=1),"Да","Нет")))</x:f>
      </x:c>
      <x:c r="AF255" s="5"/>
      <x:c r="AG255" s="5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IF(A256="","",IF(U256="","",IF(U256="Выигрыш",J256-1,IF(U256="Полувыигрыш",(J256-1)/2,IF(U256="Возврат",0,IF(U256="Полупроигрыш",-0.5,IF(U256="Поражение",-1,"Проверить результат")))))))</x:f>
      </x:c>
      <x:c r="W256" s="80" t="str">
        <x:f>IF(A256="","",IF(U256="","Открыт",IF(ISNUMBER(V256),"Рассчитан","Проверить результат")))</x:f>
      </x:c>
      <x:c r="X256" s="98"/>
      <x:c r="Y256" s="5"/>
      <x:c r="Z256" s="5"/>
      <x:c r="AA256" s="5"/>
      <x:c r="AB256" s="118"/>
      <x:c r="AC256" s="119"/>
      <x:c r="AD256" s="119"/>
      <x:c r="AE256" s="5" t="str">
        <x:f>IF(A256="","",IF(Z256="","Нет ID пары",IF(AND(COUNTIFS($Z$59:$Z$505,Z256,$Y$59:$Y$505,"Оптимальный",$W$59:$W$505,"Рассчитан")=1,COUNTIFS($Z$59:$Z$505,Z256,$Y$59:$Y$505,"Агрессивный",$W$59:$W$505,"Рассчитан")=1),"Да","Нет")))</x:f>
      </x:c>
      <x:c r="AF256" s="5"/>
      <x:c r="AG256" s="5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IF(A257="","",IF(U257="","",IF(U257="Выигрыш",J257-1,IF(U257="Полувыигрыш",(J257-1)/2,IF(U257="Возврат",0,IF(U257="Полупроигрыш",-0.5,IF(U257="Поражение",-1,"Проверить результат")))))))</x:f>
      </x:c>
      <x:c r="W257" s="80" t="str">
        <x:f>IF(A257="","",IF(U257="","Открыт",IF(ISNUMBER(V257),"Рассчитан","Проверить результат")))</x:f>
      </x:c>
      <x:c r="X257" s="98"/>
      <x:c r="Y257" s="5"/>
      <x:c r="Z257" s="5"/>
      <x:c r="AA257" s="5"/>
      <x:c r="AB257" s="118"/>
      <x:c r="AC257" s="119"/>
      <x:c r="AD257" s="119"/>
      <x:c r="AE257" s="5" t="str">
        <x:f>IF(A257="","",IF(Z257="","Нет ID пары",IF(AND(COUNTIFS($Z$59:$Z$505,Z257,$Y$59:$Y$505,"Оптимальный",$W$59:$W$505,"Рассчитан")=1,COUNTIFS($Z$59:$Z$505,Z257,$Y$59:$Y$505,"Агрессивный",$W$59:$W$505,"Рассчитан")=1),"Да","Нет")))</x:f>
      </x:c>
      <x:c r="AF257" s="5"/>
      <x:c r="AG257" s="5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IF(A258="","",IF(U258="","",IF(U258="Выигрыш",J258-1,IF(U258="Полувыигрыш",(J258-1)/2,IF(U258="Возврат",0,IF(U258="Полупроигрыш",-0.5,IF(U258="Поражение",-1,"Проверить результат")))))))</x:f>
      </x:c>
      <x:c r="W258" s="80" t="str">
        <x:f>IF(A258="","",IF(U258="","Открыт",IF(ISNUMBER(V258),"Рассчитан","Проверить результат")))</x:f>
      </x:c>
      <x:c r="X258" s="98"/>
      <x:c r="Y258" s="5"/>
      <x:c r="Z258" s="5"/>
      <x:c r="AA258" s="5"/>
      <x:c r="AB258" s="118"/>
      <x:c r="AC258" s="119"/>
      <x:c r="AD258" s="119"/>
      <x:c r="AE258" s="5" t="str">
        <x:f>IF(A258="","",IF(Z258="","Нет ID пары",IF(AND(COUNTIFS($Z$59:$Z$505,Z258,$Y$59:$Y$505,"Оптимальный",$W$59:$W$505,"Рассчитан")=1,COUNTIFS($Z$59:$Z$505,Z258,$Y$59:$Y$505,"Агрессивный",$W$59:$W$505,"Рассчитан")=1),"Да","Нет")))</x:f>
      </x:c>
      <x:c r="AF258" s="5"/>
      <x:c r="AG258" s="5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IF(A259="","",IF(U259="","",IF(U259="Выигрыш",J259-1,IF(U259="Полувыигрыш",(J259-1)/2,IF(U259="Возврат",0,IF(U259="Полупроигрыш",-0.5,IF(U259="Поражение",-1,"Проверить результат")))))))</x:f>
      </x:c>
      <x:c r="W259" s="80" t="str">
        <x:f>IF(A259="","",IF(U259="","Открыт",IF(ISNUMBER(V259),"Рассчитан","Проверить результат")))</x:f>
      </x:c>
      <x:c r="X259" s="98"/>
      <x:c r="Y259" s="5"/>
      <x:c r="Z259" s="5"/>
      <x:c r="AA259" s="5"/>
      <x:c r="AB259" s="118"/>
      <x:c r="AC259" s="119"/>
      <x:c r="AD259" s="119"/>
      <x:c r="AE259" s="5" t="str">
        <x:f>IF(A259="","",IF(Z259="","Нет ID пары",IF(AND(COUNTIFS($Z$59:$Z$505,Z259,$Y$59:$Y$505,"Оптимальный",$W$59:$W$505,"Рассчитан")=1,COUNTIFS($Z$59:$Z$505,Z259,$Y$59:$Y$505,"Агрессивный",$W$59:$W$505,"Рассчитан")=1),"Да","Нет")))</x:f>
      </x:c>
      <x:c r="AF259" s="5"/>
      <x:c r="AG259" s="5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IF(A260="","",IF(U260="","",IF(U260="Выигрыш",J260-1,IF(U260="Полувыигрыш",(J260-1)/2,IF(U260="Возврат",0,IF(U260="Полупроигрыш",-0.5,IF(U260="Поражение",-1,"Проверить результат")))))))</x:f>
      </x:c>
      <x:c r="W260" s="80" t="str">
        <x:f>IF(A260="","",IF(U260="","Открыт",IF(ISNUMBER(V260),"Рассчитан","Проверить результат")))</x:f>
      </x:c>
      <x:c r="X260" s="98"/>
      <x:c r="Y260" s="5"/>
      <x:c r="Z260" s="5"/>
      <x:c r="AA260" s="5"/>
      <x:c r="AB260" s="118"/>
      <x:c r="AC260" s="119"/>
      <x:c r="AD260" s="119"/>
      <x:c r="AE260" s="5" t="str">
        <x:f>IF(A260="","",IF(Z260="","Нет ID пары",IF(AND(COUNTIFS($Z$59:$Z$505,Z260,$Y$59:$Y$505,"Оптимальный",$W$59:$W$505,"Рассчитан")=1,COUNTIFS($Z$59:$Z$505,Z260,$Y$59:$Y$505,"Агрессивный",$W$59:$W$505,"Рассчитан")=1),"Да","Нет")))</x:f>
      </x:c>
      <x:c r="AF260" s="5"/>
      <x:c r="AG260" s="5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IF(A261="","",IF(U261="","",IF(U261="Выигрыш",J261-1,IF(U261="Полувыигрыш",(J261-1)/2,IF(U261="Возврат",0,IF(U261="Полупроигрыш",-0.5,IF(U261="Поражение",-1,"Проверить результат")))))))</x:f>
      </x:c>
      <x:c r="W261" s="80" t="str">
        <x:f>IF(A261="","",IF(U261="","Открыт",IF(ISNUMBER(V261),"Рассчитан","Проверить результат")))</x:f>
      </x:c>
      <x:c r="X261" s="98"/>
      <x:c r="Y261" s="5"/>
      <x:c r="Z261" s="5"/>
      <x:c r="AA261" s="5"/>
      <x:c r="AB261" s="118"/>
      <x:c r="AC261" s="119"/>
      <x:c r="AD261" s="119"/>
      <x:c r="AE261" s="5" t="str">
        <x:f>IF(A261="","",IF(Z261="","Нет ID пары",IF(AND(COUNTIFS($Z$59:$Z$505,Z261,$Y$59:$Y$505,"Оптимальный",$W$59:$W$505,"Рассчитан")=1,COUNTIFS($Z$59:$Z$505,Z261,$Y$59:$Y$505,"Агрессивный",$W$59:$W$505,"Рассчитан")=1),"Да","Нет")))</x:f>
      </x:c>
      <x:c r="AF261" s="5"/>
      <x:c r="AG261" s="5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IF(A262="","",IF(U262="","",IF(U262="Выигрыш",J262-1,IF(U262="Полувыигрыш",(J262-1)/2,IF(U262="Возврат",0,IF(U262="Полупроигрыш",-0.5,IF(U262="Поражение",-1,"Проверить результат")))))))</x:f>
      </x:c>
      <x:c r="W262" s="80" t="str">
        <x:f>IF(A262="","",IF(U262="","Открыт",IF(ISNUMBER(V262),"Рассчитан","Проверить результат")))</x:f>
      </x:c>
      <x:c r="X262" s="98"/>
      <x:c r="Y262" s="5"/>
      <x:c r="Z262" s="5"/>
      <x:c r="AA262" s="5"/>
      <x:c r="AB262" s="118"/>
      <x:c r="AC262" s="119"/>
      <x:c r="AD262" s="119"/>
      <x:c r="AE262" s="5" t="str">
        <x:f>IF(A262="","",IF(Z262="","Нет ID пары",IF(AND(COUNTIFS($Z$59:$Z$505,Z262,$Y$59:$Y$505,"Оптимальный",$W$59:$W$505,"Рассчитан")=1,COUNTIFS($Z$59:$Z$505,Z262,$Y$59:$Y$505,"Агрессивный",$W$59:$W$505,"Рассчитан")=1),"Да","Нет")))</x:f>
      </x:c>
      <x:c r="AF262" s="5"/>
      <x:c r="AG262" s="5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IF(A263="","",IF(U263="","",IF(U263="Выигрыш",J263-1,IF(U263="Полувыигрыш",(J263-1)/2,IF(U263="Возврат",0,IF(U263="Полупроигрыш",-0.5,IF(U263="Поражение",-1,"Проверить результат")))))))</x:f>
      </x:c>
      <x:c r="W263" s="80" t="str">
        <x:f>IF(A263="","",IF(U263="","Открыт",IF(ISNUMBER(V263),"Рассчитан","Проверить результат")))</x:f>
      </x:c>
      <x:c r="X263" s="98"/>
      <x:c r="Y263" s="5"/>
      <x:c r="Z263" s="5"/>
      <x:c r="AA263" s="5"/>
      <x:c r="AB263" s="118"/>
      <x:c r="AC263" s="119"/>
      <x:c r="AD263" s="119"/>
      <x:c r="AE263" s="5" t="str">
        <x:f>IF(A263="","",IF(Z263="","Нет ID пары",IF(AND(COUNTIFS($Z$59:$Z$505,Z263,$Y$59:$Y$505,"Оптимальный",$W$59:$W$505,"Рассчитан")=1,COUNTIFS($Z$59:$Z$505,Z263,$Y$59:$Y$505,"Агрессивный",$W$59:$W$505,"Рассчитан")=1),"Да","Нет")))</x:f>
      </x:c>
      <x:c r="AF263" s="5"/>
      <x:c r="AG263" s="5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IF(A264="","",IF(U264="","",IF(U264="Выигрыш",J264-1,IF(U264="Полувыигрыш",(J264-1)/2,IF(U264="Возврат",0,IF(U264="Полупроигрыш",-0.5,IF(U264="Поражение",-1,"Проверить результат")))))))</x:f>
      </x:c>
      <x:c r="W264" s="80" t="str">
        <x:f>IF(A264="","",IF(U264="","Открыт",IF(ISNUMBER(V264),"Рассчитан","Проверить результат")))</x:f>
      </x:c>
      <x:c r="X264" s="98"/>
      <x:c r="Y264" s="5"/>
      <x:c r="Z264" s="5"/>
      <x:c r="AA264" s="5"/>
      <x:c r="AB264" s="118"/>
      <x:c r="AC264" s="119"/>
      <x:c r="AD264" s="119"/>
      <x:c r="AE264" s="5" t="str">
        <x:f>IF(A264="","",IF(Z264="","Нет ID пары",IF(AND(COUNTIFS($Z$59:$Z$505,Z264,$Y$59:$Y$505,"Оптимальный",$W$59:$W$505,"Рассчитан")=1,COUNTIFS($Z$59:$Z$505,Z264,$Y$59:$Y$505,"Агрессивный",$W$59:$W$505,"Рассчитан")=1),"Да","Нет")))</x:f>
      </x:c>
      <x:c r="AF264" s="5"/>
      <x:c r="AG264" s="5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IF(A265="","",IF(U265="","",IF(U265="Выигрыш",J265-1,IF(U265="Полувыигрыш",(J265-1)/2,IF(U265="Возврат",0,IF(U265="Полупроигрыш",-0.5,IF(U265="Поражение",-1,"Проверить результат")))))))</x:f>
      </x:c>
      <x:c r="W265" s="80" t="str">
        <x:f>IF(A265="","",IF(U265="","Открыт",IF(ISNUMBER(V265),"Рассчитан","Проверить результат")))</x:f>
      </x:c>
      <x:c r="X265" s="98"/>
      <x:c r="Y265" s="5"/>
      <x:c r="Z265" s="5"/>
      <x:c r="AA265" s="5"/>
      <x:c r="AB265" s="118"/>
      <x:c r="AC265" s="119"/>
      <x:c r="AD265" s="119"/>
      <x:c r="AE265" s="5" t="str">
        <x:f>IF(A265="","",IF(Z265="","Нет ID пары",IF(AND(COUNTIFS($Z$59:$Z$505,Z265,$Y$59:$Y$505,"Оптимальный",$W$59:$W$505,"Рассчитан")=1,COUNTIFS($Z$59:$Z$505,Z265,$Y$59:$Y$505,"Агрессивный",$W$59:$W$505,"Рассчитан")=1),"Да","Нет")))</x:f>
      </x:c>
      <x:c r="AF265" s="5"/>
      <x:c r="AG265" s="5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IF(A266="","",IF(U266="","",IF(U266="Выигрыш",J266-1,IF(U266="Полувыигрыш",(J266-1)/2,IF(U266="Возврат",0,IF(U266="Полупроигрыш",-0.5,IF(U266="Поражение",-1,"Проверить результат")))))))</x:f>
      </x:c>
      <x:c r="W266" s="80" t="str">
        <x:f>IF(A266="","",IF(U266="","Открыт",IF(ISNUMBER(V266),"Рассчитан","Проверить результат")))</x:f>
      </x:c>
      <x:c r="X266" s="98"/>
      <x:c r="Y266" s="5"/>
      <x:c r="Z266" s="5"/>
      <x:c r="AA266" s="5"/>
      <x:c r="AB266" s="118"/>
      <x:c r="AC266" s="119"/>
      <x:c r="AD266" s="119"/>
      <x:c r="AE266" s="5" t="str">
        <x:f>IF(A266="","",IF(Z266="","Нет ID пары",IF(AND(COUNTIFS($Z$59:$Z$505,Z266,$Y$59:$Y$505,"Оптимальный",$W$59:$W$505,"Рассчитан")=1,COUNTIFS($Z$59:$Z$505,Z266,$Y$59:$Y$505,"Агрессивный",$W$59:$W$505,"Рассчитан")=1),"Да","Нет")))</x:f>
      </x:c>
      <x:c r="AF266" s="5"/>
      <x:c r="AG266" s="5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IF(A267="","",IF(U267="","",IF(U267="Выигрыш",J267-1,IF(U267="Полувыигрыш",(J267-1)/2,IF(U267="Возврат",0,IF(U267="Полупроигрыш",-0.5,IF(U267="Поражение",-1,"Проверить результат")))))))</x:f>
      </x:c>
      <x:c r="W267" s="80" t="str">
        <x:f>IF(A267="","",IF(U267="","Открыт",IF(ISNUMBER(V267),"Рассчитан","Проверить результат")))</x:f>
      </x:c>
      <x:c r="X267" s="98"/>
      <x:c r="Y267" s="5"/>
      <x:c r="Z267" s="5"/>
      <x:c r="AA267" s="5"/>
      <x:c r="AB267" s="118"/>
      <x:c r="AC267" s="119"/>
      <x:c r="AD267" s="119"/>
      <x:c r="AE267" s="5" t="str">
        <x:f>IF(A267="","",IF(Z267="","Нет ID пары",IF(AND(COUNTIFS($Z$59:$Z$505,Z267,$Y$59:$Y$505,"Оптимальный",$W$59:$W$505,"Рассчитан")=1,COUNTIFS($Z$59:$Z$505,Z267,$Y$59:$Y$505,"Агрессивный",$W$59:$W$505,"Рассчитан")=1),"Да","Нет")))</x:f>
      </x:c>
      <x:c r="AF267" s="5"/>
      <x:c r="AG267" s="5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IF(A268="","",IF(U268="","",IF(U268="Выигрыш",J268-1,IF(U268="Полувыигрыш",(J268-1)/2,IF(U268="Возврат",0,IF(U268="Полупроигрыш",-0.5,IF(U268="Поражение",-1,"Проверить результат")))))))</x:f>
      </x:c>
      <x:c r="W268" s="80" t="str">
        <x:f>IF(A268="","",IF(U268="","Открыт",IF(ISNUMBER(V268),"Рассчитан","Проверить результат")))</x:f>
      </x:c>
      <x:c r="X268" s="98"/>
      <x:c r="Y268" s="5"/>
      <x:c r="Z268" s="5"/>
      <x:c r="AA268" s="5"/>
      <x:c r="AB268" s="118"/>
      <x:c r="AC268" s="119"/>
      <x:c r="AD268" s="119"/>
      <x:c r="AE268" s="5" t="str">
        <x:f>IF(A268="","",IF(Z268="","Нет ID пары",IF(AND(COUNTIFS($Z$59:$Z$505,Z268,$Y$59:$Y$505,"Оптимальный",$W$59:$W$505,"Рассчитан")=1,COUNTIFS($Z$59:$Z$505,Z268,$Y$59:$Y$505,"Агрессивный",$W$59:$W$505,"Рассчитан")=1),"Да","Нет")))</x:f>
      </x:c>
      <x:c r="AF268" s="5"/>
      <x:c r="AG268" s="5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IF(A269="","",IF(U269="","",IF(U269="Выигрыш",J269-1,IF(U269="Полувыигрыш",(J269-1)/2,IF(U269="Возврат",0,IF(U269="Полупроигрыш",-0.5,IF(U269="Поражение",-1,"Проверить результат")))))))</x:f>
      </x:c>
      <x:c r="W269" s="80" t="str">
        <x:f>IF(A269="","",IF(U269="","Открыт",IF(ISNUMBER(V269),"Рассчитан","Проверить результат")))</x:f>
      </x:c>
      <x:c r="X269" s="98"/>
      <x:c r="Y269" s="5"/>
      <x:c r="Z269" s="5"/>
      <x:c r="AA269" s="5"/>
      <x:c r="AB269" s="118"/>
      <x:c r="AC269" s="119"/>
      <x:c r="AD269" s="119"/>
      <x:c r="AE269" s="5" t="str">
        <x:f>IF(A269="","",IF(Z269="","Нет ID пары",IF(AND(COUNTIFS($Z$59:$Z$505,Z269,$Y$59:$Y$505,"Оптимальный",$W$59:$W$505,"Рассчитан")=1,COUNTIFS($Z$59:$Z$505,Z269,$Y$59:$Y$505,"Агрессивный",$W$59:$W$505,"Рассчитан")=1),"Да","Нет")))</x:f>
      </x:c>
      <x:c r="AF269" s="5"/>
      <x:c r="AG269" s="5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IF(A270="","",IF(U270="","",IF(U270="Выигрыш",J270-1,IF(U270="Полувыигрыш",(J270-1)/2,IF(U270="Возврат",0,IF(U270="Полупроигрыш",-0.5,IF(U270="Поражение",-1,"Проверить результат")))))))</x:f>
      </x:c>
      <x:c r="W270" s="80" t="str">
        <x:f>IF(A270="","",IF(U270="","Открыт",IF(ISNUMBER(V270),"Рассчитан","Проверить результат")))</x:f>
      </x:c>
      <x:c r="X270" s="98"/>
      <x:c r="Y270" s="5"/>
      <x:c r="Z270" s="5"/>
      <x:c r="AA270" s="5"/>
      <x:c r="AB270" s="118"/>
      <x:c r="AC270" s="119"/>
      <x:c r="AD270" s="119"/>
      <x:c r="AE270" s="5" t="str">
        <x:f>IF(A270="","",IF(Z270="","Нет ID пары",IF(AND(COUNTIFS($Z$59:$Z$505,Z270,$Y$59:$Y$505,"Оптимальный",$W$59:$W$505,"Рассчитан")=1,COUNTIFS($Z$59:$Z$505,Z270,$Y$59:$Y$505,"Агрессивный",$W$59:$W$505,"Рассчитан")=1),"Да","Нет")))</x:f>
      </x:c>
      <x:c r="AF270" s="5"/>
      <x:c r="AG270" s="5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IF(A271="","",IF(U271="","",IF(U271="Выигрыш",J271-1,IF(U271="Полувыигрыш",(J271-1)/2,IF(U271="Возврат",0,IF(U271="Полупроигрыш",-0.5,IF(U271="Поражение",-1,"Проверить результат")))))))</x:f>
      </x:c>
      <x:c r="W271" s="80" t="str">
        <x:f>IF(A271="","",IF(U271="","Открыт",IF(ISNUMBER(V271),"Рассчитан","Проверить результат")))</x:f>
      </x:c>
      <x:c r="X271" s="98"/>
      <x:c r="Y271" s="5"/>
      <x:c r="Z271" s="5"/>
      <x:c r="AA271" s="5"/>
      <x:c r="AB271" s="118"/>
      <x:c r="AC271" s="119"/>
      <x:c r="AD271" s="119"/>
      <x:c r="AE271" s="5" t="str">
        <x:f>IF(A271="","",IF(Z271="","Нет ID пары",IF(AND(COUNTIFS($Z$59:$Z$505,Z271,$Y$59:$Y$505,"Оптимальный",$W$59:$W$505,"Рассчитан")=1,COUNTIFS($Z$59:$Z$505,Z271,$Y$59:$Y$505,"Агрессивный",$W$59:$W$505,"Рассчитан")=1),"Да","Нет")))</x:f>
      </x:c>
      <x:c r="AF271" s="5"/>
      <x:c r="AG271" s="5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IF(A272="","",IF(U272="","",IF(U272="Выигрыш",J272-1,IF(U272="Полувыигрыш",(J272-1)/2,IF(U272="Возврат",0,IF(U272="Полупроигрыш",-0.5,IF(U272="Поражение",-1,"Проверить результат")))))))</x:f>
      </x:c>
      <x:c r="W272" s="80" t="str">
        <x:f>IF(A272="","",IF(U272="","Открыт",IF(ISNUMBER(V272),"Рассчитан","Проверить результат")))</x:f>
      </x:c>
      <x:c r="X272" s="98"/>
      <x:c r="Y272" s="5"/>
      <x:c r="Z272" s="5"/>
      <x:c r="AA272" s="5"/>
      <x:c r="AB272" s="118"/>
      <x:c r="AC272" s="119"/>
      <x:c r="AD272" s="119"/>
      <x:c r="AE272" s="5" t="str">
        <x:f>IF(A272="","",IF(Z272="","Нет ID пары",IF(AND(COUNTIFS($Z$59:$Z$505,Z272,$Y$59:$Y$505,"Оптимальный",$W$59:$W$505,"Рассчитан")=1,COUNTIFS($Z$59:$Z$505,Z272,$Y$59:$Y$505,"Агрессивный",$W$59:$W$505,"Рассчитан")=1),"Да","Нет")))</x:f>
      </x:c>
      <x:c r="AF272" s="5"/>
      <x:c r="AG272" s="5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IF(A273="","",IF(U273="","",IF(U273="Выигрыш",J273-1,IF(U273="Полувыигрыш",(J273-1)/2,IF(U273="Возврат",0,IF(U273="Полупроигрыш",-0.5,IF(U273="Поражение",-1,"Проверить результат")))))))</x:f>
      </x:c>
      <x:c r="W273" s="80" t="str">
        <x:f>IF(A273="","",IF(U273="","Открыт",IF(ISNUMBER(V273),"Рассчитан","Проверить результат")))</x:f>
      </x:c>
      <x:c r="X273" s="98"/>
      <x:c r="Y273" s="5"/>
      <x:c r="Z273" s="5"/>
      <x:c r="AA273" s="5"/>
      <x:c r="AB273" s="118"/>
      <x:c r="AC273" s="119"/>
      <x:c r="AD273" s="119"/>
      <x:c r="AE273" s="5" t="str">
        <x:f>IF(A273="","",IF(Z273="","Нет ID пары",IF(AND(COUNTIFS($Z$59:$Z$505,Z273,$Y$59:$Y$505,"Оптимальный",$W$59:$W$505,"Рассчитан")=1,COUNTIFS($Z$59:$Z$505,Z273,$Y$59:$Y$505,"Агрессивный",$W$59:$W$505,"Рассчитан")=1),"Да","Нет")))</x:f>
      </x:c>
      <x:c r="AF273" s="5"/>
      <x:c r="AG273" s="5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IF(A274="","",IF(U274="","",IF(U274="Выигрыш",J274-1,IF(U274="Полувыигрыш",(J274-1)/2,IF(U274="Возврат",0,IF(U274="Полупроигрыш",-0.5,IF(U274="Поражение",-1,"Проверить результат")))))))</x:f>
      </x:c>
      <x:c r="W274" s="80" t="str">
        <x:f>IF(A274="","",IF(U274="","Открыт",IF(ISNUMBER(V274),"Рассчитан","Проверить результат")))</x:f>
      </x:c>
      <x:c r="X274" s="98"/>
      <x:c r="Y274" s="5"/>
      <x:c r="Z274" s="5"/>
      <x:c r="AA274" s="5"/>
      <x:c r="AB274" s="118"/>
      <x:c r="AC274" s="119"/>
      <x:c r="AD274" s="119"/>
      <x:c r="AE274" s="5" t="str">
        <x:f>IF(A274="","",IF(Z274="","Нет ID пары",IF(AND(COUNTIFS($Z$59:$Z$505,Z274,$Y$59:$Y$505,"Оптимальный",$W$59:$W$505,"Рассчитан")=1,COUNTIFS($Z$59:$Z$505,Z274,$Y$59:$Y$505,"Агрессивный",$W$59:$W$505,"Рассчитан")=1),"Да","Нет")))</x:f>
      </x:c>
      <x:c r="AF274" s="5"/>
      <x:c r="AG274" s="5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IF(A275="","",IF(U275="","",IF(U275="Выигрыш",J275-1,IF(U275="Полувыигрыш",(J275-1)/2,IF(U275="Возврат",0,IF(U275="Полупроигрыш",-0.5,IF(U275="Поражение",-1,"Проверить результат")))))))</x:f>
      </x:c>
      <x:c r="W275" s="80" t="str">
        <x:f>IF(A275="","",IF(U275="","Открыт",IF(ISNUMBER(V275),"Рассчитан","Проверить результат")))</x:f>
      </x:c>
      <x:c r="X275" s="98"/>
      <x:c r="Y275" s="5"/>
      <x:c r="Z275" s="5"/>
      <x:c r="AA275" s="5"/>
      <x:c r="AB275" s="118"/>
      <x:c r="AC275" s="119"/>
      <x:c r="AD275" s="119"/>
      <x:c r="AE275" s="5" t="str">
        <x:f>IF(A275="","",IF(Z275="","Нет ID пары",IF(AND(COUNTIFS($Z$59:$Z$505,Z275,$Y$59:$Y$505,"Оптимальный",$W$59:$W$505,"Рассчитан")=1,COUNTIFS($Z$59:$Z$505,Z275,$Y$59:$Y$505,"Агрессивный",$W$59:$W$505,"Рассчитан")=1),"Да","Нет")))</x:f>
      </x:c>
      <x:c r="AF275" s="5"/>
      <x:c r="AG275" s="5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IF(A276="","",IF(U276="","",IF(U276="Выигрыш",J276-1,IF(U276="Полувыигрыш",(J276-1)/2,IF(U276="Возврат",0,IF(U276="Полупроигрыш",-0.5,IF(U276="Поражение",-1,"Проверить результат")))))))</x:f>
      </x:c>
      <x:c r="W276" s="80" t="str">
        <x:f>IF(A276="","",IF(U276="","Открыт",IF(ISNUMBER(V276),"Рассчитан","Проверить результат")))</x:f>
      </x:c>
      <x:c r="X276" s="98"/>
      <x:c r="Y276" s="5"/>
      <x:c r="Z276" s="5"/>
      <x:c r="AA276" s="5"/>
      <x:c r="AB276" s="118"/>
      <x:c r="AC276" s="119"/>
      <x:c r="AD276" s="119"/>
      <x:c r="AE276" s="5" t="str">
        <x:f>IF(A276="","",IF(Z276="","Нет ID пары",IF(AND(COUNTIFS($Z$59:$Z$505,Z276,$Y$59:$Y$505,"Оптимальный",$W$59:$W$505,"Рассчитан")=1,COUNTIFS($Z$59:$Z$505,Z276,$Y$59:$Y$505,"Агрессивный",$W$59:$W$505,"Рассчитан")=1),"Да","Нет")))</x:f>
      </x:c>
      <x:c r="AF276" s="5"/>
      <x:c r="AG276" s="5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IF(A277="","",IF(U277="","",IF(U277="Выигрыш",J277-1,IF(U277="Полувыигрыш",(J277-1)/2,IF(U277="Возврат",0,IF(U277="Полупроигрыш",-0.5,IF(U277="Поражение",-1,"Проверить результат")))))))</x:f>
      </x:c>
      <x:c r="W277" s="80" t="str">
        <x:f>IF(A277="","",IF(U277="","Открыт",IF(ISNUMBER(V277),"Рассчитан","Проверить результат")))</x:f>
      </x:c>
      <x:c r="X277" s="98"/>
      <x:c r="Y277" s="5"/>
      <x:c r="Z277" s="5"/>
      <x:c r="AA277" s="5"/>
      <x:c r="AB277" s="118"/>
      <x:c r="AC277" s="119"/>
      <x:c r="AD277" s="119"/>
      <x:c r="AE277" s="5" t="str">
        <x:f>IF(A277="","",IF(Z277="","Нет ID пары",IF(AND(COUNTIFS($Z$59:$Z$505,Z277,$Y$59:$Y$505,"Оптимальный",$W$59:$W$505,"Рассчитан")=1,COUNTIFS($Z$59:$Z$505,Z277,$Y$59:$Y$505,"Агрессивный",$W$59:$W$505,"Рассчитан")=1),"Да","Нет")))</x:f>
      </x:c>
      <x:c r="AF277" s="5"/>
      <x:c r="AG277" s="5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IF(A278="","",IF(U278="","",IF(U278="Выигрыш",J278-1,IF(U278="Полувыигрыш",(J278-1)/2,IF(U278="Возврат",0,IF(U278="Полупроигрыш",-0.5,IF(U278="Поражение",-1,"Проверить результат")))))))</x:f>
      </x:c>
      <x:c r="W278" s="80" t="str">
        <x:f>IF(A278="","",IF(U278="","Открыт",IF(ISNUMBER(V278),"Рассчитан","Проверить результат")))</x:f>
      </x:c>
      <x:c r="X278" s="98"/>
      <x:c r="Y278" s="5"/>
      <x:c r="Z278" s="5"/>
      <x:c r="AA278" s="5"/>
      <x:c r="AB278" s="118"/>
      <x:c r="AC278" s="119"/>
      <x:c r="AD278" s="119"/>
      <x:c r="AE278" s="5" t="str">
        <x:f>IF(A278="","",IF(Z278="","Нет ID пары",IF(AND(COUNTIFS($Z$59:$Z$505,Z278,$Y$59:$Y$505,"Оптимальный",$W$59:$W$505,"Рассчитан")=1,COUNTIFS($Z$59:$Z$505,Z278,$Y$59:$Y$505,"Агрессивный",$W$59:$W$505,"Рассчитан")=1),"Да","Нет")))</x:f>
      </x:c>
      <x:c r="AF278" s="5"/>
      <x:c r="AG278" s="5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IF(A279="","",IF(U279="","",IF(U279="Выигрыш",J279-1,IF(U279="Полувыигрыш",(J279-1)/2,IF(U279="Возврат",0,IF(U279="Полупроигрыш",-0.5,IF(U279="Поражение",-1,"Проверить результат")))))))</x:f>
      </x:c>
      <x:c r="W279" s="80" t="str">
        <x:f>IF(A279="","",IF(U279="","Открыт",IF(ISNUMBER(V279),"Рассчитан","Проверить результат")))</x:f>
      </x:c>
      <x:c r="X279" s="98"/>
      <x:c r="Y279" s="5"/>
      <x:c r="Z279" s="5"/>
      <x:c r="AA279" s="5"/>
      <x:c r="AB279" s="118"/>
      <x:c r="AC279" s="119"/>
      <x:c r="AD279" s="119"/>
      <x:c r="AE279" s="5" t="str">
        <x:f>IF(A279="","",IF(Z279="","Нет ID пары",IF(AND(COUNTIFS($Z$59:$Z$505,Z279,$Y$59:$Y$505,"Оптимальный",$W$59:$W$505,"Рассчитан")=1,COUNTIFS($Z$59:$Z$505,Z279,$Y$59:$Y$505,"Агрессивный",$W$59:$W$505,"Рассчитан")=1),"Да","Нет")))</x:f>
      </x:c>
      <x:c r="AF279" s="5"/>
      <x:c r="AG279" s="5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IF(A280="","",IF(U280="","",IF(U280="Выигрыш",J280-1,IF(U280="Полувыигрыш",(J280-1)/2,IF(U280="Возврат",0,IF(U280="Полупроигрыш",-0.5,IF(U280="Поражение",-1,"Проверить результат")))))))</x:f>
      </x:c>
      <x:c r="W280" s="80" t="str">
        <x:f>IF(A280="","",IF(U280="","Открыт",IF(ISNUMBER(V280),"Рассчитан","Проверить результат")))</x:f>
      </x:c>
      <x:c r="X280" s="98"/>
      <x:c r="Y280" s="5"/>
      <x:c r="Z280" s="5"/>
      <x:c r="AA280" s="5"/>
      <x:c r="AB280" s="118"/>
      <x:c r="AC280" s="119"/>
      <x:c r="AD280" s="119"/>
      <x:c r="AE280" s="5" t="str">
        <x:f>IF(A280="","",IF(Z280="","Нет ID пары",IF(AND(COUNTIFS($Z$59:$Z$505,Z280,$Y$59:$Y$505,"Оптимальный",$W$59:$W$505,"Рассчитан")=1,COUNTIFS($Z$59:$Z$505,Z280,$Y$59:$Y$505,"Агрессивный",$W$59:$W$505,"Рассчитан")=1),"Да","Нет")))</x:f>
      </x:c>
      <x:c r="AF280" s="5"/>
      <x:c r="AG280" s="5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IF(A281="","",IF(U281="","",IF(U281="Выигрыш",J281-1,IF(U281="Полувыигрыш",(J281-1)/2,IF(U281="Возврат",0,IF(U281="Полупроигрыш",-0.5,IF(U281="Поражение",-1,"Проверить результат")))))))</x:f>
      </x:c>
      <x:c r="W281" s="80" t="str">
        <x:f>IF(A281="","",IF(U281="","Открыт",IF(ISNUMBER(V281),"Рассчитан","Проверить результат")))</x:f>
      </x:c>
      <x:c r="X281" s="98"/>
      <x:c r="Y281" s="5"/>
      <x:c r="Z281" s="5"/>
      <x:c r="AA281" s="5"/>
      <x:c r="AB281" s="118"/>
      <x:c r="AC281" s="119"/>
      <x:c r="AD281" s="119"/>
      <x:c r="AE281" s="5" t="str">
        <x:f>IF(A281="","",IF(Z281="","Нет ID пары",IF(AND(COUNTIFS($Z$59:$Z$505,Z281,$Y$59:$Y$505,"Оптимальный",$W$59:$W$505,"Рассчитан")=1,COUNTIFS($Z$59:$Z$505,Z281,$Y$59:$Y$505,"Агрессивный",$W$59:$W$505,"Рассчитан")=1),"Да","Нет")))</x:f>
      </x:c>
      <x:c r="AF281" s="5"/>
      <x:c r="AG281" s="5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IF(A282="","",IF(U282="","",IF(U282="Выигрыш",J282-1,IF(U282="Полувыигрыш",(J282-1)/2,IF(U282="Возврат",0,IF(U282="Полупроигрыш",-0.5,IF(U282="Поражение",-1,"Проверить результат")))))))</x:f>
      </x:c>
      <x:c r="W282" s="80" t="str">
        <x:f>IF(A282="","",IF(U282="","Открыт",IF(ISNUMBER(V282),"Рассчитан","Проверить результат")))</x:f>
      </x:c>
      <x:c r="X282" s="98"/>
      <x:c r="Y282" s="5"/>
      <x:c r="Z282" s="5"/>
      <x:c r="AA282" s="5"/>
      <x:c r="AB282" s="118"/>
      <x:c r="AC282" s="119"/>
      <x:c r="AD282" s="119"/>
      <x:c r="AE282" s="5" t="str">
        <x:f>IF(A282="","",IF(Z282="","Нет ID пары",IF(AND(COUNTIFS($Z$59:$Z$505,Z282,$Y$59:$Y$505,"Оптимальный",$W$59:$W$505,"Рассчитан")=1,COUNTIFS($Z$59:$Z$505,Z282,$Y$59:$Y$505,"Агрессивный",$W$59:$W$505,"Рассчитан")=1),"Да","Нет")))</x:f>
      </x:c>
      <x:c r="AF282" s="5"/>
      <x:c r="AG282" s="5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IF(A283="","",IF(U283="","",IF(U283="Выигрыш",J283-1,IF(U283="Полувыигрыш",(J283-1)/2,IF(U283="Возврат",0,IF(U283="Полупроигрыш",-0.5,IF(U283="Поражение",-1,"Проверить результат")))))))</x:f>
      </x:c>
      <x:c r="W283" s="80" t="str">
        <x:f>IF(A283="","",IF(U283="","Открыт",IF(ISNUMBER(V283),"Рассчитан","Проверить результат")))</x:f>
      </x:c>
      <x:c r="X283" s="98"/>
      <x:c r="Y283" s="5"/>
      <x:c r="Z283" s="5"/>
      <x:c r="AA283" s="5"/>
      <x:c r="AB283" s="118"/>
      <x:c r="AC283" s="119"/>
      <x:c r="AD283" s="119"/>
      <x:c r="AE283" s="5" t="str">
        <x:f>IF(A283="","",IF(Z283="","Нет ID пары",IF(AND(COUNTIFS($Z$59:$Z$505,Z283,$Y$59:$Y$505,"Оптимальный",$W$59:$W$505,"Рассчитан")=1,COUNTIFS($Z$59:$Z$505,Z283,$Y$59:$Y$505,"Агрессивный",$W$59:$W$505,"Рассчитан")=1),"Да","Нет")))</x:f>
      </x:c>
      <x:c r="AF283" s="5"/>
      <x:c r="AG283" s="5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IF(A284="","",IF(U284="","",IF(U284="Выигрыш",J284-1,IF(U284="Полувыигрыш",(J284-1)/2,IF(U284="Возврат",0,IF(U284="Полупроигрыш",-0.5,IF(U284="Поражение",-1,"Проверить результат")))))))</x:f>
      </x:c>
      <x:c r="W284" s="80" t="str">
        <x:f>IF(A284="","",IF(U284="","Открыт",IF(ISNUMBER(V284),"Рассчитан","Проверить результат")))</x:f>
      </x:c>
      <x:c r="X284" s="98"/>
      <x:c r="Y284" s="5"/>
      <x:c r="Z284" s="5"/>
      <x:c r="AA284" s="5"/>
      <x:c r="AB284" s="118"/>
      <x:c r="AC284" s="119"/>
      <x:c r="AD284" s="119"/>
      <x:c r="AE284" s="5" t="str">
        <x:f>IF(A284="","",IF(Z284="","Нет ID пары",IF(AND(COUNTIFS($Z$59:$Z$505,Z284,$Y$59:$Y$505,"Оптимальный",$W$59:$W$505,"Рассчитан")=1,COUNTIFS($Z$59:$Z$505,Z284,$Y$59:$Y$505,"Агрессивный",$W$59:$W$505,"Рассчитан")=1),"Да","Нет")))</x:f>
      </x:c>
      <x:c r="AF284" s="5"/>
      <x:c r="AG284" s="5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IF(A285="","",IF(U285="","",IF(U285="Выигрыш",J285-1,IF(U285="Полувыигрыш",(J285-1)/2,IF(U285="Возврат",0,IF(U285="Полупроигрыш",-0.5,IF(U285="Поражение",-1,"Проверить результат")))))))</x:f>
      </x:c>
      <x:c r="W285" s="80" t="str">
        <x:f>IF(A285="","",IF(U285="","Открыт",IF(ISNUMBER(V285),"Рассчитан","Проверить результат")))</x:f>
      </x:c>
      <x:c r="X285" s="98"/>
      <x:c r="Y285" s="5"/>
      <x:c r="Z285" s="5"/>
      <x:c r="AA285" s="5"/>
      <x:c r="AB285" s="118"/>
      <x:c r="AC285" s="119"/>
      <x:c r="AD285" s="119"/>
      <x:c r="AE285" s="5" t="str">
        <x:f>IF(A285="","",IF(Z285="","Нет ID пары",IF(AND(COUNTIFS($Z$59:$Z$505,Z285,$Y$59:$Y$505,"Оптимальный",$W$59:$W$505,"Рассчитан")=1,COUNTIFS($Z$59:$Z$505,Z285,$Y$59:$Y$505,"Агрессивный",$W$59:$W$505,"Рассчитан")=1),"Да","Нет")))</x:f>
      </x:c>
      <x:c r="AF285" s="5"/>
      <x:c r="AG285" s="5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IF(A286="","",IF(U286="","",IF(U286="Выигрыш",J286-1,IF(U286="Полувыигрыш",(J286-1)/2,IF(U286="Возврат",0,IF(U286="Полупроигрыш",-0.5,IF(U286="Поражение",-1,"Проверить результат")))))))</x:f>
      </x:c>
      <x:c r="W286" s="80" t="str">
        <x:f>IF(A286="","",IF(U286="","Открыт",IF(ISNUMBER(V286),"Рассчитан","Проверить результат")))</x:f>
      </x:c>
      <x:c r="X286" s="98"/>
      <x:c r="Y286" s="5"/>
      <x:c r="Z286" s="5"/>
      <x:c r="AA286" s="5"/>
      <x:c r="AB286" s="118"/>
      <x:c r="AC286" s="119"/>
      <x:c r="AD286" s="119"/>
      <x:c r="AE286" s="5" t="str">
        <x:f>IF(A286="","",IF(Z286="","Нет ID пары",IF(AND(COUNTIFS($Z$59:$Z$505,Z286,$Y$59:$Y$505,"Оптимальный",$W$59:$W$505,"Рассчитан")=1,COUNTIFS($Z$59:$Z$505,Z286,$Y$59:$Y$505,"Агрессивный",$W$59:$W$505,"Рассчитан")=1),"Да","Нет")))</x:f>
      </x:c>
      <x:c r="AF286" s="5"/>
      <x:c r="AG286" s="5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IF(A287="","",IF(U287="","",IF(U287="Выигрыш",J287-1,IF(U287="Полувыигрыш",(J287-1)/2,IF(U287="Возврат",0,IF(U287="Полупроигрыш",-0.5,IF(U287="Поражение",-1,"Проверить результат")))))))</x:f>
      </x:c>
      <x:c r="W287" s="80" t="str">
        <x:f>IF(A287="","",IF(U287="","Открыт",IF(ISNUMBER(V287),"Рассчитан","Проверить результат")))</x:f>
      </x:c>
      <x:c r="X287" s="98"/>
      <x:c r="Y287" s="5"/>
      <x:c r="Z287" s="5"/>
      <x:c r="AA287" s="5"/>
      <x:c r="AB287" s="118"/>
      <x:c r="AC287" s="119"/>
      <x:c r="AD287" s="119"/>
      <x:c r="AE287" s="5" t="str">
        <x:f>IF(A287="","",IF(Z287="","Нет ID пары",IF(AND(COUNTIFS($Z$59:$Z$505,Z287,$Y$59:$Y$505,"Оптимальный",$W$59:$W$505,"Рассчитан")=1,COUNTIFS($Z$59:$Z$505,Z287,$Y$59:$Y$505,"Агрессивный",$W$59:$W$505,"Рассчитан")=1),"Да","Нет")))</x:f>
      </x:c>
      <x:c r="AF287" s="5"/>
      <x:c r="AG287" s="5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IF(A288="","",IF(U288="","",IF(U288="Выигрыш",J288-1,IF(U288="Полувыигрыш",(J288-1)/2,IF(U288="Возврат",0,IF(U288="Полупроигрыш",-0.5,IF(U288="Поражение",-1,"Проверить результат")))))))</x:f>
      </x:c>
      <x:c r="W288" s="80" t="str">
        <x:f>IF(A288="","",IF(U288="","Открыт",IF(ISNUMBER(V288),"Рассчитан","Проверить результат")))</x:f>
      </x:c>
      <x:c r="X288" s="98"/>
      <x:c r="Y288" s="5"/>
      <x:c r="Z288" s="5"/>
      <x:c r="AA288" s="5"/>
      <x:c r="AB288" s="118"/>
      <x:c r="AC288" s="119"/>
      <x:c r="AD288" s="119"/>
      <x:c r="AE288" s="5" t="str">
        <x:f>IF(A288="","",IF(Z288="","Нет ID пары",IF(AND(COUNTIFS($Z$59:$Z$505,Z288,$Y$59:$Y$505,"Оптимальный",$W$59:$W$505,"Рассчитан")=1,COUNTIFS($Z$59:$Z$505,Z288,$Y$59:$Y$505,"Агрессивный",$W$59:$W$505,"Рассчитан")=1),"Да","Нет")))</x:f>
      </x:c>
      <x:c r="AF288" s="5"/>
      <x:c r="AG288" s="5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IF(A289="","",IF(U289="","",IF(U289="Выигрыш",J289-1,IF(U289="Полувыигрыш",(J289-1)/2,IF(U289="Возврат",0,IF(U289="Полупроигрыш",-0.5,IF(U289="Поражение",-1,"Проверить результат")))))))</x:f>
      </x:c>
      <x:c r="W289" s="80" t="str">
        <x:f>IF(A289="","",IF(U289="","Открыт",IF(ISNUMBER(V289),"Рассчитан","Проверить результат")))</x:f>
      </x:c>
      <x:c r="X289" s="98"/>
      <x:c r="Y289" s="5"/>
      <x:c r="Z289" s="5"/>
      <x:c r="AA289" s="5"/>
      <x:c r="AB289" s="118"/>
      <x:c r="AC289" s="119"/>
      <x:c r="AD289" s="119"/>
      <x:c r="AE289" s="5" t="str">
        <x:f>IF(A289="","",IF(Z289="","Нет ID пары",IF(AND(COUNTIFS($Z$59:$Z$505,Z289,$Y$59:$Y$505,"Оптимальный",$W$59:$W$505,"Рассчитан")=1,COUNTIFS($Z$59:$Z$505,Z289,$Y$59:$Y$505,"Агрессивный",$W$59:$W$505,"Рассчитан")=1),"Да","Нет")))</x:f>
      </x:c>
      <x:c r="AF289" s="5"/>
      <x:c r="AG289" s="5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IF(A290="","",IF(U290="","",IF(U290="Выигрыш",J290-1,IF(U290="Полувыигрыш",(J290-1)/2,IF(U290="Возврат",0,IF(U290="Полупроигрыш",-0.5,IF(U290="Поражение",-1,"Проверить результат")))))))</x:f>
      </x:c>
      <x:c r="W290" s="80" t="str">
        <x:f>IF(A290="","",IF(U290="","Открыт",IF(ISNUMBER(V290),"Рассчитан","Проверить результат")))</x:f>
      </x:c>
      <x:c r="X290" s="98"/>
      <x:c r="Y290" s="5"/>
      <x:c r="Z290" s="5"/>
      <x:c r="AA290" s="5"/>
      <x:c r="AB290" s="118"/>
      <x:c r="AC290" s="119"/>
      <x:c r="AD290" s="119"/>
      <x:c r="AE290" s="5" t="str">
        <x:f>IF(A290="","",IF(Z290="","Нет ID пары",IF(AND(COUNTIFS($Z$59:$Z$505,Z290,$Y$59:$Y$505,"Оптимальный",$W$59:$W$505,"Рассчитан")=1,COUNTIFS($Z$59:$Z$505,Z290,$Y$59:$Y$505,"Агрессивный",$W$59:$W$505,"Рассчитан")=1),"Да","Нет")))</x:f>
      </x:c>
      <x:c r="AF290" s="5"/>
      <x:c r="AG290" s="5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IF(A291="","",IF(U291="","",IF(U291="Выигрыш",J291-1,IF(U291="Полувыигрыш",(J291-1)/2,IF(U291="Возврат",0,IF(U291="Полупроигрыш",-0.5,IF(U291="Поражение",-1,"Проверить результат")))))))</x:f>
      </x:c>
      <x:c r="W291" s="80" t="str">
        <x:f>IF(A291="","",IF(U291="","Открыт",IF(ISNUMBER(V291),"Рассчитан","Проверить результат")))</x:f>
      </x:c>
      <x:c r="X291" s="98"/>
      <x:c r="Y291" s="5"/>
      <x:c r="Z291" s="5"/>
      <x:c r="AA291" s="5"/>
      <x:c r="AB291" s="118"/>
      <x:c r="AC291" s="119"/>
      <x:c r="AD291" s="119"/>
      <x:c r="AE291" s="5" t="str">
        <x:f>IF(A291="","",IF(Z291="","Нет ID пары",IF(AND(COUNTIFS($Z$59:$Z$505,Z291,$Y$59:$Y$505,"Оптимальный",$W$59:$W$505,"Рассчитан")=1,COUNTIFS($Z$59:$Z$505,Z291,$Y$59:$Y$505,"Агрессивный",$W$59:$W$505,"Рассчитан")=1),"Да","Нет")))</x:f>
      </x:c>
      <x:c r="AF291" s="5"/>
      <x:c r="AG291" s="5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IF(A292="","",IF(U292="","",IF(U292="Выигрыш",J292-1,IF(U292="Полувыигрыш",(J292-1)/2,IF(U292="Возврат",0,IF(U292="Полупроигрыш",-0.5,IF(U292="Поражение",-1,"Проверить результат")))))))</x:f>
      </x:c>
      <x:c r="W292" s="80" t="str">
        <x:f>IF(A292="","",IF(U292="","Открыт",IF(ISNUMBER(V292),"Рассчитан","Проверить результат")))</x:f>
      </x:c>
      <x:c r="X292" s="98"/>
      <x:c r="Y292" s="5"/>
      <x:c r="Z292" s="5"/>
      <x:c r="AA292" s="5"/>
      <x:c r="AB292" s="118"/>
      <x:c r="AC292" s="119"/>
      <x:c r="AD292" s="119"/>
      <x:c r="AE292" s="5" t="str">
        <x:f>IF(A292="","",IF(Z292="","Нет ID пары",IF(AND(COUNTIFS($Z$59:$Z$505,Z292,$Y$59:$Y$505,"Оптимальный",$W$59:$W$505,"Рассчитан")=1,COUNTIFS($Z$59:$Z$505,Z292,$Y$59:$Y$505,"Агрессивный",$W$59:$W$505,"Рассчитан")=1),"Да","Нет")))</x:f>
      </x:c>
      <x:c r="AF292" s="5"/>
      <x:c r="AG292" s="5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IF(A293="","",IF(U293="","",IF(U293="Выигрыш",J293-1,IF(U293="Полувыигрыш",(J293-1)/2,IF(U293="Возврат",0,IF(U293="Полупроигрыш",-0.5,IF(U293="Поражение",-1,"Проверить результат")))))))</x:f>
      </x:c>
      <x:c r="W293" s="80" t="str">
        <x:f>IF(A293="","",IF(U293="","Открыт",IF(ISNUMBER(V293),"Рассчитан","Проверить результат")))</x:f>
      </x:c>
      <x:c r="X293" s="98"/>
      <x:c r="Y293" s="5"/>
      <x:c r="Z293" s="5"/>
      <x:c r="AA293" s="5"/>
      <x:c r="AB293" s="118"/>
      <x:c r="AC293" s="119"/>
      <x:c r="AD293" s="119"/>
      <x:c r="AE293" s="5" t="str">
        <x:f>IF(A293="","",IF(Z293="","Нет ID пары",IF(AND(COUNTIFS($Z$59:$Z$505,Z293,$Y$59:$Y$505,"Оптимальный",$W$59:$W$505,"Рассчитан")=1,COUNTIFS($Z$59:$Z$505,Z293,$Y$59:$Y$505,"Агрессивный",$W$59:$W$505,"Рассчитан")=1),"Да","Нет")))</x:f>
      </x:c>
      <x:c r="AF293" s="5"/>
      <x:c r="AG293" s="5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IF(A294="","",IF(U294="","",IF(U294="Выигрыш",J294-1,IF(U294="Полувыигрыш",(J294-1)/2,IF(U294="Возврат",0,IF(U294="Полупроигрыш",-0.5,IF(U294="Поражение",-1,"Проверить результат")))))))</x:f>
      </x:c>
      <x:c r="W294" s="80" t="str">
        <x:f>IF(A294="","",IF(U294="","Открыт",IF(ISNUMBER(V294),"Рассчитан","Проверить результат")))</x:f>
      </x:c>
      <x:c r="X294" s="98"/>
      <x:c r="Y294" s="5"/>
      <x:c r="Z294" s="5"/>
      <x:c r="AA294" s="5"/>
      <x:c r="AB294" s="118"/>
      <x:c r="AC294" s="119"/>
      <x:c r="AD294" s="119"/>
      <x:c r="AE294" s="5" t="str">
        <x:f>IF(A294="","",IF(Z294="","Нет ID пары",IF(AND(COUNTIFS($Z$59:$Z$505,Z294,$Y$59:$Y$505,"Оптимальный",$W$59:$W$505,"Рассчитан")=1,COUNTIFS($Z$59:$Z$505,Z294,$Y$59:$Y$505,"Агрессивный",$W$59:$W$505,"Рассчитан")=1),"Да","Нет")))</x:f>
      </x:c>
      <x:c r="AF294" s="5"/>
      <x:c r="AG294" s="5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IF(A295="","",IF(U295="","",IF(U295="Выигрыш",J295-1,IF(U295="Полувыигрыш",(J295-1)/2,IF(U295="Возврат",0,IF(U295="Полупроигрыш",-0.5,IF(U295="Поражение",-1,"Проверить результат")))))))</x:f>
      </x:c>
      <x:c r="W295" s="80" t="str">
        <x:f>IF(A295="","",IF(U295="","Открыт",IF(ISNUMBER(V295),"Рассчитан","Проверить результат")))</x:f>
      </x:c>
      <x:c r="X295" s="98"/>
      <x:c r="Y295" s="5"/>
      <x:c r="Z295" s="5"/>
      <x:c r="AA295" s="5"/>
      <x:c r="AB295" s="118"/>
      <x:c r="AC295" s="119"/>
      <x:c r="AD295" s="119"/>
      <x:c r="AE295" s="5" t="str">
        <x:f>IF(A295="","",IF(Z295="","Нет ID пары",IF(AND(COUNTIFS($Z$59:$Z$505,Z295,$Y$59:$Y$505,"Оптимальный",$W$59:$W$505,"Рассчитан")=1,COUNTIFS($Z$59:$Z$505,Z295,$Y$59:$Y$505,"Агрессивный",$W$59:$W$505,"Рассчитан")=1),"Да","Нет")))</x:f>
      </x:c>
      <x:c r="AF295" s="5"/>
      <x:c r="AG295" s="5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IF(A296="","",IF(U296="","",IF(U296="Выигрыш",J296-1,IF(U296="Полувыигрыш",(J296-1)/2,IF(U296="Возврат",0,IF(U296="Полупроигрыш",-0.5,IF(U296="Поражение",-1,"Проверить результат")))))))</x:f>
      </x:c>
      <x:c r="W296" s="80" t="str">
        <x:f>IF(A296="","",IF(U296="","Открыт",IF(ISNUMBER(V296),"Рассчитан","Проверить результат")))</x:f>
      </x:c>
      <x:c r="X296" s="98"/>
      <x:c r="Y296" s="5"/>
      <x:c r="Z296" s="5"/>
      <x:c r="AA296" s="5"/>
      <x:c r="AB296" s="118"/>
      <x:c r="AC296" s="119"/>
      <x:c r="AD296" s="119"/>
      <x:c r="AE296" s="5" t="str">
        <x:f>IF(A296="","",IF(Z296="","Нет ID пары",IF(AND(COUNTIFS($Z$59:$Z$505,Z296,$Y$59:$Y$505,"Оптимальный",$W$59:$W$505,"Рассчитан")=1,COUNTIFS($Z$59:$Z$505,Z296,$Y$59:$Y$505,"Агрессивный",$W$59:$W$505,"Рассчитан")=1),"Да","Нет")))</x:f>
      </x:c>
      <x:c r="AF296" s="5"/>
      <x:c r="AG296" s="5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IF(A297="","",IF(U297="","",IF(U297="Выигрыш",J297-1,IF(U297="Полувыигрыш",(J297-1)/2,IF(U297="Возврат",0,IF(U297="Полупроигрыш",-0.5,IF(U297="Поражение",-1,"Проверить результат")))))))</x:f>
      </x:c>
      <x:c r="W297" s="80" t="str">
        <x:f>IF(A297="","",IF(U297="","Открыт",IF(ISNUMBER(V297),"Рассчитан","Проверить результат")))</x:f>
      </x:c>
      <x:c r="X297" s="98"/>
      <x:c r="Y297" s="5"/>
      <x:c r="Z297" s="5"/>
      <x:c r="AA297" s="5"/>
      <x:c r="AB297" s="118"/>
      <x:c r="AC297" s="119"/>
      <x:c r="AD297" s="119"/>
      <x:c r="AE297" s="5" t="str">
        <x:f>IF(A297="","",IF(Z297="","Нет ID пары",IF(AND(COUNTIFS($Z$59:$Z$505,Z297,$Y$59:$Y$505,"Оптимальный",$W$59:$W$505,"Рассчитан")=1,COUNTIFS($Z$59:$Z$505,Z297,$Y$59:$Y$505,"Агрессивный",$W$59:$W$505,"Рассчитан")=1),"Да","Нет")))</x:f>
      </x:c>
      <x:c r="AF297" s="5"/>
      <x:c r="AG297" s="5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IF(A298="","",IF(U298="","",IF(U298="Выигрыш",J298-1,IF(U298="Полувыигрыш",(J298-1)/2,IF(U298="Возврат",0,IF(U298="Полупроигрыш",-0.5,IF(U298="Поражение",-1,"Проверить результат")))))))</x:f>
      </x:c>
      <x:c r="W298" s="80" t="str">
        <x:f>IF(A298="","",IF(U298="","Открыт",IF(ISNUMBER(V298),"Рассчитан","Проверить результат")))</x:f>
      </x:c>
      <x:c r="X298" s="98"/>
      <x:c r="Y298" s="5"/>
      <x:c r="Z298" s="5"/>
      <x:c r="AA298" s="5"/>
      <x:c r="AB298" s="118"/>
      <x:c r="AC298" s="119"/>
      <x:c r="AD298" s="119"/>
      <x:c r="AE298" s="5" t="str">
        <x:f>IF(A298="","",IF(Z298="","Нет ID пары",IF(AND(COUNTIFS($Z$59:$Z$505,Z298,$Y$59:$Y$505,"Оптимальный",$W$59:$W$505,"Рассчитан")=1,COUNTIFS($Z$59:$Z$505,Z298,$Y$59:$Y$505,"Агрессивный",$W$59:$W$505,"Рассчитан")=1),"Да","Нет")))</x:f>
      </x:c>
      <x:c r="AF298" s="5"/>
      <x:c r="AG298" s="5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IF(A299="","",IF(U299="","",IF(U299="Выигрыш",J299-1,IF(U299="Полувыигрыш",(J299-1)/2,IF(U299="Возврат",0,IF(U299="Полупроигрыш",-0.5,IF(U299="Поражение",-1,"Проверить результат")))))))</x:f>
      </x:c>
      <x:c r="W299" s="80" t="str">
        <x:f>IF(A299="","",IF(U299="","Открыт",IF(ISNUMBER(V299),"Рассчитан","Проверить результат")))</x:f>
      </x:c>
      <x:c r="X299" s="98"/>
      <x:c r="Y299" s="5"/>
      <x:c r="Z299" s="5"/>
      <x:c r="AA299" s="5"/>
      <x:c r="AB299" s="118"/>
      <x:c r="AC299" s="119"/>
      <x:c r="AD299" s="119"/>
      <x:c r="AE299" s="5" t="str">
        <x:f>IF(A299="","",IF(Z299="","Нет ID пары",IF(AND(COUNTIFS($Z$59:$Z$505,Z299,$Y$59:$Y$505,"Оптимальный",$W$59:$W$505,"Рассчитан")=1,COUNTIFS($Z$59:$Z$505,Z299,$Y$59:$Y$505,"Агрессивный",$W$59:$W$505,"Рассчитан")=1),"Да","Нет")))</x:f>
      </x:c>
      <x:c r="AF299" s="5"/>
      <x:c r="AG299" s="5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IF(A300="","",IF(U300="","",IF(U300="Выигрыш",J300-1,IF(U300="Полувыигрыш",(J300-1)/2,IF(U300="Возврат",0,IF(U300="Полупроигрыш",-0.5,IF(U300="Поражение",-1,"Проверить результат")))))))</x:f>
      </x:c>
      <x:c r="W300" s="80" t="str">
        <x:f>IF(A300="","",IF(U300="","Открыт",IF(ISNUMBER(V300),"Рассчитан","Проверить результат")))</x:f>
      </x:c>
      <x:c r="X300" s="98"/>
      <x:c r="Y300" s="5"/>
      <x:c r="Z300" s="5"/>
      <x:c r="AA300" s="5"/>
      <x:c r="AB300" s="118"/>
      <x:c r="AC300" s="119"/>
      <x:c r="AD300" s="119"/>
      <x:c r="AE300" s="5" t="str">
        <x:f>IF(A300="","",IF(Z300="","Нет ID пары",IF(AND(COUNTIFS($Z$59:$Z$505,Z300,$Y$59:$Y$505,"Оптимальный",$W$59:$W$505,"Рассчитан")=1,COUNTIFS($Z$59:$Z$505,Z300,$Y$59:$Y$505,"Агрессивный",$W$59:$W$505,"Рассчитан")=1),"Да","Нет")))</x:f>
      </x:c>
      <x:c r="AF300" s="5"/>
      <x:c r="AG300" s="5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IF(A301="","",IF(U301="","",IF(U301="Выигрыш",J301-1,IF(U301="Полувыигрыш",(J301-1)/2,IF(U301="Возврат",0,IF(U301="Полупроигрыш",-0.5,IF(U301="Поражение",-1,"Проверить результат")))))))</x:f>
      </x:c>
      <x:c r="W301" s="80" t="str">
        <x:f>IF(A301="","",IF(U301="","Открыт",IF(ISNUMBER(V301),"Рассчитан","Проверить результат")))</x:f>
      </x:c>
      <x:c r="X301" s="98"/>
      <x:c r="Y301" s="5"/>
      <x:c r="Z301" s="5"/>
      <x:c r="AA301" s="5"/>
      <x:c r="AB301" s="118"/>
      <x:c r="AC301" s="119"/>
      <x:c r="AD301" s="119"/>
      <x:c r="AE301" s="5" t="str">
        <x:f>IF(A301="","",IF(Z301="","Нет ID пары",IF(AND(COUNTIFS($Z$59:$Z$505,Z301,$Y$59:$Y$505,"Оптимальный",$W$59:$W$505,"Рассчитан")=1,COUNTIFS($Z$59:$Z$505,Z301,$Y$59:$Y$505,"Агрессивный",$W$59:$W$505,"Рассчитан")=1),"Да","Нет")))</x:f>
      </x:c>
      <x:c r="AF301" s="5"/>
      <x:c r="AG301" s="5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IF(A302="","",IF(U302="","",IF(U302="Выигрыш",J302-1,IF(U302="Полувыигрыш",(J302-1)/2,IF(U302="Возврат",0,IF(U302="Полупроигрыш",-0.5,IF(U302="Поражение",-1,"Проверить результат")))))))</x:f>
      </x:c>
      <x:c r="W302" s="80" t="str">
        <x:f>IF(A302="","",IF(U302="","Открыт",IF(ISNUMBER(V302),"Рассчитан","Проверить результат")))</x:f>
      </x:c>
      <x:c r="X302" s="98"/>
      <x:c r="Y302" s="5"/>
      <x:c r="Z302" s="5"/>
      <x:c r="AA302" s="5"/>
      <x:c r="AB302" s="118"/>
      <x:c r="AC302" s="119"/>
      <x:c r="AD302" s="119"/>
      <x:c r="AE302" s="5" t="str">
        <x:f>IF(A302="","",IF(Z302="","Нет ID пары",IF(AND(COUNTIFS($Z$59:$Z$505,Z302,$Y$59:$Y$505,"Оптимальный",$W$59:$W$505,"Рассчитан")=1,COUNTIFS($Z$59:$Z$505,Z302,$Y$59:$Y$505,"Агрессивный",$W$59:$W$505,"Рассчитан")=1),"Да","Нет")))</x:f>
      </x:c>
      <x:c r="AF302" s="5"/>
      <x:c r="AG302" s="5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IF(A303="","",IF(U303="","",IF(U303="Выигрыш",J303-1,IF(U303="Полувыигрыш",(J303-1)/2,IF(U303="Возврат",0,IF(U303="Полупроигрыш",-0.5,IF(U303="Поражение",-1,"Проверить результат")))))))</x:f>
      </x:c>
      <x:c r="W303" s="80" t="str">
        <x:f>IF(A303="","",IF(U303="","Открыт",IF(ISNUMBER(V303),"Рассчитан","Проверить результат")))</x:f>
      </x:c>
      <x:c r="X303" s="98"/>
      <x:c r="Y303" s="5"/>
      <x:c r="Z303" s="5"/>
      <x:c r="AA303" s="5"/>
      <x:c r="AB303" s="118"/>
      <x:c r="AC303" s="119"/>
      <x:c r="AD303" s="119"/>
      <x:c r="AE303" s="5" t="str">
        <x:f>IF(A303="","",IF(Z303="","Нет ID пары",IF(AND(COUNTIFS($Z$59:$Z$505,Z303,$Y$59:$Y$505,"Оптимальный",$W$59:$W$505,"Рассчитан")=1,COUNTIFS($Z$59:$Z$505,Z303,$Y$59:$Y$505,"Агрессивный",$W$59:$W$505,"Рассчитан")=1),"Да","Нет")))</x:f>
      </x:c>
      <x:c r="AF303" s="5"/>
      <x:c r="AG303" s="5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IF(A304="","",IF(U304="","",IF(U304="Выигрыш",J304-1,IF(U304="Полувыигрыш",(J304-1)/2,IF(U304="Возврат",0,IF(U304="Полупроигрыш",-0.5,IF(U304="Поражение",-1,"Проверить результат")))))))</x:f>
      </x:c>
      <x:c r="W304" s="80" t="str">
        <x:f>IF(A304="","",IF(U304="","Открыт",IF(ISNUMBER(V304),"Рассчитан","Проверить результат")))</x:f>
      </x:c>
      <x:c r="X304" s="98"/>
      <x:c r="Y304" s="5"/>
      <x:c r="Z304" s="5"/>
      <x:c r="AA304" s="5"/>
      <x:c r="AB304" s="118"/>
      <x:c r="AC304" s="119"/>
      <x:c r="AD304" s="119"/>
      <x:c r="AE304" s="5" t="str">
        <x:f>IF(A304="","",IF(Z304="","Нет ID пары",IF(AND(COUNTIFS($Z$59:$Z$505,Z304,$Y$59:$Y$505,"Оптимальный",$W$59:$W$505,"Рассчитан")=1,COUNTIFS($Z$59:$Z$505,Z304,$Y$59:$Y$505,"Агрессивный",$W$59:$W$505,"Рассчитан")=1),"Да","Нет")))</x:f>
      </x:c>
      <x:c r="AF304" s="5"/>
      <x:c r="AG304" s="5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IF(A305="","",IF(U305="","",IF(U305="Выигрыш",J305-1,IF(U305="Полувыигрыш",(J305-1)/2,IF(U305="Возврат",0,IF(U305="Полупроигрыш",-0.5,IF(U305="Поражение",-1,"Проверить результат")))))))</x:f>
      </x:c>
      <x:c r="W305" s="80" t="str">
        <x:f>IF(A305="","",IF(U305="","Открыт",IF(ISNUMBER(V305),"Рассчитан","Проверить результат")))</x:f>
      </x:c>
      <x:c r="X305" s="98"/>
      <x:c r="Y305" s="5"/>
      <x:c r="Z305" s="5"/>
      <x:c r="AA305" s="5"/>
      <x:c r="AB305" s="118"/>
      <x:c r="AC305" s="119"/>
      <x:c r="AD305" s="119"/>
      <x:c r="AE305" s="5" t="str">
        <x:f>IF(A305="","",IF(Z305="","Нет ID пары",IF(AND(COUNTIFS($Z$59:$Z$505,Z305,$Y$59:$Y$505,"Оптимальный",$W$59:$W$505,"Рассчитан")=1,COUNTIFS($Z$59:$Z$505,Z305,$Y$59:$Y$505,"Агрессивный",$W$59:$W$505,"Рассчитан")=1),"Да","Нет")))</x:f>
      </x:c>
      <x:c r="AF305" s="5"/>
      <x:c r="AG305" s="5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IF(A306="","",IF(U306="","",IF(U306="Выигрыш",J306-1,IF(U306="Полувыигрыш",(J306-1)/2,IF(U306="Возврат",0,IF(U306="Полупроигрыш",-0.5,IF(U306="Поражение",-1,"Проверить результат")))))))</x:f>
      </x:c>
      <x:c r="W306" s="80" t="str">
        <x:f>IF(A306="","",IF(U306="","Открыт",IF(ISNUMBER(V306),"Рассчитан","Проверить результат")))</x:f>
      </x:c>
      <x:c r="X306" s="98"/>
      <x:c r="Y306" s="5"/>
      <x:c r="Z306" s="5"/>
      <x:c r="AA306" s="5"/>
      <x:c r="AB306" s="118"/>
      <x:c r="AC306" s="119"/>
      <x:c r="AD306" s="119"/>
      <x:c r="AE306" s="5" t="str">
        <x:f>IF(A306="","",IF(Z306="","Нет ID пары",IF(AND(COUNTIFS($Z$59:$Z$505,Z306,$Y$59:$Y$505,"Оптимальный",$W$59:$W$505,"Рассчитан")=1,COUNTIFS($Z$59:$Z$505,Z306,$Y$59:$Y$505,"Агрессивный",$W$59:$W$505,"Рассчитан")=1),"Да","Нет")))</x:f>
      </x:c>
      <x:c r="AF306" s="5"/>
      <x:c r="AG306" s="5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IF(A307="","",IF(U307="","",IF(U307="Выигрыш",J307-1,IF(U307="Полувыигрыш",(J307-1)/2,IF(U307="Возврат",0,IF(U307="Полупроигрыш",-0.5,IF(U307="Поражение",-1,"Проверить результат")))))))</x:f>
      </x:c>
      <x:c r="W307" s="80" t="str">
        <x:f>IF(A307="","",IF(U307="","Открыт",IF(ISNUMBER(V307),"Рассчитан","Проверить результат")))</x:f>
      </x:c>
      <x:c r="X307" s="98"/>
      <x:c r="Y307" s="5"/>
      <x:c r="Z307" s="5"/>
      <x:c r="AA307" s="5"/>
      <x:c r="AB307" s="118"/>
      <x:c r="AC307" s="119"/>
      <x:c r="AD307" s="119"/>
      <x:c r="AE307" s="5" t="str">
        <x:f>IF(A307="","",IF(Z307="","Нет ID пары",IF(AND(COUNTIFS($Z$59:$Z$505,Z307,$Y$59:$Y$505,"Оптимальный",$W$59:$W$505,"Рассчитан")=1,COUNTIFS($Z$59:$Z$505,Z307,$Y$59:$Y$505,"Агрессивный",$W$59:$W$505,"Рассчитан")=1),"Да","Нет")))</x:f>
      </x:c>
      <x:c r="AF307" s="5"/>
      <x:c r="AG307" s="5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IF(A308="","",IF(U308="","",IF(U308="Выигрыш",J308-1,IF(U308="Полувыигрыш",(J308-1)/2,IF(U308="Возврат",0,IF(U308="Полупроигрыш",-0.5,IF(U308="Поражение",-1,"Проверить результат")))))))</x:f>
      </x:c>
      <x:c r="W308" s="80" t="str">
        <x:f>IF(A308="","",IF(U308="","Открыт",IF(ISNUMBER(V308),"Рассчитан","Проверить результат")))</x:f>
      </x:c>
      <x:c r="X308" s="98"/>
      <x:c r="Y308" s="5"/>
      <x:c r="Z308" s="5"/>
      <x:c r="AA308" s="5"/>
      <x:c r="AB308" s="118"/>
      <x:c r="AC308" s="119"/>
      <x:c r="AD308" s="119"/>
      <x:c r="AE308" s="5" t="str">
        <x:f>IF(A308="","",IF(Z308="","Нет ID пары",IF(AND(COUNTIFS($Z$59:$Z$505,Z308,$Y$59:$Y$505,"Оптимальный",$W$59:$W$505,"Рассчитан")=1,COUNTIFS($Z$59:$Z$505,Z308,$Y$59:$Y$505,"Агрессивный",$W$59:$W$505,"Рассчитан")=1),"Да","Нет")))</x:f>
      </x:c>
      <x:c r="AF308" s="5"/>
      <x:c r="AG308" s="5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IF(A309="","",IF(U309="","",IF(U309="Выигрыш",J309-1,IF(U309="Полувыигрыш",(J309-1)/2,IF(U309="Возврат",0,IF(U309="Полупроигрыш",-0.5,IF(U309="Поражение",-1,"Проверить результат")))))))</x:f>
      </x:c>
      <x:c r="W309" s="80" t="str">
        <x:f>IF(A309="","",IF(U309="","Открыт",IF(ISNUMBER(V309),"Рассчитан","Проверить результат")))</x:f>
      </x:c>
      <x:c r="X309" s="98"/>
      <x:c r="Y309" s="5"/>
      <x:c r="Z309" s="5"/>
      <x:c r="AA309" s="5"/>
      <x:c r="AB309" s="118"/>
      <x:c r="AC309" s="119"/>
      <x:c r="AD309" s="119"/>
      <x:c r="AE309" s="5" t="str">
        <x:f>IF(A309="","",IF(Z309="","Нет ID пары",IF(AND(COUNTIFS($Z$59:$Z$505,Z309,$Y$59:$Y$505,"Оптимальный",$W$59:$W$505,"Рассчитан")=1,COUNTIFS($Z$59:$Z$505,Z309,$Y$59:$Y$505,"Агрессивный",$W$59:$W$505,"Рассчитан")=1),"Да","Нет")))</x:f>
      </x:c>
      <x:c r="AF309" s="5"/>
      <x:c r="AG309" s="5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IF(A310="","",IF(U310="","",IF(U310="Выигрыш",J310-1,IF(U310="Полувыигрыш",(J310-1)/2,IF(U310="Возврат",0,IF(U310="Полупроигрыш",-0.5,IF(U310="Поражение",-1,"Проверить результат")))))))</x:f>
      </x:c>
      <x:c r="W310" s="80" t="str">
        <x:f>IF(A310="","",IF(U310="","Открыт",IF(ISNUMBER(V310),"Рассчитан","Проверить результат")))</x:f>
      </x:c>
      <x:c r="X310" s="98"/>
      <x:c r="Y310" s="5"/>
      <x:c r="Z310" s="5"/>
      <x:c r="AA310" s="5"/>
      <x:c r="AB310" s="118"/>
      <x:c r="AC310" s="119"/>
      <x:c r="AD310" s="119"/>
      <x:c r="AE310" s="5" t="str">
        <x:f>IF(A310="","",IF(Z310="","Нет ID пары",IF(AND(COUNTIFS($Z$59:$Z$505,Z310,$Y$59:$Y$505,"Оптимальный",$W$59:$W$505,"Рассчитан")=1,COUNTIFS($Z$59:$Z$505,Z310,$Y$59:$Y$505,"Агрессивный",$W$59:$W$505,"Рассчитан")=1),"Да","Нет")))</x:f>
      </x:c>
      <x:c r="AF310" s="5"/>
      <x:c r="AG310" s="5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IF(A311="","",IF(U311="","",IF(U311="Выигрыш",J311-1,IF(U311="Полувыигрыш",(J311-1)/2,IF(U311="Возврат",0,IF(U311="Полупроигрыш",-0.5,IF(U311="Поражение",-1,"Проверить результат")))))))</x:f>
      </x:c>
      <x:c r="W311" s="80" t="str">
        <x:f>IF(A311="","",IF(U311="","Открыт",IF(ISNUMBER(V311),"Рассчитан","Проверить результат")))</x:f>
      </x:c>
      <x:c r="X311" s="98"/>
      <x:c r="Y311" s="5"/>
      <x:c r="Z311" s="5"/>
      <x:c r="AA311" s="5"/>
      <x:c r="AB311" s="118"/>
      <x:c r="AC311" s="119"/>
      <x:c r="AD311" s="119"/>
      <x:c r="AE311" s="5" t="str">
        <x:f>IF(A311="","",IF(Z311="","Нет ID пары",IF(AND(COUNTIFS($Z$59:$Z$505,Z311,$Y$59:$Y$505,"Оптимальный",$W$59:$W$505,"Рассчитан")=1,COUNTIFS($Z$59:$Z$505,Z311,$Y$59:$Y$505,"Агрессивный",$W$59:$W$505,"Рассчитан")=1),"Да","Нет")))</x:f>
      </x:c>
      <x:c r="AF311" s="5"/>
      <x:c r="AG311" s="5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IF(A312="","",IF(U312="","",IF(U312="Выигрыш",J312-1,IF(U312="Полувыигрыш",(J312-1)/2,IF(U312="Возврат",0,IF(U312="Полупроигрыш",-0.5,IF(U312="Поражение",-1,"Проверить результат")))))))</x:f>
      </x:c>
      <x:c r="W312" s="80" t="str">
        <x:f>IF(A312="","",IF(U312="","Открыт",IF(ISNUMBER(V312),"Рассчитан","Проверить результат")))</x:f>
      </x:c>
      <x:c r="X312" s="98"/>
      <x:c r="Y312" s="5"/>
      <x:c r="Z312" s="5"/>
      <x:c r="AA312" s="5"/>
      <x:c r="AB312" s="118"/>
      <x:c r="AC312" s="119"/>
      <x:c r="AD312" s="119"/>
      <x:c r="AE312" s="5" t="str">
        <x:f>IF(A312="","",IF(Z312="","Нет ID пары",IF(AND(COUNTIFS($Z$59:$Z$505,Z312,$Y$59:$Y$505,"Оптимальный",$W$59:$W$505,"Рассчитан")=1,COUNTIFS($Z$59:$Z$505,Z312,$Y$59:$Y$505,"Агрессивный",$W$59:$W$505,"Рассчитан")=1),"Да","Нет")))</x:f>
      </x:c>
      <x:c r="AF312" s="5"/>
      <x:c r="AG312" s="5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IF(A313="","",IF(U313="","",IF(U313="Выигрыш",J313-1,IF(U313="Полувыигрыш",(J313-1)/2,IF(U313="Возврат",0,IF(U313="Полупроигрыш",-0.5,IF(U313="Поражение",-1,"Проверить результат")))))))</x:f>
      </x:c>
      <x:c r="W313" s="80" t="str">
        <x:f>IF(A313="","",IF(U313="","Открыт",IF(ISNUMBER(V313),"Рассчитан","Проверить результат")))</x:f>
      </x:c>
      <x:c r="X313" s="98"/>
      <x:c r="Y313" s="5"/>
      <x:c r="Z313" s="5"/>
      <x:c r="AA313" s="5"/>
      <x:c r="AB313" s="118"/>
      <x:c r="AC313" s="119"/>
      <x:c r="AD313" s="119"/>
      <x:c r="AE313" s="5" t="str">
        <x:f>IF(A313="","",IF(Z313="","Нет ID пары",IF(AND(COUNTIFS($Z$59:$Z$505,Z313,$Y$59:$Y$505,"Оптимальный",$W$59:$W$505,"Рассчитан")=1,COUNTIFS($Z$59:$Z$505,Z313,$Y$59:$Y$505,"Агрессивный",$W$59:$W$505,"Рассчитан")=1),"Да","Нет")))</x:f>
      </x:c>
      <x:c r="AF313" s="5"/>
      <x:c r="AG313" s="5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IF(A314="","",IF(U314="","",IF(U314="Выигрыш",J314-1,IF(U314="Полувыигрыш",(J314-1)/2,IF(U314="Возврат",0,IF(U314="Полупроигрыш",-0.5,IF(U314="Поражение",-1,"Проверить результат")))))))</x:f>
      </x:c>
      <x:c r="W314" s="80" t="str">
        <x:f>IF(A314="","",IF(U314="","Открыт",IF(ISNUMBER(V314),"Рассчитан","Проверить результат")))</x:f>
      </x:c>
      <x:c r="X314" s="98"/>
      <x:c r="Y314" s="5"/>
      <x:c r="Z314" s="5"/>
      <x:c r="AA314" s="5"/>
      <x:c r="AB314" s="118"/>
      <x:c r="AC314" s="119"/>
      <x:c r="AD314" s="119"/>
      <x:c r="AE314" s="5" t="str">
        <x:f>IF(A314="","",IF(Z314="","Нет ID пары",IF(AND(COUNTIFS($Z$59:$Z$505,Z314,$Y$59:$Y$505,"Оптимальный",$W$59:$W$505,"Рассчитан")=1,COUNTIFS($Z$59:$Z$505,Z314,$Y$59:$Y$505,"Агрессивный",$W$59:$W$505,"Рассчитан")=1),"Да","Нет")))</x:f>
      </x:c>
      <x:c r="AF314" s="5"/>
      <x:c r="AG314" s="5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IF(A315="","",IF(U315="","",IF(U315="Выигрыш",J315-1,IF(U315="Полувыигрыш",(J315-1)/2,IF(U315="Возврат",0,IF(U315="Полупроигрыш",-0.5,IF(U315="Поражение",-1,"Проверить результат")))))))</x:f>
      </x:c>
      <x:c r="W315" s="80" t="str">
        <x:f>IF(A315="","",IF(U315="","Открыт",IF(ISNUMBER(V315),"Рассчитан","Проверить результат")))</x:f>
      </x:c>
      <x:c r="X315" s="98"/>
      <x:c r="Y315" s="5"/>
      <x:c r="Z315" s="5"/>
      <x:c r="AA315" s="5"/>
      <x:c r="AB315" s="118"/>
      <x:c r="AC315" s="119"/>
      <x:c r="AD315" s="119"/>
      <x:c r="AE315" s="5" t="str">
        <x:f>IF(A315="","",IF(Z315="","Нет ID пары",IF(AND(COUNTIFS($Z$59:$Z$505,Z315,$Y$59:$Y$505,"Оптимальный",$W$59:$W$505,"Рассчитан")=1,COUNTIFS($Z$59:$Z$505,Z315,$Y$59:$Y$505,"Агрессивный",$W$59:$W$505,"Рассчитан")=1),"Да","Нет")))</x:f>
      </x:c>
      <x:c r="AF315" s="5"/>
      <x:c r="AG315" s="5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IF(A316="","",IF(U316="","",IF(U316="Выигрыш",J316-1,IF(U316="Полувыигрыш",(J316-1)/2,IF(U316="Возврат",0,IF(U316="Полупроигрыш",-0.5,IF(U316="Поражение",-1,"Проверить результат")))))))</x:f>
      </x:c>
      <x:c r="W316" s="80" t="str">
        <x:f>IF(A316="","",IF(U316="","Открыт",IF(ISNUMBER(V316),"Рассчитан","Проверить результат")))</x:f>
      </x:c>
      <x:c r="X316" s="98"/>
      <x:c r="Y316" s="5"/>
      <x:c r="Z316" s="5"/>
      <x:c r="AA316" s="5"/>
      <x:c r="AB316" s="118"/>
      <x:c r="AC316" s="119"/>
      <x:c r="AD316" s="119"/>
      <x:c r="AE316" s="5" t="str">
        <x:f>IF(A316="","",IF(Z316="","Нет ID пары",IF(AND(COUNTIFS($Z$59:$Z$505,Z316,$Y$59:$Y$505,"Оптимальный",$W$59:$W$505,"Рассчитан")=1,COUNTIFS($Z$59:$Z$505,Z316,$Y$59:$Y$505,"Агрессивный",$W$59:$W$505,"Рассчитан")=1),"Да","Нет")))</x:f>
      </x:c>
      <x:c r="AF316" s="5"/>
      <x:c r="AG316" s="5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IF(A317="","",IF(U317="","",IF(U317="Выигрыш",J317-1,IF(U317="Полувыигрыш",(J317-1)/2,IF(U317="Возврат",0,IF(U317="Полупроигрыш",-0.5,IF(U317="Поражение",-1,"Проверить результат")))))))</x:f>
      </x:c>
      <x:c r="W317" s="80" t="str">
        <x:f>IF(A317="","",IF(U317="","Открыт",IF(ISNUMBER(V317),"Рассчитан","Проверить результат")))</x:f>
      </x:c>
      <x:c r="X317" s="98"/>
      <x:c r="Y317" s="5"/>
      <x:c r="Z317" s="5"/>
      <x:c r="AA317" s="5"/>
      <x:c r="AB317" s="118"/>
      <x:c r="AC317" s="119"/>
      <x:c r="AD317" s="119"/>
      <x:c r="AE317" s="5" t="str">
        <x:f>IF(A317="","",IF(Z317="","Нет ID пары",IF(AND(COUNTIFS($Z$59:$Z$505,Z317,$Y$59:$Y$505,"Оптимальный",$W$59:$W$505,"Рассчитан")=1,COUNTIFS($Z$59:$Z$505,Z317,$Y$59:$Y$505,"Агрессивный",$W$59:$W$505,"Рассчитан")=1),"Да","Нет")))</x:f>
      </x:c>
      <x:c r="AF317" s="5"/>
      <x:c r="AG317" s="5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IF(A318="","",IF(U318="","",IF(U318="Выигрыш",J318-1,IF(U318="Полувыигрыш",(J318-1)/2,IF(U318="Возврат",0,IF(U318="Полупроигрыш",-0.5,IF(U318="Поражение",-1,"Проверить результат")))))))</x:f>
      </x:c>
      <x:c r="W318" s="80" t="str">
        <x:f>IF(A318="","",IF(U318="","Открыт",IF(ISNUMBER(V318),"Рассчитан","Проверить результат")))</x:f>
      </x:c>
      <x:c r="X318" s="98"/>
      <x:c r="Y318" s="5"/>
      <x:c r="Z318" s="5"/>
      <x:c r="AA318" s="5"/>
      <x:c r="AB318" s="118"/>
      <x:c r="AC318" s="119"/>
      <x:c r="AD318" s="119"/>
      <x:c r="AE318" s="5" t="str">
        <x:f>IF(A318="","",IF(Z318="","Нет ID пары",IF(AND(COUNTIFS($Z$59:$Z$505,Z318,$Y$59:$Y$505,"Оптимальный",$W$59:$W$505,"Рассчитан")=1,COUNTIFS($Z$59:$Z$505,Z318,$Y$59:$Y$505,"Агрессивный",$W$59:$W$505,"Рассчитан")=1),"Да","Нет")))</x:f>
      </x:c>
      <x:c r="AF318" s="5"/>
      <x:c r="AG318" s="5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IF(A319="","",IF(U319="","",IF(U319="Выигрыш",J319-1,IF(U319="Полувыигрыш",(J319-1)/2,IF(U319="Возврат",0,IF(U319="Полупроигрыш",-0.5,IF(U319="Поражение",-1,"Проверить результат")))))))</x:f>
      </x:c>
      <x:c r="W319" s="80" t="str">
        <x:f>IF(A319="","",IF(U319="","Открыт",IF(ISNUMBER(V319),"Рассчитан","Проверить результат")))</x:f>
      </x:c>
      <x:c r="X319" s="98"/>
      <x:c r="Y319" s="5"/>
      <x:c r="Z319" s="5"/>
      <x:c r="AA319" s="5"/>
      <x:c r="AB319" s="118"/>
      <x:c r="AC319" s="119"/>
      <x:c r="AD319" s="119"/>
      <x:c r="AE319" s="5" t="str">
        <x:f>IF(A319="","",IF(Z319="","Нет ID пары",IF(AND(COUNTIFS($Z$59:$Z$505,Z319,$Y$59:$Y$505,"Оптимальный",$W$59:$W$505,"Рассчитан")=1,COUNTIFS($Z$59:$Z$505,Z319,$Y$59:$Y$505,"Агрессивный",$W$59:$W$505,"Рассчитан")=1),"Да","Нет")))</x:f>
      </x:c>
      <x:c r="AF319" s="5"/>
      <x:c r="AG319" s="5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IF(A320="","",IF(U320="","",IF(U320="Выигрыш",J320-1,IF(U320="Полувыигрыш",(J320-1)/2,IF(U320="Возврат",0,IF(U320="Полупроигрыш",-0.5,IF(U320="Поражение",-1,"Проверить результат")))))))</x:f>
      </x:c>
      <x:c r="W320" s="80" t="str">
        <x:f>IF(A320="","",IF(U320="","Открыт",IF(ISNUMBER(V320),"Рассчитан","Проверить результат")))</x:f>
      </x:c>
      <x:c r="X320" s="98"/>
      <x:c r="Y320" s="5"/>
      <x:c r="Z320" s="5"/>
      <x:c r="AA320" s="5"/>
      <x:c r="AB320" s="118"/>
      <x:c r="AC320" s="119"/>
      <x:c r="AD320" s="119"/>
      <x:c r="AE320" s="5" t="str">
        <x:f>IF(A320="","",IF(Z320="","Нет ID пары",IF(AND(COUNTIFS($Z$59:$Z$505,Z320,$Y$59:$Y$505,"Оптимальный",$W$59:$W$505,"Рассчитан")=1,COUNTIFS($Z$59:$Z$505,Z320,$Y$59:$Y$505,"Агрессивный",$W$59:$W$505,"Рассчитан")=1),"Да","Нет")))</x:f>
      </x:c>
      <x:c r="AF320" s="5"/>
      <x:c r="AG320" s="5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IF(A321="","",IF(U321="","",IF(U321="Выигрыш",J321-1,IF(U321="Полувыигрыш",(J321-1)/2,IF(U321="Возврат",0,IF(U321="Полупроигрыш",-0.5,IF(U321="Поражение",-1,"Проверить результат")))))))</x:f>
      </x:c>
      <x:c r="W321" s="80" t="str">
        <x:f>IF(A321="","",IF(U321="","Открыт",IF(ISNUMBER(V321),"Рассчитан","Проверить результат")))</x:f>
      </x:c>
      <x:c r="X321" s="98"/>
      <x:c r="Y321" s="5"/>
      <x:c r="Z321" s="5"/>
      <x:c r="AA321" s="5"/>
      <x:c r="AB321" s="118"/>
      <x:c r="AC321" s="119"/>
      <x:c r="AD321" s="119"/>
      <x:c r="AE321" s="5" t="str">
        <x:f>IF(A321="","",IF(Z321="","Нет ID пары",IF(AND(COUNTIFS($Z$59:$Z$505,Z321,$Y$59:$Y$505,"Оптимальный",$W$59:$W$505,"Рассчитан")=1,COUNTIFS($Z$59:$Z$505,Z321,$Y$59:$Y$505,"Агрессивный",$W$59:$W$505,"Рассчитан")=1),"Да","Нет")))</x:f>
      </x:c>
      <x:c r="AF321" s="5"/>
      <x:c r="AG321" s="5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IF(A322="","",IF(U322="","",IF(U322="Выигрыш",J322-1,IF(U322="Полувыигрыш",(J322-1)/2,IF(U322="Возврат",0,IF(U322="Полупроигрыш",-0.5,IF(U322="Поражение",-1,"Проверить результат")))))))</x:f>
      </x:c>
      <x:c r="W322" s="80" t="str">
        <x:f>IF(A322="","",IF(U322="","Открыт",IF(ISNUMBER(V322),"Рассчитан","Проверить результат")))</x:f>
      </x:c>
      <x:c r="X322" s="98"/>
      <x:c r="Y322" s="5"/>
      <x:c r="Z322" s="5"/>
      <x:c r="AA322" s="5"/>
      <x:c r="AB322" s="118"/>
      <x:c r="AC322" s="119"/>
      <x:c r="AD322" s="119"/>
      <x:c r="AE322" s="5" t="str">
        <x:f>IF(A322="","",IF(Z322="","Нет ID пары",IF(AND(COUNTIFS($Z$59:$Z$505,Z322,$Y$59:$Y$505,"Оптимальный",$W$59:$W$505,"Рассчитан")=1,COUNTIFS($Z$59:$Z$505,Z322,$Y$59:$Y$505,"Агрессивный",$W$59:$W$505,"Рассчитан")=1),"Да","Нет")))</x:f>
      </x:c>
      <x:c r="AF322" s="5"/>
      <x:c r="AG322" s="5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IF(A323="","",IF(U323="","",IF(U323="Выигрыш",J323-1,IF(U323="Полувыигрыш",(J323-1)/2,IF(U323="Возврат",0,IF(U323="Полупроигрыш",-0.5,IF(U323="Поражение",-1,"Проверить результат")))))))</x:f>
      </x:c>
      <x:c r="W323" s="80" t="str">
        <x:f>IF(A323="","",IF(U323="","Открыт",IF(ISNUMBER(V323),"Рассчитан","Проверить результат")))</x:f>
      </x:c>
      <x:c r="X323" s="98"/>
      <x:c r="Y323" s="5"/>
      <x:c r="Z323" s="5"/>
      <x:c r="AA323" s="5"/>
      <x:c r="AB323" s="118"/>
      <x:c r="AC323" s="119"/>
      <x:c r="AD323" s="119"/>
      <x:c r="AE323" s="5" t="str">
        <x:f>IF(A323="","",IF(Z323="","Нет ID пары",IF(AND(COUNTIFS($Z$59:$Z$505,Z323,$Y$59:$Y$505,"Оптимальный",$W$59:$W$505,"Рассчитан")=1,COUNTIFS($Z$59:$Z$505,Z323,$Y$59:$Y$505,"Агрессивный",$W$59:$W$505,"Рассчитан")=1),"Да","Нет")))</x:f>
      </x:c>
      <x:c r="AF323" s="5"/>
      <x:c r="AG323" s="5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IF(A324="","",IF(U324="","",IF(U324="Выигрыш",J324-1,IF(U324="Полувыигрыш",(J324-1)/2,IF(U324="Возврат",0,IF(U324="Полупроигрыш",-0.5,IF(U324="Поражение",-1,"Проверить результат")))))))</x:f>
      </x:c>
      <x:c r="W324" s="80" t="str">
        <x:f>IF(A324="","",IF(U324="","Открыт",IF(ISNUMBER(V324),"Рассчитан","Проверить результат")))</x:f>
      </x:c>
      <x:c r="X324" s="98"/>
      <x:c r="Y324" s="5"/>
      <x:c r="Z324" s="5"/>
      <x:c r="AA324" s="5"/>
      <x:c r="AB324" s="118"/>
      <x:c r="AC324" s="119"/>
      <x:c r="AD324" s="119"/>
      <x:c r="AE324" s="5" t="str">
        <x:f>IF(A324="","",IF(Z324="","Нет ID пары",IF(AND(COUNTIFS($Z$59:$Z$505,Z324,$Y$59:$Y$505,"Оптимальный",$W$59:$W$505,"Рассчитан")=1,COUNTIFS($Z$59:$Z$505,Z324,$Y$59:$Y$505,"Агрессивный",$W$59:$W$505,"Рассчитан")=1),"Да","Нет")))</x:f>
      </x:c>
      <x:c r="AF324" s="5"/>
      <x:c r="AG324" s="5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IF(A325="","",IF(U325="","",IF(U325="Выигрыш",J325-1,IF(U325="Полувыигрыш",(J325-1)/2,IF(U325="Возврат",0,IF(U325="Полупроигрыш",-0.5,IF(U325="Поражение",-1,"Проверить результат")))))))</x:f>
      </x:c>
      <x:c r="W325" s="80" t="str">
        <x:f>IF(A325="","",IF(U325="","Открыт",IF(ISNUMBER(V325),"Рассчитан","Проверить результат")))</x:f>
      </x:c>
      <x:c r="X325" s="98"/>
      <x:c r="Y325" s="5"/>
      <x:c r="Z325" s="5"/>
      <x:c r="AA325" s="5"/>
      <x:c r="AB325" s="118"/>
      <x:c r="AC325" s="119"/>
      <x:c r="AD325" s="119"/>
      <x:c r="AE325" s="5" t="str">
        <x:f>IF(A325="","",IF(Z325="","Нет ID пары",IF(AND(COUNTIFS($Z$59:$Z$505,Z325,$Y$59:$Y$505,"Оптимальный",$W$59:$W$505,"Рассчитан")=1,COUNTIFS($Z$59:$Z$505,Z325,$Y$59:$Y$505,"Агрессивный",$W$59:$W$505,"Рассчитан")=1),"Да","Нет")))</x:f>
      </x:c>
      <x:c r="AF325" s="5"/>
      <x:c r="AG325" s="5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IF(A326="","",IF(U326="","",IF(U326="Выигрыш",J326-1,IF(U326="Полувыигрыш",(J326-1)/2,IF(U326="Возврат",0,IF(U326="Полупроигрыш",-0.5,IF(U326="Поражение",-1,"Проверить результат")))))))</x:f>
      </x:c>
      <x:c r="W326" s="80" t="str">
        <x:f>IF(A326="","",IF(U326="","Открыт",IF(ISNUMBER(V326),"Рассчитан","Проверить результат")))</x:f>
      </x:c>
      <x:c r="X326" s="98"/>
      <x:c r="Y326" s="5"/>
      <x:c r="Z326" s="5"/>
      <x:c r="AA326" s="5"/>
      <x:c r="AB326" s="118"/>
      <x:c r="AC326" s="119"/>
      <x:c r="AD326" s="119"/>
      <x:c r="AE326" s="5" t="str">
        <x:f>IF(A326="","",IF(Z326="","Нет ID пары",IF(AND(COUNTIFS($Z$59:$Z$505,Z326,$Y$59:$Y$505,"Оптимальный",$W$59:$W$505,"Рассчитан")=1,COUNTIFS($Z$59:$Z$505,Z326,$Y$59:$Y$505,"Агрессивный",$W$59:$W$505,"Рассчитан")=1),"Да","Нет")))</x:f>
      </x:c>
      <x:c r="AF326" s="5"/>
      <x:c r="AG326" s="5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IF(A327="","",IF(U327="","",IF(U327="Выигрыш",J327-1,IF(U327="Полувыигрыш",(J327-1)/2,IF(U327="Возврат",0,IF(U327="Полупроигрыш",-0.5,IF(U327="Поражение",-1,"Проверить результат")))))))</x:f>
      </x:c>
      <x:c r="W327" s="80" t="str">
        <x:f>IF(A327="","",IF(U327="","Открыт",IF(ISNUMBER(V327),"Рассчитан","Проверить результат")))</x:f>
      </x:c>
      <x:c r="X327" s="98"/>
      <x:c r="Y327" s="5"/>
      <x:c r="Z327" s="5"/>
      <x:c r="AA327" s="5"/>
      <x:c r="AB327" s="118"/>
      <x:c r="AC327" s="119"/>
      <x:c r="AD327" s="119"/>
      <x:c r="AE327" s="5" t="str">
        <x:f>IF(A327="","",IF(Z327="","Нет ID пары",IF(AND(COUNTIFS($Z$59:$Z$505,Z327,$Y$59:$Y$505,"Оптимальный",$W$59:$W$505,"Рассчитан")=1,COUNTIFS($Z$59:$Z$505,Z327,$Y$59:$Y$505,"Агрессивный",$W$59:$W$505,"Рассчитан")=1),"Да","Нет")))</x:f>
      </x:c>
      <x:c r="AF327" s="5"/>
      <x:c r="AG327" s="5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IF(A328="","",IF(U328="","",IF(U328="Выигрыш",J328-1,IF(U328="Полувыигрыш",(J328-1)/2,IF(U328="Возврат",0,IF(U328="Полупроигрыш",-0.5,IF(U328="Поражение",-1,"Проверить результат")))))))</x:f>
      </x:c>
      <x:c r="W328" s="80" t="str">
        <x:f>IF(A328="","",IF(U328="","Открыт",IF(ISNUMBER(V328),"Рассчитан","Проверить результат")))</x:f>
      </x:c>
      <x:c r="X328" s="98"/>
      <x:c r="Y328" s="5"/>
      <x:c r="Z328" s="5"/>
      <x:c r="AA328" s="5"/>
      <x:c r="AB328" s="118"/>
      <x:c r="AC328" s="119"/>
      <x:c r="AD328" s="119"/>
      <x:c r="AE328" s="5" t="str">
        <x:f>IF(A328="","",IF(Z328="","Нет ID пары",IF(AND(COUNTIFS($Z$59:$Z$505,Z328,$Y$59:$Y$505,"Оптимальный",$W$59:$W$505,"Рассчитан")=1,COUNTIFS($Z$59:$Z$505,Z328,$Y$59:$Y$505,"Агрессивный",$W$59:$W$505,"Рассчитан")=1),"Да","Нет")))</x:f>
      </x:c>
      <x:c r="AF328" s="5"/>
      <x:c r="AG328" s="5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IF(A329="","",IF(U329="","",IF(U329="Выигрыш",J329-1,IF(U329="Полувыигрыш",(J329-1)/2,IF(U329="Возврат",0,IF(U329="Полупроигрыш",-0.5,IF(U329="Поражение",-1,"Проверить результат")))))))</x:f>
      </x:c>
      <x:c r="W329" s="80" t="str">
        <x:f>IF(A329="","",IF(U329="","Открыт",IF(ISNUMBER(V329),"Рассчитан","Проверить результат")))</x:f>
      </x:c>
      <x:c r="X329" s="98"/>
      <x:c r="Y329" s="5"/>
      <x:c r="Z329" s="5"/>
      <x:c r="AA329" s="5"/>
      <x:c r="AB329" s="118"/>
      <x:c r="AC329" s="119"/>
      <x:c r="AD329" s="119"/>
      <x:c r="AE329" s="5" t="str">
        <x:f>IF(A329="","",IF(Z329="","Нет ID пары",IF(AND(COUNTIFS($Z$59:$Z$505,Z329,$Y$59:$Y$505,"Оптимальный",$W$59:$W$505,"Рассчитан")=1,COUNTIFS($Z$59:$Z$505,Z329,$Y$59:$Y$505,"Агрессивный",$W$59:$W$505,"Рассчитан")=1),"Да","Нет")))</x:f>
      </x:c>
      <x:c r="AF329" s="5"/>
      <x:c r="AG329" s="5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IF(A330="","",IF(U330="","",IF(U330="Выигрыш",J330-1,IF(U330="Полувыигрыш",(J330-1)/2,IF(U330="Возврат",0,IF(U330="Полупроигрыш",-0.5,IF(U330="Поражение",-1,"Проверить результат")))))))</x:f>
      </x:c>
      <x:c r="W330" s="80" t="str">
        <x:f>IF(A330="","",IF(U330="","Открыт",IF(ISNUMBER(V330),"Рассчитан","Проверить результат")))</x:f>
      </x:c>
      <x:c r="X330" s="98"/>
      <x:c r="Y330" s="5"/>
      <x:c r="Z330" s="5"/>
      <x:c r="AA330" s="5"/>
      <x:c r="AB330" s="118"/>
      <x:c r="AC330" s="119"/>
      <x:c r="AD330" s="119"/>
      <x:c r="AE330" s="5" t="str">
        <x:f>IF(A330="","",IF(Z330="","Нет ID пары",IF(AND(COUNTIFS($Z$59:$Z$505,Z330,$Y$59:$Y$505,"Оптимальный",$W$59:$W$505,"Рассчитан")=1,COUNTIFS($Z$59:$Z$505,Z330,$Y$59:$Y$505,"Агрессивный",$W$59:$W$505,"Рассчитан")=1),"Да","Нет")))</x:f>
      </x:c>
      <x:c r="AF330" s="5"/>
      <x:c r="AG330" s="5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IF(A331="","",IF(U331="","",IF(U331="Выигрыш",J331-1,IF(U331="Полувыигрыш",(J331-1)/2,IF(U331="Возврат",0,IF(U331="Полупроигрыш",-0.5,IF(U331="Поражение",-1,"Проверить результат")))))))</x:f>
      </x:c>
      <x:c r="W331" s="80" t="str">
        <x:f>IF(A331="","",IF(U331="","Открыт",IF(ISNUMBER(V331),"Рассчитан","Проверить результат")))</x:f>
      </x:c>
      <x:c r="X331" s="98"/>
      <x:c r="Y331" s="5"/>
      <x:c r="Z331" s="5"/>
      <x:c r="AA331" s="5"/>
      <x:c r="AB331" s="118"/>
      <x:c r="AC331" s="119"/>
      <x:c r="AD331" s="119"/>
      <x:c r="AE331" s="5" t="str">
        <x:f>IF(A331="","",IF(Z331="","Нет ID пары",IF(AND(COUNTIFS($Z$59:$Z$505,Z331,$Y$59:$Y$505,"Оптимальный",$W$59:$W$505,"Рассчитан")=1,COUNTIFS($Z$59:$Z$505,Z331,$Y$59:$Y$505,"Агрессивный",$W$59:$W$505,"Рассчитан")=1),"Да","Нет")))</x:f>
      </x:c>
      <x:c r="AF331" s="5"/>
      <x:c r="AG331" s="5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IF(A332="","",IF(U332="","",IF(U332="Выигрыш",J332-1,IF(U332="Полувыигрыш",(J332-1)/2,IF(U332="Возврат",0,IF(U332="Полупроигрыш",-0.5,IF(U332="Поражение",-1,"Проверить результат")))))))</x:f>
      </x:c>
      <x:c r="W332" s="80" t="str">
        <x:f>IF(A332="","",IF(U332="","Открыт",IF(ISNUMBER(V332),"Рассчитан","Проверить результат")))</x:f>
      </x:c>
      <x:c r="X332" s="98"/>
      <x:c r="Y332" s="5"/>
      <x:c r="Z332" s="5"/>
      <x:c r="AA332" s="5"/>
      <x:c r="AB332" s="118"/>
      <x:c r="AC332" s="119"/>
      <x:c r="AD332" s="119"/>
      <x:c r="AE332" s="5" t="str">
        <x:f>IF(A332="","",IF(Z332="","Нет ID пары",IF(AND(COUNTIFS($Z$59:$Z$505,Z332,$Y$59:$Y$505,"Оптимальный",$W$59:$W$505,"Рассчитан")=1,COUNTIFS($Z$59:$Z$505,Z332,$Y$59:$Y$505,"Агрессивный",$W$59:$W$505,"Рассчитан")=1),"Да","Нет")))</x:f>
      </x:c>
      <x:c r="AF332" s="5"/>
      <x:c r="AG332" s="5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IF(A333="","",IF(U333="","",IF(U333="Выигрыш",J333-1,IF(U333="Полувыигрыш",(J333-1)/2,IF(U333="Возврат",0,IF(U333="Полупроигрыш",-0.5,IF(U333="Поражение",-1,"Проверить результат")))))))</x:f>
      </x:c>
      <x:c r="W333" s="80" t="str">
        <x:f>IF(A333="","",IF(U333="","Открыт",IF(ISNUMBER(V333),"Рассчитан","Проверить результат")))</x:f>
      </x:c>
      <x:c r="X333" s="98"/>
      <x:c r="Y333" s="5"/>
      <x:c r="Z333" s="5"/>
      <x:c r="AA333" s="5"/>
      <x:c r="AB333" s="118"/>
      <x:c r="AC333" s="119"/>
      <x:c r="AD333" s="119"/>
      <x:c r="AE333" s="5" t="str">
        <x:f>IF(A333="","",IF(Z333="","Нет ID пары",IF(AND(COUNTIFS($Z$59:$Z$505,Z333,$Y$59:$Y$505,"Оптимальный",$W$59:$W$505,"Рассчитан")=1,COUNTIFS($Z$59:$Z$505,Z333,$Y$59:$Y$505,"Агрессивный",$W$59:$W$505,"Рассчитан")=1),"Да","Нет")))</x:f>
      </x:c>
      <x:c r="AF333" s="5"/>
      <x:c r="AG333" s="5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IF(A334="","",IF(U334="","",IF(U334="Выигрыш",J334-1,IF(U334="Полувыигрыш",(J334-1)/2,IF(U334="Возврат",0,IF(U334="Полупроигрыш",-0.5,IF(U334="Поражение",-1,"Проверить результат")))))))</x:f>
      </x:c>
      <x:c r="W334" s="80" t="str">
        <x:f>IF(A334="","",IF(U334="","Открыт",IF(ISNUMBER(V334),"Рассчитан","Проверить результат")))</x:f>
      </x:c>
      <x:c r="X334" s="98"/>
      <x:c r="Y334" s="5"/>
      <x:c r="Z334" s="5"/>
      <x:c r="AA334" s="5"/>
      <x:c r="AB334" s="118"/>
      <x:c r="AC334" s="119"/>
      <x:c r="AD334" s="119"/>
      <x:c r="AE334" s="5" t="str">
        <x:f>IF(A334="","",IF(Z334="","Нет ID пары",IF(AND(COUNTIFS($Z$59:$Z$505,Z334,$Y$59:$Y$505,"Оптимальный",$W$59:$W$505,"Рассчитан")=1,COUNTIFS($Z$59:$Z$505,Z334,$Y$59:$Y$505,"Агрессивный",$W$59:$W$505,"Рассчитан")=1),"Да","Нет")))</x:f>
      </x:c>
      <x:c r="AF334" s="5"/>
      <x:c r="AG334" s="5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IF(A335="","",IF(U335="","",IF(U335="Выигрыш",J335-1,IF(U335="Полувыигрыш",(J335-1)/2,IF(U335="Возврат",0,IF(U335="Полупроигрыш",-0.5,IF(U335="Поражение",-1,"Проверить результат")))))))</x:f>
      </x:c>
      <x:c r="W335" s="80" t="str">
        <x:f>IF(A335="","",IF(U335="","Открыт",IF(ISNUMBER(V335),"Рассчитан","Проверить результат")))</x:f>
      </x:c>
      <x:c r="X335" s="98"/>
      <x:c r="Y335" s="5"/>
      <x:c r="Z335" s="5"/>
      <x:c r="AA335" s="5"/>
      <x:c r="AB335" s="118"/>
      <x:c r="AC335" s="119"/>
      <x:c r="AD335" s="119"/>
      <x:c r="AE335" s="5" t="str">
        <x:f>IF(A335="","",IF(Z335="","Нет ID пары",IF(AND(COUNTIFS($Z$59:$Z$505,Z335,$Y$59:$Y$505,"Оптимальный",$W$59:$W$505,"Рассчитан")=1,COUNTIFS($Z$59:$Z$505,Z335,$Y$59:$Y$505,"Агрессивный",$W$59:$W$505,"Рассчитан")=1),"Да","Нет")))</x:f>
      </x:c>
      <x:c r="AF335" s="5"/>
      <x:c r="AG335" s="5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IF(A336="","",IF(U336="","",IF(U336="Выигрыш",J336-1,IF(U336="Полувыигрыш",(J336-1)/2,IF(U336="Возврат",0,IF(U336="Полупроигрыш",-0.5,IF(U336="Поражение",-1,"Проверить результат")))))))</x:f>
      </x:c>
      <x:c r="W336" s="80" t="str">
        <x:f>IF(A336="","",IF(U336="","Открыт",IF(ISNUMBER(V336),"Рассчитан","Проверить результат")))</x:f>
      </x:c>
      <x:c r="X336" s="98"/>
      <x:c r="Y336" s="5"/>
      <x:c r="Z336" s="5"/>
      <x:c r="AA336" s="5"/>
      <x:c r="AB336" s="118"/>
      <x:c r="AC336" s="119"/>
      <x:c r="AD336" s="119"/>
      <x:c r="AE336" s="5" t="str">
        <x:f>IF(A336="","",IF(Z336="","Нет ID пары",IF(AND(COUNTIFS($Z$59:$Z$505,Z336,$Y$59:$Y$505,"Оптимальный",$W$59:$W$505,"Рассчитан")=1,COUNTIFS($Z$59:$Z$505,Z336,$Y$59:$Y$505,"Агрессивный",$W$59:$W$505,"Рассчитан")=1),"Да","Нет")))</x:f>
      </x:c>
      <x:c r="AF336" s="5"/>
      <x:c r="AG336" s="5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IF(A337="","",IF(U337="","",IF(U337="Выигрыш",J337-1,IF(U337="Полувыигрыш",(J337-1)/2,IF(U337="Возврат",0,IF(U337="Полупроигрыш",-0.5,IF(U337="Поражение",-1,"Проверить результат")))))))</x:f>
      </x:c>
      <x:c r="W337" s="80" t="str">
        <x:f>IF(A337="","",IF(U337="","Открыт",IF(ISNUMBER(V337),"Рассчитан","Проверить результат")))</x:f>
      </x:c>
      <x:c r="X337" s="98"/>
      <x:c r="Y337" s="5"/>
      <x:c r="Z337" s="5"/>
      <x:c r="AA337" s="5"/>
      <x:c r="AB337" s="118"/>
      <x:c r="AC337" s="119"/>
      <x:c r="AD337" s="119"/>
      <x:c r="AE337" s="5" t="str">
        <x:f>IF(A337="","",IF(Z337="","Нет ID пары",IF(AND(COUNTIFS($Z$59:$Z$505,Z337,$Y$59:$Y$505,"Оптимальный",$W$59:$W$505,"Рассчитан")=1,COUNTIFS($Z$59:$Z$505,Z337,$Y$59:$Y$505,"Агрессивный",$W$59:$W$505,"Рассчитан")=1),"Да","Нет")))</x:f>
      </x:c>
      <x:c r="AF337" s="5"/>
      <x:c r="AG337" s="5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IF(A338="","",IF(U338="","",IF(U338="Выигрыш",J338-1,IF(U338="Полувыигрыш",(J338-1)/2,IF(U338="Возврат",0,IF(U338="Полупроигрыш",-0.5,IF(U338="Поражение",-1,"Проверить результат")))))))</x:f>
      </x:c>
      <x:c r="W338" s="80" t="str">
        <x:f>IF(A338="","",IF(U338="","Открыт",IF(ISNUMBER(V338),"Рассчитан","Проверить результат")))</x:f>
      </x:c>
      <x:c r="X338" s="98"/>
      <x:c r="Y338" s="5"/>
      <x:c r="Z338" s="5"/>
      <x:c r="AA338" s="5"/>
      <x:c r="AB338" s="118"/>
      <x:c r="AC338" s="119"/>
      <x:c r="AD338" s="119"/>
      <x:c r="AE338" s="5" t="str">
        <x:f>IF(A338="","",IF(Z338="","Нет ID пары",IF(AND(COUNTIFS($Z$59:$Z$505,Z338,$Y$59:$Y$505,"Оптимальный",$W$59:$W$505,"Рассчитан")=1,COUNTIFS($Z$59:$Z$505,Z338,$Y$59:$Y$505,"Агрессивный",$W$59:$W$505,"Рассчитан")=1),"Да","Нет")))</x:f>
      </x:c>
      <x:c r="AF338" s="5"/>
      <x:c r="AG338" s="5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IF(A339="","",IF(U339="","",IF(U339="Выигрыш",J339-1,IF(U339="Полувыигрыш",(J339-1)/2,IF(U339="Возврат",0,IF(U339="Полупроигрыш",-0.5,IF(U339="Поражение",-1,"Проверить результат")))))))</x:f>
      </x:c>
      <x:c r="W339" s="80" t="str">
        <x:f>IF(A339="","",IF(U339="","Открыт",IF(ISNUMBER(V339),"Рассчитан","Проверить результат")))</x:f>
      </x:c>
      <x:c r="X339" s="98"/>
      <x:c r="Y339" s="5"/>
      <x:c r="Z339" s="5"/>
      <x:c r="AA339" s="5"/>
      <x:c r="AB339" s="118"/>
      <x:c r="AC339" s="119"/>
      <x:c r="AD339" s="119"/>
      <x:c r="AE339" s="5" t="str">
        <x:f>IF(A339="","",IF(Z339="","Нет ID пары",IF(AND(COUNTIFS($Z$59:$Z$505,Z339,$Y$59:$Y$505,"Оптимальный",$W$59:$W$505,"Рассчитан")=1,COUNTIFS($Z$59:$Z$505,Z339,$Y$59:$Y$505,"Агрессивный",$W$59:$W$505,"Рассчитан")=1),"Да","Нет")))</x:f>
      </x:c>
      <x:c r="AF339" s="5"/>
      <x:c r="AG339" s="5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IF(A340="","",IF(U340="","",IF(U340="Выигрыш",J340-1,IF(U340="Полувыигрыш",(J340-1)/2,IF(U340="Возврат",0,IF(U340="Полупроигрыш",-0.5,IF(U340="Поражение",-1,"Проверить результат")))))))</x:f>
      </x:c>
      <x:c r="W340" s="80" t="str">
        <x:f>IF(A340="","",IF(U340="","Открыт",IF(ISNUMBER(V340),"Рассчитан","Проверить результат")))</x:f>
      </x:c>
      <x:c r="X340" s="98"/>
      <x:c r="Y340" s="5"/>
      <x:c r="Z340" s="5"/>
      <x:c r="AA340" s="5"/>
      <x:c r="AB340" s="118"/>
      <x:c r="AC340" s="119"/>
      <x:c r="AD340" s="119"/>
      <x:c r="AE340" s="5" t="str">
        <x:f>IF(A340="","",IF(Z340="","Нет ID пары",IF(AND(COUNTIFS($Z$59:$Z$505,Z340,$Y$59:$Y$505,"Оптимальный",$W$59:$W$505,"Рассчитан")=1,COUNTIFS($Z$59:$Z$505,Z340,$Y$59:$Y$505,"Агрессивный",$W$59:$W$505,"Рассчитан")=1),"Да","Нет")))</x:f>
      </x:c>
      <x:c r="AF340" s="5"/>
      <x:c r="AG340" s="5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IF(A341="","",IF(U341="","",IF(U341="Выигрыш",J341-1,IF(U341="Полувыигрыш",(J341-1)/2,IF(U341="Возврат",0,IF(U341="Полупроигрыш",-0.5,IF(U341="Поражение",-1,"Проверить результат")))))))</x:f>
      </x:c>
      <x:c r="W341" s="80" t="str">
        <x:f>IF(A341="","",IF(U341="","Открыт",IF(ISNUMBER(V341),"Рассчитан","Проверить результат")))</x:f>
      </x:c>
      <x:c r="X341" s="98"/>
      <x:c r="Y341" s="5"/>
      <x:c r="Z341" s="5"/>
      <x:c r="AA341" s="5"/>
      <x:c r="AB341" s="118"/>
      <x:c r="AC341" s="119"/>
      <x:c r="AD341" s="119"/>
      <x:c r="AE341" s="5" t="str">
        <x:f>IF(A341="","",IF(Z341="","Нет ID пары",IF(AND(COUNTIFS($Z$59:$Z$505,Z341,$Y$59:$Y$505,"Оптимальный",$W$59:$W$505,"Рассчитан")=1,COUNTIFS($Z$59:$Z$505,Z341,$Y$59:$Y$505,"Агрессивный",$W$59:$W$505,"Рассчитан")=1),"Да","Нет")))</x:f>
      </x:c>
      <x:c r="AF341" s="5"/>
      <x:c r="AG341" s="5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IF(A342="","",IF(U342="","",IF(U342="Выигрыш",J342-1,IF(U342="Полувыигрыш",(J342-1)/2,IF(U342="Возврат",0,IF(U342="Полупроигрыш",-0.5,IF(U342="Поражение",-1,"Проверить результат")))))))</x:f>
      </x:c>
      <x:c r="W342" s="80" t="str">
        <x:f>IF(A342="","",IF(U342="","Открыт",IF(ISNUMBER(V342),"Рассчитан","Проверить результат")))</x:f>
      </x:c>
      <x:c r="X342" s="98"/>
      <x:c r="Y342" s="5"/>
      <x:c r="Z342" s="5"/>
      <x:c r="AA342" s="5"/>
      <x:c r="AB342" s="118"/>
      <x:c r="AC342" s="119"/>
      <x:c r="AD342" s="119"/>
      <x:c r="AE342" s="5" t="str">
        <x:f>IF(A342="","",IF(Z342="","Нет ID пары",IF(AND(COUNTIFS($Z$59:$Z$505,Z342,$Y$59:$Y$505,"Оптимальный",$W$59:$W$505,"Рассчитан")=1,COUNTIFS($Z$59:$Z$505,Z342,$Y$59:$Y$505,"Агрессивный",$W$59:$W$505,"Рассчитан")=1),"Да","Нет")))</x:f>
      </x:c>
      <x:c r="AF342" s="5"/>
      <x:c r="AG342" s="5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IF(A343="","",IF(U343="","",IF(U343="Выигрыш",J343-1,IF(U343="Полувыигрыш",(J343-1)/2,IF(U343="Возврат",0,IF(U343="Полупроигрыш",-0.5,IF(U343="Поражение",-1,"Проверить результат")))))))</x:f>
      </x:c>
      <x:c r="W343" s="80" t="str">
        <x:f>IF(A343="","",IF(U343="","Открыт",IF(ISNUMBER(V343),"Рассчитан","Проверить результат")))</x:f>
      </x:c>
      <x:c r="X343" s="98"/>
      <x:c r="Y343" s="5"/>
      <x:c r="Z343" s="5"/>
      <x:c r="AA343" s="5"/>
      <x:c r="AB343" s="118"/>
      <x:c r="AC343" s="119"/>
      <x:c r="AD343" s="119"/>
      <x:c r="AE343" s="5" t="str">
        <x:f>IF(A343="","",IF(Z343="","Нет ID пары",IF(AND(COUNTIFS($Z$59:$Z$505,Z343,$Y$59:$Y$505,"Оптимальный",$W$59:$W$505,"Рассчитан")=1,COUNTIFS($Z$59:$Z$505,Z343,$Y$59:$Y$505,"Агрессивный",$W$59:$W$505,"Рассчитан")=1),"Да","Нет")))</x:f>
      </x:c>
      <x:c r="AF343" s="5"/>
      <x:c r="AG343" s="5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IF(A344="","",IF(U344="","",IF(U344="Выигрыш",J344-1,IF(U344="Полувыигрыш",(J344-1)/2,IF(U344="Возврат",0,IF(U344="Полупроигрыш",-0.5,IF(U344="Поражение",-1,"Проверить результат")))))))</x:f>
      </x:c>
      <x:c r="W344" s="80" t="str">
        <x:f>IF(A344="","",IF(U344="","Открыт",IF(ISNUMBER(V344),"Рассчитан","Проверить результат")))</x:f>
      </x:c>
      <x:c r="X344" s="98"/>
      <x:c r="Y344" s="5"/>
      <x:c r="Z344" s="5"/>
      <x:c r="AA344" s="5"/>
      <x:c r="AB344" s="118"/>
      <x:c r="AC344" s="119"/>
      <x:c r="AD344" s="119"/>
      <x:c r="AE344" s="5" t="str">
        <x:f>IF(A344="","",IF(Z344="","Нет ID пары",IF(AND(COUNTIFS($Z$59:$Z$505,Z344,$Y$59:$Y$505,"Оптимальный",$W$59:$W$505,"Рассчитан")=1,COUNTIFS($Z$59:$Z$505,Z344,$Y$59:$Y$505,"Агрессивный",$W$59:$W$505,"Рассчитан")=1),"Да","Нет")))</x:f>
      </x:c>
      <x:c r="AF344" s="5"/>
      <x:c r="AG344" s="5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IF(A345="","",IF(U345="","",IF(U345="Выигрыш",J345-1,IF(U345="Полувыигрыш",(J345-1)/2,IF(U345="Возврат",0,IF(U345="Полупроигрыш",-0.5,IF(U345="Поражение",-1,"Проверить результат")))))))</x:f>
      </x:c>
      <x:c r="W345" s="80" t="str">
        <x:f>IF(A345="","",IF(U345="","Открыт",IF(ISNUMBER(V345),"Рассчитан","Проверить результат")))</x:f>
      </x:c>
      <x:c r="X345" s="98"/>
      <x:c r="Y345" s="5"/>
      <x:c r="Z345" s="5"/>
      <x:c r="AA345" s="5"/>
      <x:c r="AB345" s="118"/>
      <x:c r="AC345" s="119"/>
      <x:c r="AD345" s="119"/>
      <x:c r="AE345" s="5" t="str">
        <x:f>IF(A345="","",IF(Z345="","Нет ID пары",IF(AND(COUNTIFS($Z$59:$Z$505,Z345,$Y$59:$Y$505,"Оптимальный",$W$59:$W$505,"Рассчитан")=1,COUNTIFS($Z$59:$Z$505,Z345,$Y$59:$Y$505,"Агрессивный",$W$59:$W$505,"Рассчитан")=1),"Да","Нет")))</x:f>
      </x:c>
      <x:c r="AF345" s="5"/>
      <x:c r="AG345" s="5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IF(A346="","",IF(U346="","",IF(U346="Выигрыш",J346-1,IF(U346="Полувыигрыш",(J346-1)/2,IF(U346="Возврат",0,IF(U346="Полупроигрыш",-0.5,IF(U346="Поражение",-1,"Проверить результат")))))))</x:f>
      </x:c>
      <x:c r="W346" s="80" t="str">
        <x:f>IF(A346="","",IF(U346="","Открыт",IF(ISNUMBER(V346),"Рассчитан","Проверить результат")))</x:f>
      </x:c>
      <x:c r="X346" s="98"/>
      <x:c r="Y346" s="5"/>
      <x:c r="Z346" s="5"/>
      <x:c r="AA346" s="5"/>
      <x:c r="AB346" s="118"/>
      <x:c r="AC346" s="119"/>
      <x:c r="AD346" s="119"/>
      <x:c r="AE346" s="5" t="str">
        <x:f>IF(A346="","",IF(Z346="","Нет ID пары",IF(AND(COUNTIFS($Z$59:$Z$505,Z346,$Y$59:$Y$505,"Оптимальный",$W$59:$W$505,"Рассчитан")=1,COUNTIFS($Z$59:$Z$505,Z346,$Y$59:$Y$505,"Агрессивный",$W$59:$W$505,"Рассчитан")=1),"Да","Нет")))</x:f>
      </x:c>
      <x:c r="AF346" s="5"/>
      <x:c r="AG346" s="5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IF(A347="","",IF(U347="","",IF(U347="Выигрыш",J347-1,IF(U347="Полувыигрыш",(J347-1)/2,IF(U347="Возврат",0,IF(U347="Полупроигрыш",-0.5,IF(U347="Поражение",-1,"Проверить результат")))))))</x:f>
      </x:c>
      <x:c r="W347" s="80" t="str">
        <x:f>IF(A347="","",IF(U347="","Открыт",IF(ISNUMBER(V347),"Рассчитан","Проверить результат")))</x:f>
      </x:c>
      <x:c r="X347" s="98"/>
      <x:c r="Y347" s="5"/>
      <x:c r="Z347" s="5"/>
      <x:c r="AA347" s="5"/>
      <x:c r="AB347" s="118"/>
      <x:c r="AC347" s="119"/>
      <x:c r="AD347" s="119"/>
      <x:c r="AE347" s="5" t="str">
        <x:f>IF(A347="","",IF(Z347="","Нет ID пары",IF(AND(COUNTIFS($Z$59:$Z$505,Z347,$Y$59:$Y$505,"Оптимальный",$W$59:$W$505,"Рассчитан")=1,COUNTIFS($Z$59:$Z$505,Z347,$Y$59:$Y$505,"Агрессивный",$W$59:$W$505,"Рассчитан")=1),"Да","Нет")))</x:f>
      </x:c>
      <x:c r="AF347" s="5"/>
      <x:c r="AG347" s="5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IF(A348="","",IF(U348="","",IF(U348="Выигрыш",J348-1,IF(U348="Полувыигрыш",(J348-1)/2,IF(U348="Возврат",0,IF(U348="Полупроигрыш",-0.5,IF(U348="Поражение",-1,"Проверить результат")))))))</x:f>
      </x:c>
      <x:c r="W348" s="80" t="str">
        <x:f>IF(A348="","",IF(U348="","Открыт",IF(ISNUMBER(V348),"Рассчитан","Проверить результат")))</x:f>
      </x:c>
      <x:c r="X348" s="98"/>
      <x:c r="Y348" s="5"/>
      <x:c r="Z348" s="5"/>
      <x:c r="AA348" s="5"/>
      <x:c r="AB348" s="118"/>
      <x:c r="AC348" s="119"/>
      <x:c r="AD348" s="119"/>
      <x:c r="AE348" s="5" t="str">
        <x:f>IF(A348="","",IF(Z348="","Нет ID пары",IF(AND(COUNTIFS($Z$59:$Z$505,Z348,$Y$59:$Y$505,"Оптимальный",$W$59:$W$505,"Рассчитан")=1,COUNTIFS($Z$59:$Z$505,Z348,$Y$59:$Y$505,"Агрессивный",$W$59:$W$505,"Рассчитан")=1),"Да","Нет")))</x:f>
      </x:c>
      <x:c r="AF348" s="5"/>
      <x:c r="AG348" s="5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IF(A349="","",IF(U349="","",IF(U349="Выигрыш",J349-1,IF(U349="Полувыигрыш",(J349-1)/2,IF(U349="Возврат",0,IF(U349="Полупроигрыш",-0.5,IF(U349="Поражение",-1,"Проверить результат")))))))</x:f>
      </x:c>
      <x:c r="W349" s="80" t="str">
        <x:f>IF(A349="","",IF(U349="","Открыт",IF(ISNUMBER(V349),"Рассчитан","Проверить результат")))</x:f>
      </x:c>
      <x:c r="X349" s="98"/>
      <x:c r="Y349" s="5"/>
      <x:c r="Z349" s="5"/>
      <x:c r="AA349" s="5"/>
      <x:c r="AB349" s="118"/>
      <x:c r="AC349" s="119"/>
      <x:c r="AD349" s="119"/>
      <x:c r="AE349" s="5" t="str">
        <x:f>IF(A349="","",IF(Z349="","Нет ID пары",IF(AND(COUNTIFS($Z$59:$Z$505,Z349,$Y$59:$Y$505,"Оптимальный",$W$59:$W$505,"Рассчитан")=1,COUNTIFS($Z$59:$Z$505,Z349,$Y$59:$Y$505,"Агрессивный",$W$59:$W$505,"Рассчитан")=1),"Да","Нет")))</x:f>
      </x:c>
      <x:c r="AF349" s="5"/>
      <x:c r="AG349" s="5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IF(A350="","",IF(U350="","",IF(U350="Выигрыш",J350-1,IF(U350="Полувыигрыш",(J350-1)/2,IF(U350="Возврат",0,IF(U350="Полупроигрыш",-0.5,IF(U350="Поражение",-1,"Проверить результат")))))))</x:f>
      </x:c>
      <x:c r="W350" s="80" t="str">
        <x:f>IF(A350="","",IF(U350="","Открыт",IF(ISNUMBER(V350),"Рассчитан","Проверить результат")))</x:f>
      </x:c>
      <x:c r="X350" s="98"/>
      <x:c r="Y350" s="5"/>
      <x:c r="Z350" s="5"/>
      <x:c r="AA350" s="5"/>
      <x:c r="AB350" s="118"/>
      <x:c r="AC350" s="119"/>
      <x:c r="AD350" s="119"/>
      <x:c r="AE350" s="5" t="str">
        <x:f>IF(A350="","",IF(Z350="","Нет ID пары",IF(AND(COUNTIFS($Z$59:$Z$505,Z350,$Y$59:$Y$505,"Оптимальный",$W$59:$W$505,"Рассчитан")=1,COUNTIFS($Z$59:$Z$505,Z350,$Y$59:$Y$505,"Агрессивный",$W$59:$W$505,"Рассчитан")=1),"Да","Нет")))</x:f>
      </x:c>
      <x:c r="AF350" s="5"/>
      <x:c r="AG350" s="5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IF(A351="","",IF(U351="","",IF(U351="Выигрыш",J351-1,IF(U351="Полувыигрыш",(J351-1)/2,IF(U351="Возврат",0,IF(U351="Полупроигрыш",-0.5,IF(U351="Поражение",-1,"Проверить результат")))))))</x:f>
      </x:c>
      <x:c r="W351" s="80" t="str">
        <x:f>IF(A351="","",IF(U351="","Открыт",IF(ISNUMBER(V351),"Рассчитан","Проверить результат")))</x:f>
      </x:c>
      <x:c r="X351" s="98"/>
      <x:c r="Y351" s="5"/>
      <x:c r="Z351" s="5"/>
      <x:c r="AA351" s="5"/>
      <x:c r="AB351" s="118"/>
      <x:c r="AC351" s="119"/>
      <x:c r="AD351" s="119"/>
      <x:c r="AE351" s="5" t="str">
        <x:f>IF(A351="","",IF(Z351="","Нет ID пары",IF(AND(COUNTIFS($Z$59:$Z$505,Z351,$Y$59:$Y$505,"Оптимальный",$W$59:$W$505,"Рассчитан")=1,COUNTIFS($Z$59:$Z$505,Z351,$Y$59:$Y$505,"Агрессивный",$W$59:$W$505,"Рассчитан")=1),"Да","Нет")))</x:f>
      </x:c>
      <x:c r="AF351" s="5"/>
      <x:c r="AG351" s="5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IF(A352="","",IF(U352="","",IF(U352="Выигрыш",J352-1,IF(U352="Полувыигрыш",(J352-1)/2,IF(U352="Возврат",0,IF(U352="Полупроигрыш",-0.5,IF(U352="Поражение",-1,"Проверить результат")))))))</x:f>
      </x:c>
      <x:c r="W352" s="80" t="str">
        <x:f>IF(A352="","",IF(U352="","Открыт",IF(ISNUMBER(V352),"Рассчитан","Проверить результат")))</x:f>
      </x:c>
      <x:c r="X352" s="98"/>
      <x:c r="Y352" s="5"/>
      <x:c r="Z352" s="5"/>
      <x:c r="AA352" s="5"/>
      <x:c r="AB352" s="118"/>
      <x:c r="AC352" s="119"/>
      <x:c r="AD352" s="119"/>
      <x:c r="AE352" s="5" t="str">
        <x:f>IF(A352="","",IF(Z352="","Нет ID пары",IF(AND(COUNTIFS($Z$59:$Z$505,Z352,$Y$59:$Y$505,"Оптимальный",$W$59:$W$505,"Рассчитан")=1,COUNTIFS($Z$59:$Z$505,Z352,$Y$59:$Y$505,"Агрессивный",$W$59:$W$505,"Рассчитан")=1),"Да","Нет")))</x:f>
      </x:c>
      <x:c r="AF352" s="5"/>
      <x:c r="AG352" s="5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IF(A353="","",IF(U353="","",IF(U353="Выигрыш",J353-1,IF(U353="Полувыигрыш",(J353-1)/2,IF(U353="Возврат",0,IF(U353="Полупроигрыш",-0.5,IF(U353="Поражение",-1,"Проверить результат")))))))</x:f>
      </x:c>
      <x:c r="W353" s="80" t="str">
        <x:f>IF(A353="","",IF(U353="","Открыт",IF(ISNUMBER(V353),"Рассчитан","Проверить результат")))</x:f>
      </x:c>
      <x:c r="X353" s="98"/>
      <x:c r="Y353" s="5"/>
      <x:c r="Z353" s="5"/>
      <x:c r="AA353" s="5"/>
      <x:c r="AB353" s="118"/>
      <x:c r="AC353" s="119"/>
      <x:c r="AD353" s="119"/>
      <x:c r="AE353" s="5" t="str">
        <x:f>IF(A353="","",IF(Z353="","Нет ID пары",IF(AND(COUNTIFS($Z$59:$Z$505,Z353,$Y$59:$Y$505,"Оптимальный",$W$59:$W$505,"Рассчитан")=1,COUNTIFS($Z$59:$Z$505,Z353,$Y$59:$Y$505,"Агрессивный",$W$59:$W$505,"Рассчитан")=1),"Да","Нет")))</x:f>
      </x:c>
      <x:c r="AF353" s="5"/>
      <x:c r="AG353" s="5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IF(A354="","",IF(U354="","",IF(U354="Выигрыш",J354-1,IF(U354="Полувыигрыш",(J354-1)/2,IF(U354="Возврат",0,IF(U354="Полупроигрыш",-0.5,IF(U354="Поражение",-1,"Проверить результат")))))))</x:f>
      </x:c>
      <x:c r="W354" s="80" t="str">
        <x:f>IF(A354="","",IF(U354="","Открыт",IF(ISNUMBER(V354),"Рассчитан","Проверить результат")))</x:f>
      </x:c>
      <x:c r="X354" s="98"/>
      <x:c r="Y354" s="5"/>
      <x:c r="Z354" s="5"/>
      <x:c r="AA354" s="5"/>
      <x:c r="AB354" s="118"/>
      <x:c r="AC354" s="119"/>
      <x:c r="AD354" s="119"/>
      <x:c r="AE354" s="5" t="str">
        <x:f>IF(A354="","",IF(Z354="","Нет ID пары",IF(AND(COUNTIFS($Z$59:$Z$505,Z354,$Y$59:$Y$505,"Оптимальный",$W$59:$W$505,"Рассчитан")=1,COUNTIFS($Z$59:$Z$505,Z354,$Y$59:$Y$505,"Агрессивный",$W$59:$W$505,"Рассчитан")=1),"Да","Нет")))</x:f>
      </x:c>
      <x:c r="AF354" s="5"/>
      <x:c r="AG354" s="5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IF(A355="","",IF(U355="","",IF(U355="Выигрыш",J355-1,IF(U355="Полувыигрыш",(J355-1)/2,IF(U355="Возврат",0,IF(U355="Полупроигрыш",-0.5,IF(U355="Поражение",-1,"Проверить результат")))))))</x:f>
      </x:c>
      <x:c r="W355" s="80" t="str">
        <x:f>IF(A355="","",IF(U355="","Открыт",IF(ISNUMBER(V355),"Рассчитан","Проверить результат")))</x:f>
      </x:c>
      <x:c r="X355" s="98"/>
      <x:c r="Y355" s="5"/>
      <x:c r="Z355" s="5"/>
      <x:c r="AA355" s="5"/>
      <x:c r="AB355" s="118"/>
      <x:c r="AC355" s="119"/>
      <x:c r="AD355" s="119"/>
      <x:c r="AE355" s="5" t="str">
        <x:f>IF(A355="","",IF(Z355="","Нет ID пары",IF(AND(COUNTIFS($Z$59:$Z$505,Z355,$Y$59:$Y$505,"Оптимальный",$W$59:$W$505,"Рассчитан")=1,COUNTIFS($Z$59:$Z$505,Z355,$Y$59:$Y$505,"Агрессивный",$W$59:$W$505,"Рассчитан")=1),"Да","Нет")))</x:f>
      </x:c>
      <x:c r="AF355" s="5"/>
      <x:c r="AG355" s="5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IF(A356="","",IF(U356="","",IF(U356="Выигрыш",J356-1,IF(U356="Полувыигрыш",(J356-1)/2,IF(U356="Возврат",0,IF(U356="Полупроигрыш",-0.5,IF(U356="Поражение",-1,"Проверить результат")))))))</x:f>
      </x:c>
      <x:c r="W356" s="80" t="str">
        <x:f>IF(A356="","",IF(U356="","Открыт",IF(ISNUMBER(V356),"Рассчитан","Проверить результат")))</x:f>
      </x:c>
      <x:c r="X356" s="98"/>
      <x:c r="Y356" s="5"/>
      <x:c r="Z356" s="5"/>
      <x:c r="AA356" s="5"/>
      <x:c r="AB356" s="118"/>
      <x:c r="AC356" s="119"/>
      <x:c r="AD356" s="119"/>
      <x:c r="AE356" s="5" t="str">
        <x:f>IF(A356="","",IF(Z356="","Нет ID пары",IF(AND(COUNTIFS($Z$59:$Z$505,Z356,$Y$59:$Y$505,"Оптимальный",$W$59:$W$505,"Рассчитан")=1,COUNTIFS($Z$59:$Z$505,Z356,$Y$59:$Y$505,"Агрессивный",$W$59:$W$505,"Рассчитан")=1),"Да","Нет")))</x:f>
      </x:c>
      <x:c r="AF356" s="5"/>
      <x:c r="AG356" s="5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IF(A357="","",IF(U357="","",IF(U357="Выигрыш",J357-1,IF(U357="Полувыигрыш",(J357-1)/2,IF(U357="Возврат",0,IF(U357="Полупроигрыш",-0.5,IF(U357="Поражение",-1,"Проверить результат")))))))</x:f>
      </x:c>
      <x:c r="W357" s="80" t="str">
        <x:f>IF(A357="","",IF(U357="","Открыт",IF(ISNUMBER(V357),"Рассчитан","Проверить результат")))</x:f>
      </x:c>
      <x:c r="X357" s="98"/>
      <x:c r="Y357" s="5"/>
      <x:c r="Z357" s="5"/>
      <x:c r="AA357" s="5"/>
      <x:c r="AB357" s="118"/>
      <x:c r="AC357" s="119"/>
      <x:c r="AD357" s="119"/>
      <x:c r="AE357" s="5" t="str">
        <x:f>IF(A357="","",IF(Z357="","Нет ID пары",IF(AND(COUNTIFS($Z$59:$Z$505,Z357,$Y$59:$Y$505,"Оптимальный",$W$59:$W$505,"Рассчитан")=1,COUNTIFS($Z$59:$Z$505,Z357,$Y$59:$Y$505,"Агрессивный",$W$59:$W$505,"Рассчитан")=1),"Да","Нет")))</x:f>
      </x:c>
      <x:c r="AF357" s="5"/>
      <x:c r="AG357" s="5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IF(A358="","",IF(U358="","",IF(U358="Выигрыш",J358-1,IF(U358="Полувыигрыш",(J358-1)/2,IF(U358="Возврат",0,IF(U358="Полупроигрыш",-0.5,IF(U358="Поражение",-1,"Проверить результат")))))))</x:f>
      </x:c>
      <x:c r="W358" s="80" t="str">
        <x:f>IF(A358="","",IF(U358="","Открыт",IF(ISNUMBER(V358),"Рассчитан","Проверить результат")))</x:f>
      </x:c>
      <x:c r="X358" s="98"/>
      <x:c r="Y358" s="5"/>
      <x:c r="Z358" s="5"/>
      <x:c r="AA358" s="5"/>
      <x:c r="AB358" s="118"/>
      <x:c r="AC358" s="119"/>
      <x:c r="AD358" s="119"/>
      <x:c r="AE358" s="5" t="str">
        <x:f>IF(A358="","",IF(Z358="","Нет ID пары",IF(AND(COUNTIFS($Z$59:$Z$505,Z358,$Y$59:$Y$505,"Оптимальный",$W$59:$W$505,"Рассчитан")=1,COUNTIFS($Z$59:$Z$505,Z358,$Y$59:$Y$505,"Агрессивный",$W$59:$W$505,"Рассчитан")=1),"Да","Нет")))</x:f>
      </x:c>
      <x:c r="AF358" s="5"/>
      <x:c r="AG358" s="5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IF(A359="","",IF(U359="","",IF(U359="Выигрыш",J359-1,IF(U359="Полувыигрыш",(J359-1)/2,IF(U359="Возврат",0,IF(U359="Полупроигрыш",-0.5,IF(U359="Поражение",-1,"Проверить результат")))))))</x:f>
      </x:c>
      <x:c r="W359" s="80" t="str">
        <x:f>IF(A359="","",IF(U359="","Открыт",IF(ISNUMBER(V359),"Рассчитан","Проверить результат")))</x:f>
      </x:c>
      <x:c r="X359" s="98"/>
      <x:c r="Y359" s="5"/>
      <x:c r="Z359" s="5"/>
      <x:c r="AA359" s="5"/>
      <x:c r="AB359" s="118"/>
      <x:c r="AC359" s="119"/>
      <x:c r="AD359" s="119"/>
      <x:c r="AE359" s="5" t="str">
        <x:f>IF(A359="","",IF(Z359="","Нет ID пары",IF(AND(COUNTIFS($Z$59:$Z$505,Z359,$Y$59:$Y$505,"Оптимальный",$W$59:$W$505,"Рассчитан")=1,COUNTIFS($Z$59:$Z$505,Z359,$Y$59:$Y$505,"Агрессивный",$W$59:$W$505,"Рассчитан")=1),"Да","Нет")))</x:f>
      </x:c>
      <x:c r="AF359" s="5"/>
      <x:c r="AG359" s="5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IF(A360="","",IF(U360="","",IF(U360="Выигрыш",J360-1,IF(U360="Полувыигрыш",(J360-1)/2,IF(U360="Возврат",0,IF(U360="Полупроигрыш",-0.5,IF(U360="Поражение",-1,"Проверить результат")))))))</x:f>
      </x:c>
      <x:c r="W360" s="80" t="str">
        <x:f>IF(A360="","",IF(U360="","Открыт",IF(ISNUMBER(V360),"Рассчитан","Проверить результат")))</x:f>
      </x:c>
      <x:c r="X360" s="98"/>
      <x:c r="Y360" s="5"/>
      <x:c r="Z360" s="5"/>
      <x:c r="AA360" s="5"/>
      <x:c r="AB360" s="118"/>
      <x:c r="AC360" s="119"/>
      <x:c r="AD360" s="119"/>
      <x:c r="AE360" s="5" t="str">
        <x:f>IF(A360="","",IF(Z360="","Нет ID пары",IF(AND(COUNTIFS($Z$59:$Z$505,Z360,$Y$59:$Y$505,"Оптимальный",$W$59:$W$505,"Рассчитан")=1,COUNTIFS($Z$59:$Z$505,Z360,$Y$59:$Y$505,"Агрессивный",$W$59:$W$505,"Рассчитан")=1),"Да","Нет")))</x:f>
      </x:c>
      <x:c r="AF360" s="5"/>
      <x:c r="AG360" s="5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IF(A361="","",IF(U361="","",IF(U361="Выигрыш",J361-1,IF(U361="Полувыигрыш",(J361-1)/2,IF(U361="Возврат",0,IF(U361="Полупроигрыш",-0.5,IF(U361="Поражение",-1,"Проверить результат")))))))</x:f>
      </x:c>
      <x:c r="W361" s="80" t="str">
        <x:f>IF(A361="","",IF(U361="","Открыт",IF(ISNUMBER(V361),"Рассчитан","Проверить результат")))</x:f>
      </x:c>
      <x:c r="X361" s="98"/>
      <x:c r="Y361" s="5"/>
      <x:c r="Z361" s="5"/>
      <x:c r="AA361" s="5"/>
      <x:c r="AB361" s="118"/>
      <x:c r="AC361" s="119"/>
      <x:c r="AD361" s="119"/>
      <x:c r="AE361" s="5" t="str">
        <x:f>IF(A361="","",IF(Z361="","Нет ID пары",IF(AND(COUNTIFS($Z$59:$Z$505,Z361,$Y$59:$Y$505,"Оптимальный",$W$59:$W$505,"Рассчитан")=1,COUNTIFS($Z$59:$Z$505,Z361,$Y$59:$Y$505,"Агрессивный",$W$59:$W$505,"Рассчитан")=1),"Да","Нет")))</x:f>
      </x:c>
      <x:c r="AF361" s="5"/>
      <x:c r="AG361" s="5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IF(A362="","",IF(U362="","",IF(U362="Выигрыш",J362-1,IF(U362="Полувыигрыш",(J362-1)/2,IF(U362="Возврат",0,IF(U362="Полупроигрыш",-0.5,IF(U362="Поражение",-1,"Проверить результат")))))))</x:f>
      </x:c>
      <x:c r="W362" s="80" t="str">
        <x:f>IF(A362="","",IF(U362="","Открыт",IF(ISNUMBER(V362),"Рассчитан","Проверить результат")))</x:f>
      </x:c>
      <x:c r="X362" s="98"/>
      <x:c r="Y362" s="5"/>
      <x:c r="Z362" s="5"/>
      <x:c r="AA362" s="5"/>
      <x:c r="AB362" s="118"/>
      <x:c r="AC362" s="119"/>
      <x:c r="AD362" s="119"/>
      <x:c r="AE362" s="5" t="str">
        <x:f>IF(A362="","",IF(Z362="","Нет ID пары",IF(AND(COUNTIFS($Z$59:$Z$505,Z362,$Y$59:$Y$505,"Оптимальный",$W$59:$W$505,"Рассчитан")=1,COUNTIFS($Z$59:$Z$505,Z362,$Y$59:$Y$505,"Агрессивный",$W$59:$W$505,"Рассчитан")=1),"Да","Нет")))</x:f>
      </x:c>
      <x:c r="AF362" s="5"/>
      <x:c r="AG362" s="5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IF(A363="","",IF(U363="","",IF(U363="Выигрыш",J363-1,IF(U363="Полувыигрыш",(J363-1)/2,IF(U363="Возврат",0,IF(U363="Полупроигрыш",-0.5,IF(U363="Поражение",-1,"Проверить результат")))))))</x:f>
      </x:c>
      <x:c r="W363" s="80" t="str">
        <x:f>IF(A363="","",IF(U363="","Открыт",IF(ISNUMBER(V363),"Рассчитан","Проверить результат")))</x:f>
      </x:c>
      <x:c r="X363" s="98"/>
      <x:c r="Y363" s="5"/>
      <x:c r="Z363" s="5"/>
      <x:c r="AA363" s="5"/>
      <x:c r="AB363" s="118"/>
      <x:c r="AC363" s="119"/>
      <x:c r="AD363" s="119"/>
      <x:c r="AE363" s="5" t="str">
        <x:f>IF(A363="","",IF(Z363="","Нет ID пары",IF(AND(COUNTIFS($Z$59:$Z$505,Z363,$Y$59:$Y$505,"Оптимальный",$W$59:$W$505,"Рассчитан")=1,COUNTIFS($Z$59:$Z$505,Z363,$Y$59:$Y$505,"Агрессивный",$W$59:$W$505,"Рассчитан")=1),"Да","Нет")))</x:f>
      </x:c>
      <x:c r="AF363" s="5"/>
      <x:c r="AG363" s="5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IF(A364="","",IF(U364="","",IF(U364="Выигрыш",J364-1,IF(U364="Полувыигрыш",(J364-1)/2,IF(U364="Возврат",0,IF(U364="Полупроигрыш",-0.5,IF(U364="Поражение",-1,"Проверить результат")))))))</x:f>
      </x:c>
      <x:c r="W364" s="80" t="str">
        <x:f>IF(A364="","",IF(U364="","Открыт",IF(ISNUMBER(V364),"Рассчитан","Проверить результат")))</x:f>
      </x:c>
      <x:c r="X364" s="98"/>
      <x:c r="Y364" s="5"/>
      <x:c r="Z364" s="5"/>
      <x:c r="AA364" s="5"/>
      <x:c r="AB364" s="118"/>
      <x:c r="AC364" s="119"/>
      <x:c r="AD364" s="119"/>
      <x:c r="AE364" s="5" t="str">
        <x:f>IF(A364="","",IF(Z364="","Нет ID пары",IF(AND(COUNTIFS($Z$59:$Z$505,Z364,$Y$59:$Y$505,"Оптимальный",$W$59:$W$505,"Рассчитан")=1,COUNTIFS($Z$59:$Z$505,Z364,$Y$59:$Y$505,"Агрессивный",$W$59:$W$505,"Рассчитан")=1),"Да","Нет")))</x:f>
      </x:c>
      <x:c r="AF364" s="5"/>
      <x:c r="AG364" s="5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IF(A365="","",IF(U365="","",IF(U365="Выигрыш",J365-1,IF(U365="Полувыигрыш",(J365-1)/2,IF(U365="Возврат",0,IF(U365="Полупроигрыш",-0.5,IF(U365="Поражение",-1,"Проверить результат")))))))</x:f>
      </x:c>
      <x:c r="W365" s="80" t="str">
        <x:f>IF(A365="","",IF(U365="","Открыт",IF(ISNUMBER(V365),"Рассчитан","Проверить результат")))</x:f>
      </x:c>
      <x:c r="X365" s="98"/>
      <x:c r="Y365" s="5"/>
      <x:c r="Z365" s="5"/>
      <x:c r="AA365" s="5"/>
      <x:c r="AB365" s="118"/>
      <x:c r="AC365" s="119"/>
      <x:c r="AD365" s="119"/>
      <x:c r="AE365" s="5" t="str">
        <x:f>IF(A365="","",IF(Z365="","Нет ID пары",IF(AND(COUNTIFS($Z$59:$Z$505,Z365,$Y$59:$Y$505,"Оптимальный",$W$59:$W$505,"Рассчитан")=1,COUNTIFS($Z$59:$Z$505,Z365,$Y$59:$Y$505,"Агрессивный",$W$59:$W$505,"Рассчитан")=1),"Да","Нет")))</x:f>
      </x:c>
      <x:c r="AF365" s="5"/>
      <x:c r="AG365" s="5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IF(A366="","",IF(U366="","",IF(U366="Выигрыш",J366-1,IF(U366="Полувыигрыш",(J366-1)/2,IF(U366="Возврат",0,IF(U366="Полупроигрыш",-0.5,IF(U366="Поражение",-1,"Проверить результат")))))))</x:f>
      </x:c>
      <x:c r="W366" s="80" t="str">
        <x:f>IF(A366="","",IF(U366="","Открыт",IF(ISNUMBER(V366),"Рассчитан","Проверить результат")))</x:f>
      </x:c>
      <x:c r="X366" s="98"/>
      <x:c r="Y366" s="5"/>
      <x:c r="Z366" s="5"/>
      <x:c r="AA366" s="5"/>
      <x:c r="AB366" s="118"/>
      <x:c r="AC366" s="119"/>
      <x:c r="AD366" s="119"/>
      <x:c r="AE366" s="5" t="str">
        <x:f>IF(A366="","",IF(Z366="","Нет ID пары",IF(AND(COUNTIFS($Z$59:$Z$505,Z366,$Y$59:$Y$505,"Оптимальный",$W$59:$W$505,"Рассчитан")=1,COUNTIFS($Z$59:$Z$505,Z366,$Y$59:$Y$505,"Агрессивный",$W$59:$W$505,"Рассчитан")=1),"Да","Нет")))</x:f>
      </x:c>
      <x:c r="AF366" s="5"/>
      <x:c r="AG366" s="5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IF(A367="","",IF(U367="","",IF(U367="Выигрыш",J367-1,IF(U367="Полувыигрыш",(J367-1)/2,IF(U367="Возврат",0,IF(U367="Полупроигрыш",-0.5,IF(U367="Поражение",-1,"Проверить результат")))))))</x:f>
      </x:c>
      <x:c r="W367" s="80" t="str">
        <x:f>IF(A367="","",IF(U367="","Открыт",IF(ISNUMBER(V367),"Рассчитан","Проверить результат")))</x:f>
      </x:c>
      <x:c r="X367" s="98"/>
      <x:c r="Y367" s="5"/>
      <x:c r="Z367" s="5"/>
      <x:c r="AA367" s="5"/>
      <x:c r="AB367" s="118"/>
      <x:c r="AC367" s="119"/>
      <x:c r="AD367" s="119"/>
      <x:c r="AE367" s="5" t="str">
        <x:f>IF(A367="","",IF(Z367="","Нет ID пары",IF(AND(COUNTIFS($Z$59:$Z$505,Z367,$Y$59:$Y$505,"Оптимальный",$W$59:$W$505,"Рассчитан")=1,COUNTIFS($Z$59:$Z$505,Z367,$Y$59:$Y$505,"Агрессивный",$W$59:$W$505,"Рассчитан")=1),"Да","Нет")))</x:f>
      </x:c>
      <x:c r="AF367" s="5"/>
      <x:c r="AG367" s="5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IF(A368="","",IF(U368="","",IF(U368="Выигрыш",J368-1,IF(U368="Полувыигрыш",(J368-1)/2,IF(U368="Возврат",0,IF(U368="Полупроигрыш",-0.5,IF(U368="Поражение",-1,"Проверить результат")))))))</x:f>
      </x:c>
      <x:c r="W368" s="80" t="str">
        <x:f>IF(A368="","",IF(U368="","Открыт",IF(ISNUMBER(V368),"Рассчитан","Проверить результат")))</x:f>
      </x:c>
      <x:c r="X368" s="98"/>
      <x:c r="Y368" s="5"/>
      <x:c r="Z368" s="5"/>
      <x:c r="AA368" s="5"/>
      <x:c r="AB368" s="118"/>
      <x:c r="AC368" s="119"/>
      <x:c r="AD368" s="119"/>
      <x:c r="AE368" s="5" t="str">
        <x:f>IF(A368="","",IF(Z368="","Нет ID пары",IF(AND(COUNTIFS($Z$59:$Z$505,Z368,$Y$59:$Y$505,"Оптимальный",$W$59:$W$505,"Рассчитан")=1,COUNTIFS($Z$59:$Z$505,Z368,$Y$59:$Y$505,"Агрессивный",$W$59:$W$505,"Рассчитан")=1),"Да","Нет")))</x:f>
      </x:c>
      <x:c r="AF368" s="5"/>
      <x:c r="AG368" s="5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IF(A369="","",IF(U369="","",IF(U369="Выигрыш",J369-1,IF(U369="Полувыигрыш",(J369-1)/2,IF(U369="Возврат",0,IF(U369="Полупроигрыш",-0.5,IF(U369="Поражение",-1,"Проверить результат")))))))</x:f>
      </x:c>
      <x:c r="W369" s="80" t="str">
        <x:f>IF(A369="","",IF(U369="","Открыт",IF(ISNUMBER(V369),"Рассчитан","Проверить результат")))</x:f>
      </x:c>
      <x:c r="X369" s="98"/>
      <x:c r="Y369" s="5"/>
      <x:c r="Z369" s="5"/>
      <x:c r="AA369" s="5"/>
      <x:c r="AB369" s="118"/>
      <x:c r="AC369" s="119"/>
      <x:c r="AD369" s="119"/>
      <x:c r="AE369" s="5" t="str">
        <x:f>IF(A369="","",IF(Z369="","Нет ID пары",IF(AND(COUNTIFS($Z$59:$Z$505,Z369,$Y$59:$Y$505,"Оптимальный",$W$59:$W$505,"Рассчитан")=1,COUNTIFS($Z$59:$Z$505,Z369,$Y$59:$Y$505,"Агрессивный",$W$59:$W$505,"Рассчитан")=1),"Да","Нет")))</x:f>
      </x:c>
      <x:c r="AF369" s="5"/>
      <x:c r="AG369" s="5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IF(A370="","",IF(U370="","",IF(U370="Выигрыш",J370-1,IF(U370="Полувыигрыш",(J370-1)/2,IF(U370="Возврат",0,IF(U370="Полупроигрыш",-0.5,IF(U370="Поражение",-1,"Проверить результат")))))))</x:f>
      </x:c>
      <x:c r="W370" s="80" t="str">
        <x:f>IF(A370="","",IF(U370="","Открыт",IF(ISNUMBER(V370),"Рассчитан","Проверить результат")))</x:f>
      </x:c>
      <x:c r="X370" s="98"/>
      <x:c r="Y370" s="5"/>
      <x:c r="Z370" s="5"/>
      <x:c r="AA370" s="5"/>
      <x:c r="AB370" s="118"/>
      <x:c r="AC370" s="119"/>
      <x:c r="AD370" s="119"/>
      <x:c r="AE370" s="5" t="str">
        <x:f>IF(A370="","",IF(Z370="","Нет ID пары",IF(AND(COUNTIFS($Z$59:$Z$505,Z370,$Y$59:$Y$505,"Оптимальный",$W$59:$W$505,"Рассчитан")=1,COUNTIFS($Z$59:$Z$505,Z370,$Y$59:$Y$505,"Агрессивный",$W$59:$W$505,"Рассчитан")=1),"Да","Нет")))</x:f>
      </x:c>
      <x:c r="AF370" s="5"/>
      <x:c r="AG370" s="5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IF(A371="","",IF(U371="","",IF(U371="Выигрыш",J371-1,IF(U371="Полувыигрыш",(J371-1)/2,IF(U371="Возврат",0,IF(U371="Полупроигрыш",-0.5,IF(U371="Поражение",-1,"Проверить результат")))))))</x:f>
      </x:c>
      <x:c r="W371" s="80" t="str">
        <x:f>IF(A371="","",IF(U371="","Открыт",IF(ISNUMBER(V371),"Рассчитан","Проверить результат")))</x:f>
      </x:c>
      <x:c r="X371" s="98"/>
      <x:c r="Y371" s="5"/>
      <x:c r="Z371" s="5"/>
      <x:c r="AA371" s="5"/>
      <x:c r="AB371" s="118"/>
      <x:c r="AC371" s="119"/>
      <x:c r="AD371" s="119"/>
      <x:c r="AE371" s="5" t="str">
        <x:f>IF(A371="","",IF(Z371="","Нет ID пары",IF(AND(COUNTIFS($Z$59:$Z$505,Z371,$Y$59:$Y$505,"Оптимальный",$W$59:$W$505,"Рассчитан")=1,COUNTIFS($Z$59:$Z$505,Z371,$Y$59:$Y$505,"Агрессивный",$W$59:$W$505,"Рассчитан")=1),"Да","Нет")))</x:f>
      </x:c>
      <x:c r="AF371" s="5"/>
      <x:c r="AG371" s="5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IF(A372="","",IF(U372="","",IF(U372="Выигрыш",J372-1,IF(U372="Полувыигрыш",(J372-1)/2,IF(U372="Возврат",0,IF(U372="Полупроигрыш",-0.5,IF(U372="Поражение",-1,"Проверить результат")))))))</x:f>
      </x:c>
      <x:c r="W372" s="80" t="str">
        <x:f>IF(A372="","",IF(U372="","Открыт",IF(ISNUMBER(V372),"Рассчитан","Проверить результат")))</x:f>
      </x:c>
      <x:c r="X372" s="98"/>
      <x:c r="Y372" s="5"/>
      <x:c r="Z372" s="5"/>
      <x:c r="AA372" s="5"/>
      <x:c r="AB372" s="118"/>
      <x:c r="AC372" s="119"/>
      <x:c r="AD372" s="119"/>
      <x:c r="AE372" s="5" t="str">
        <x:f>IF(A372="","",IF(Z372="","Нет ID пары",IF(AND(COUNTIFS($Z$59:$Z$505,Z372,$Y$59:$Y$505,"Оптимальный",$W$59:$W$505,"Рассчитан")=1,COUNTIFS($Z$59:$Z$505,Z372,$Y$59:$Y$505,"Агрессивный",$W$59:$W$505,"Рассчитан")=1),"Да","Нет")))</x:f>
      </x:c>
      <x:c r="AF372" s="5"/>
      <x:c r="AG372" s="5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IF(A373="","",IF(U373="","",IF(U373="Выигрыш",J373-1,IF(U373="Полувыигрыш",(J373-1)/2,IF(U373="Возврат",0,IF(U373="Полупроигрыш",-0.5,IF(U373="Поражение",-1,"Проверить результат")))))))</x:f>
      </x:c>
      <x:c r="W373" s="80" t="str">
        <x:f>IF(A373="","",IF(U373="","Открыт",IF(ISNUMBER(V373),"Рассчитан","Проверить результат")))</x:f>
      </x:c>
      <x:c r="X373" s="98"/>
      <x:c r="Y373" s="5"/>
      <x:c r="Z373" s="5"/>
      <x:c r="AA373" s="5"/>
      <x:c r="AB373" s="118"/>
      <x:c r="AC373" s="119"/>
      <x:c r="AD373" s="119"/>
      <x:c r="AE373" s="5" t="str">
        <x:f>IF(A373="","",IF(Z373="","Нет ID пары",IF(AND(COUNTIFS($Z$59:$Z$505,Z373,$Y$59:$Y$505,"Оптимальный",$W$59:$W$505,"Рассчитан")=1,COUNTIFS($Z$59:$Z$505,Z373,$Y$59:$Y$505,"Агрессивный",$W$59:$W$505,"Рассчитан")=1),"Да","Нет")))</x:f>
      </x:c>
      <x:c r="AF373" s="5"/>
      <x:c r="AG373" s="5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IF(A374="","",IF(U374="","",IF(U374="Выигрыш",J374-1,IF(U374="Полувыигрыш",(J374-1)/2,IF(U374="Возврат",0,IF(U374="Полупроигрыш",-0.5,IF(U374="Поражение",-1,"Проверить результат")))))))</x:f>
      </x:c>
      <x:c r="W374" s="80" t="str">
        <x:f>IF(A374="","",IF(U374="","Открыт",IF(ISNUMBER(V374),"Рассчитан","Проверить результат")))</x:f>
      </x:c>
      <x:c r="X374" s="98"/>
      <x:c r="Y374" s="5"/>
      <x:c r="Z374" s="5"/>
      <x:c r="AA374" s="5"/>
      <x:c r="AB374" s="118"/>
      <x:c r="AC374" s="119"/>
      <x:c r="AD374" s="119"/>
      <x:c r="AE374" s="5" t="str">
        <x:f>IF(A374="","",IF(Z374="","Нет ID пары",IF(AND(COUNTIFS($Z$59:$Z$505,Z374,$Y$59:$Y$505,"Оптимальный",$W$59:$W$505,"Рассчитан")=1,COUNTIFS($Z$59:$Z$505,Z374,$Y$59:$Y$505,"Агрессивный",$W$59:$W$505,"Рассчитан")=1),"Да","Нет")))</x:f>
      </x:c>
      <x:c r="AF374" s="5"/>
      <x:c r="AG374" s="5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IF(A375="","",IF(U375="","",IF(U375="Выигрыш",J375-1,IF(U375="Полувыигрыш",(J375-1)/2,IF(U375="Возврат",0,IF(U375="Полупроигрыш",-0.5,IF(U375="Поражение",-1,"Проверить результат")))))))</x:f>
      </x:c>
      <x:c r="W375" s="80" t="str">
        <x:f>IF(A375="","",IF(U375="","Открыт",IF(ISNUMBER(V375),"Рассчитан","Проверить результат")))</x:f>
      </x:c>
      <x:c r="X375" s="98"/>
      <x:c r="Y375" s="5"/>
      <x:c r="Z375" s="5"/>
      <x:c r="AA375" s="5"/>
      <x:c r="AB375" s="118"/>
      <x:c r="AC375" s="119"/>
      <x:c r="AD375" s="119"/>
      <x:c r="AE375" s="5" t="str">
        <x:f>IF(A375="","",IF(Z375="","Нет ID пары",IF(AND(COUNTIFS($Z$59:$Z$505,Z375,$Y$59:$Y$505,"Оптимальный",$W$59:$W$505,"Рассчитан")=1,COUNTIFS($Z$59:$Z$505,Z375,$Y$59:$Y$505,"Агрессивный",$W$59:$W$505,"Рассчитан")=1),"Да","Нет")))</x:f>
      </x:c>
      <x:c r="AF375" s="5"/>
      <x:c r="AG375" s="5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IF(A376="","",IF(U376="","",IF(U376="Выигрыш",J376-1,IF(U376="Полувыигрыш",(J376-1)/2,IF(U376="Возврат",0,IF(U376="Полупроигрыш",-0.5,IF(U376="Поражение",-1,"Проверить результат")))))))</x:f>
      </x:c>
      <x:c r="W376" s="80" t="str">
        <x:f>IF(A376="","",IF(U376="","Открыт",IF(ISNUMBER(V376),"Рассчитан","Проверить результат")))</x:f>
      </x:c>
      <x:c r="X376" s="98"/>
      <x:c r="Y376" s="5"/>
      <x:c r="Z376" s="5"/>
      <x:c r="AA376" s="5"/>
      <x:c r="AB376" s="118"/>
      <x:c r="AC376" s="119"/>
      <x:c r="AD376" s="119"/>
      <x:c r="AE376" s="5" t="str">
        <x:f>IF(A376="","",IF(Z376="","Нет ID пары",IF(AND(COUNTIFS($Z$59:$Z$505,Z376,$Y$59:$Y$505,"Оптимальный",$W$59:$W$505,"Рассчитан")=1,COUNTIFS($Z$59:$Z$505,Z376,$Y$59:$Y$505,"Агрессивный",$W$59:$W$505,"Рассчитан")=1),"Да","Нет")))</x:f>
      </x:c>
      <x:c r="AF376" s="5"/>
      <x:c r="AG376" s="5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IF(A377="","",IF(U377="","",IF(U377="Выигрыш",J377-1,IF(U377="Полувыигрыш",(J377-1)/2,IF(U377="Возврат",0,IF(U377="Полупроигрыш",-0.5,IF(U377="Поражение",-1,"Проверить результат")))))))</x:f>
      </x:c>
      <x:c r="W377" s="80" t="str">
        <x:f>IF(A377="","",IF(U377="","Открыт",IF(ISNUMBER(V377),"Рассчитан","Проверить результат")))</x:f>
      </x:c>
      <x:c r="X377" s="98"/>
      <x:c r="Y377" s="5"/>
      <x:c r="Z377" s="5"/>
      <x:c r="AA377" s="5"/>
      <x:c r="AB377" s="118"/>
      <x:c r="AC377" s="119"/>
      <x:c r="AD377" s="119"/>
      <x:c r="AE377" s="5" t="str">
        <x:f>IF(A377="","",IF(Z377="","Нет ID пары",IF(AND(COUNTIFS($Z$59:$Z$505,Z377,$Y$59:$Y$505,"Оптимальный",$W$59:$W$505,"Рассчитан")=1,COUNTIFS($Z$59:$Z$505,Z377,$Y$59:$Y$505,"Агрессивный",$W$59:$W$505,"Рассчитан")=1),"Да","Нет")))</x:f>
      </x:c>
      <x:c r="AF377" s="5"/>
      <x:c r="AG377" s="5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IF(A378="","",IF(U378="","",IF(U378="Выигрыш",J378-1,IF(U378="Полувыигрыш",(J378-1)/2,IF(U378="Возврат",0,IF(U378="Полупроигрыш",-0.5,IF(U378="Поражение",-1,"Проверить результат")))))))</x:f>
      </x:c>
      <x:c r="W378" s="80" t="str">
        <x:f>IF(A378="","",IF(U378="","Открыт",IF(ISNUMBER(V378),"Рассчитан","Проверить результат")))</x:f>
      </x:c>
      <x:c r="X378" s="98"/>
      <x:c r="Y378" s="5"/>
      <x:c r="Z378" s="5"/>
      <x:c r="AA378" s="5"/>
      <x:c r="AB378" s="118"/>
      <x:c r="AC378" s="119"/>
      <x:c r="AD378" s="119"/>
      <x:c r="AE378" s="5" t="str">
        <x:f>IF(A378="","",IF(Z378="","Нет ID пары",IF(AND(COUNTIFS($Z$59:$Z$505,Z378,$Y$59:$Y$505,"Оптимальный",$W$59:$W$505,"Рассчитан")=1,COUNTIFS($Z$59:$Z$505,Z378,$Y$59:$Y$505,"Агрессивный",$W$59:$W$505,"Рассчитан")=1),"Да","Нет")))</x:f>
      </x:c>
      <x:c r="AF378" s="5"/>
      <x:c r="AG378" s="5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IF(A379="","",IF(U379="","",IF(U379="Выигрыш",J379-1,IF(U379="Полувыигрыш",(J379-1)/2,IF(U379="Возврат",0,IF(U379="Полупроигрыш",-0.5,IF(U379="Поражение",-1,"Проверить результат")))))))</x:f>
      </x:c>
      <x:c r="W379" s="80" t="str">
        <x:f>IF(A379="","",IF(U379="","Открыт",IF(ISNUMBER(V379),"Рассчитан","Проверить результат")))</x:f>
      </x:c>
      <x:c r="X379" s="98"/>
      <x:c r="Y379" s="5"/>
      <x:c r="Z379" s="5"/>
      <x:c r="AA379" s="5"/>
      <x:c r="AB379" s="118"/>
      <x:c r="AC379" s="119"/>
      <x:c r="AD379" s="119"/>
      <x:c r="AE379" s="5" t="str">
        <x:f>IF(A379="","",IF(Z379="","Нет ID пары",IF(AND(COUNTIFS($Z$59:$Z$505,Z379,$Y$59:$Y$505,"Оптимальный",$W$59:$W$505,"Рассчитан")=1,COUNTIFS($Z$59:$Z$505,Z379,$Y$59:$Y$505,"Агрессивный",$W$59:$W$505,"Рассчитан")=1),"Да","Нет")))</x:f>
      </x:c>
      <x:c r="AF379" s="5"/>
      <x:c r="AG379" s="5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IF(A380="","",IF(U380="","",IF(U380="Выигрыш",J380-1,IF(U380="Полувыигрыш",(J380-1)/2,IF(U380="Возврат",0,IF(U380="Полупроигрыш",-0.5,IF(U380="Поражение",-1,"Проверить результат")))))))</x:f>
      </x:c>
      <x:c r="W380" s="80" t="str">
        <x:f>IF(A380="","",IF(U380="","Открыт",IF(ISNUMBER(V380),"Рассчитан","Проверить результат")))</x:f>
      </x:c>
      <x:c r="X380" s="98"/>
      <x:c r="Y380" s="5"/>
      <x:c r="Z380" s="5"/>
      <x:c r="AA380" s="5"/>
      <x:c r="AB380" s="118"/>
      <x:c r="AC380" s="119"/>
      <x:c r="AD380" s="119"/>
      <x:c r="AE380" s="5" t="str">
        <x:f>IF(A380="","",IF(Z380="","Нет ID пары",IF(AND(COUNTIFS($Z$59:$Z$505,Z380,$Y$59:$Y$505,"Оптимальный",$W$59:$W$505,"Рассчитан")=1,COUNTIFS($Z$59:$Z$505,Z380,$Y$59:$Y$505,"Агрессивный",$W$59:$W$505,"Рассчитан")=1),"Да","Нет")))</x:f>
      </x:c>
      <x:c r="AF380" s="5"/>
      <x:c r="AG380" s="5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IF(A381="","",IF(U381="","",IF(U381="Выигрыш",J381-1,IF(U381="Полувыигрыш",(J381-1)/2,IF(U381="Возврат",0,IF(U381="Полупроигрыш",-0.5,IF(U381="Поражение",-1,"Проверить результат")))))))</x:f>
      </x:c>
      <x:c r="W381" s="80" t="str">
        <x:f>IF(A381="","",IF(U381="","Открыт",IF(ISNUMBER(V381),"Рассчитан","Проверить результат")))</x:f>
      </x:c>
      <x:c r="X381" s="98"/>
      <x:c r="Y381" s="5"/>
      <x:c r="Z381" s="5"/>
      <x:c r="AA381" s="5"/>
      <x:c r="AB381" s="118"/>
      <x:c r="AC381" s="119"/>
      <x:c r="AD381" s="119"/>
      <x:c r="AE381" s="5" t="str">
        <x:f>IF(A381="","",IF(Z381="","Нет ID пары",IF(AND(COUNTIFS($Z$59:$Z$505,Z381,$Y$59:$Y$505,"Оптимальный",$W$59:$W$505,"Рассчитан")=1,COUNTIFS($Z$59:$Z$505,Z381,$Y$59:$Y$505,"Агрессивный",$W$59:$W$505,"Рассчитан")=1),"Да","Нет")))</x:f>
      </x:c>
      <x:c r="AF381" s="5"/>
      <x:c r="AG381" s="5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IF(A382="","",IF(U382="","",IF(U382="Выигрыш",J382-1,IF(U382="Полувыигрыш",(J382-1)/2,IF(U382="Возврат",0,IF(U382="Полупроигрыш",-0.5,IF(U382="Поражение",-1,"Проверить результат")))))))</x:f>
      </x:c>
      <x:c r="W382" s="80" t="str">
        <x:f>IF(A382="","",IF(U382="","Открыт",IF(ISNUMBER(V382),"Рассчитан","Проверить результат")))</x:f>
      </x:c>
      <x:c r="X382" s="98"/>
      <x:c r="Y382" s="5"/>
      <x:c r="Z382" s="5"/>
      <x:c r="AA382" s="5"/>
      <x:c r="AB382" s="118"/>
      <x:c r="AC382" s="119"/>
      <x:c r="AD382" s="119"/>
      <x:c r="AE382" s="5" t="str">
        <x:f>IF(A382="","",IF(Z382="","Нет ID пары",IF(AND(COUNTIFS($Z$59:$Z$505,Z382,$Y$59:$Y$505,"Оптимальный",$W$59:$W$505,"Рассчитан")=1,COUNTIFS($Z$59:$Z$505,Z382,$Y$59:$Y$505,"Агрессивный",$W$59:$W$505,"Рассчитан")=1),"Да","Нет")))</x:f>
      </x:c>
      <x:c r="AF382" s="5"/>
      <x:c r="AG382" s="5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IF(A383="","",IF(U383="","",IF(U383="Выигрыш",J383-1,IF(U383="Полувыигрыш",(J383-1)/2,IF(U383="Возврат",0,IF(U383="Полупроигрыш",-0.5,IF(U383="Поражение",-1,"Проверить результат")))))))</x:f>
      </x:c>
      <x:c r="W383" s="80" t="str">
        <x:f>IF(A383="","",IF(U383="","Открыт",IF(ISNUMBER(V383),"Рассчитан","Проверить результат")))</x:f>
      </x:c>
      <x:c r="X383" s="98"/>
      <x:c r="Y383" s="5"/>
      <x:c r="Z383" s="5"/>
      <x:c r="AA383" s="5"/>
      <x:c r="AB383" s="118"/>
      <x:c r="AC383" s="119"/>
      <x:c r="AD383" s="119"/>
      <x:c r="AE383" s="5" t="str">
        <x:f>IF(A383="","",IF(Z383="","Нет ID пары",IF(AND(COUNTIFS($Z$59:$Z$505,Z383,$Y$59:$Y$505,"Оптимальный",$W$59:$W$505,"Рассчитан")=1,COUNTIFS($Z$59:$Z$505,Z383,$Y$59:$Y$505,"Агрессивный",$W$59:$W$505,"Рассчитан")=1),"Да","Нет")))</x:f>
      </x:c>
      <x:c r="AF383" s="5"/>
      <x:c r="AG383" s="5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IF(A384="","",IF(U384="","",IF(U384="Выигрыш",J384-1,IF(U384="Полувыигрыш",(J384-1)/2,IF(U384="Возврат",0,IF(U384="Полупроигрыш",-0.5,IF(U384="Поражение",-1,"Проверить результат")))))))</x:f>
      </x:c>
      <x:c r="W384" s="80" t="str">
        <x:f>IF(A384="","",IF(U384="","Открыт",IF(ISNUMBER(V384),"Рассчитан","Проверить результат")))</x:f>
      </x:c>
      <x:c r="X384" s="98"/>
      <x:c r="Y384" s="5"/>
      <x:c r="Z384" s="5"/>
      <x:c r="AA384" s="5"/>
      <x:c r="AB384" s="118"/>
      <x:c r="AC384" s="119"/>
      <x:c r="AD384" s="119"/>
      <x:c r="AE384" s="5" t="str">
        <x:f>IF(A384="","",IF(Z384="","Нет ID пары",IF(AND(COUNTIFS($Z$59:$Z$505,Z384,$Y$59:$Y$505,"Оптимальный",$W$59:$W$505,"Рассчитан")=1,COUNTIFS($Z$59:$Z$505,Z384,$Y$59:$Y$505,"Агрессивный",$W$59:$W$505,"Рассчитан")=1),"Да","Нет")))</x:f>
      </x:c>
      <x:c r="AF384" s="5"/>
      <x:c r="AG384" s="5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IF(A385="","",IF(U385="","",IF(U385="Выигрыш",J385-1,IF(U385="Полувыигрыш",(J385-1)/2,IF(U385="Возврат",0,IF(U385="Полупроигрыш",-0.5,IF(U385="Поражение",-1,"Проверить результат")))))))</x:f>
      </x:c>
      <x:c r="W385" s="80" t="str">
        <x:f>IF(A385="","",IF(U385="","Открыт",IF(ISNUMBER(V385),"Рассчитан","Проверить результат")))</x:f>
      </x:c>
      <x:c r="X385" s="98"/>
      <x:c r="Y385" s="5"/>
      <x:c r="Z385" s="5"/>
      <x:c r="AA385" s="5"/>
      <x:c r="AB385" s="118"/>
      <x:c r="AC385" s="119"/>
      <x:c r="AD385" s="119"/>
      <x:c r="AE385" s="5" t="str">
        <x:f>IF(A385="","",IF(Z385="","Нет ID пары",IF(AND(COUNTIFS($Z$59:$Z$505,Z385,$Y$59:$Y$505,"Оптимальный",$W$59:$W$505,"Рассчитан")=1,COUNTIFS($Z$59:$Z$505,Z385,$Y$59:$Y$505,"Агрессивный",$W$59:$W$505,"Рассчитан")=1),"Да","Нет")))</x:f>
      </x:c>
      <x:c r="AF385" s="5"/>
      <x:c r="AG385" s="5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IF(A386="","",IF(U386="","",IF(U386="Выигрыш",J386-1,IF(U386="Полувыигрыш",(J386-1)/2,IF(U386="Возврат",0,IF(U386="Полупроигрыш",-0.5,IF(U386="Поражение",-1,"Проверить результат")))))))</x:f>
      </x:c>
      <x:c r="W386" s="80" t="str">
        <x:f>IF(A386="","",IF(U386="","Открыт",IF(ISNUMBER(V386),"Рассчитан","Проверить результат")))</x:f>
      </x:c>
      <x:c r="X386" s="98"/>
      <x:c r="Y386" s="5"/>
      <x:c r="Z386" s="5"/>
      <x:c r="AA386" s="5"/>
      <x:c r="AB386" s="118"/>
      <x:c r="AC386" s="119"/>
      <x:c r="AD386" s="119"/>
      <x:c r="AE386" s="5" t="str">
        <x:f>IF(A386="","",IF(Z386="","Нет ID пары",IF(AND(COUNTIFS($Z$59:$Z$505,Z386,$Y$59:$Y$505,"Оптимальный",$W$59:$W$505,"Рассчитан")=1,COUNTIFS($Z$59:$Z$505,Z386,$Y$59:$Y$505,"Агрессивный",$W$59:$W$505,"Рассчитан")=1),"Да","Нет")))</x:f>
      </x:c>
      <x:c r="AF386" s="5"/>
      <x:c r="AG386" s="5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IF(A387="","",IF(U387="","",IF(U387="Выигрыш",J387-1,IF(U387="Полувыигрыш",(J387-1)/2,IF(U387="Возврат",0,IF(U387="Полупроигрыш",-0.5,IF(U387="Поражение",-1,"Проверить результат")))))))</x:f>
      </x:c>
      <x:c r="W387" s="80" t="str">
        <x:f>IF(A387="","",IF(U387="","Открыт",IF(ISNUMBER(V387),"Рассчитан","Проверить результат")))</x:f>
      </x:c>
      <x:c r="X387" s="98"/>
      <x:c r="Y387" s="5"/>
      <x:c r="Z387" s="5"/>
      <x:c r="AA387" s="5"/>
      <x:c r="AB387" s="118"/>
      <x:c r="AC387" s="119"/>
      <x:c r="AD387" s="119"/>
      <x:c r="AE387" s="5" t="str">
        <x:f>IF(A387="","",IF(Z387="","Нет ID пары",IF(AND(COUNTIFS($Z$59:$Z$505,Z387,$Y$59:$Y$505,"Оптимальный",$W$59:$W$505,"Рассчитан")=1,COUNTIFS($Z$59:$Z$505,Z387,$Y$59:$Y$505,"Агрессивный",$W$59:$W$505,"Рассчитан")=1),"Да","Нет")))</x:f>
      </x:c>
      <x:c r="AF387" s="5"/>
      <x:c r="AG387" s="5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IF(A388="","",IF(U388="","",IF(U388="Выигрыш",J388-1,IF(U388="Полувыигрыш",(J388-1)/2,IF(U388="Возврат",0,IF(U388="Полупроигрыш",-0.5,IF(U388="Поражение",-1,"Проверить результат")))))))</x:f>
      </x:c>
      <x:c r="W388" s="80" t="str">
        <x:f>IF(A388="","",IF(U388="","Открыт",IF(ISNUMBER(V388),"Рассчитан","Проверить результат")))</x:f>
      </x:c>
      <x:c r="X388" s="98"/>
      <x:c r="Y388" s="5"/>
      <x:c r="Z388" s="5"/>
      <x:c r="AA388" s="5"/>
      <x:c r="AB388" s="118"/>
      <x:c r="AC388" s="119"/>
      <x:c r="AD388" s="119"/>
      <x:c r="AE388" s="5" t="str">
        <x:f>IF(A388="","",IF(Z388="","Нет ID пары",IF(AND(COUNTIFS($Z$59:$Z$505,Z388,$Y$59:$Y$505,"Оптимальный",$W$59:$W$505,"Рассчитан")=1,COUNTIFS($Z$59:$Z$505,Z388,$Y$59:$Y$505,"Агрессивный",$W$59:$W$505,"Рассчитан")=1),"Да","Нет")))</x:f>
      </x:c>
      <x:c r="AF388" s="5"/>
      <x:c r="AG388" s="5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IF(A389="","",IF(U389="","",IF(U389="Выигрыш",J389-1,IF(U389="Полувыигрыш",(J389-1)/2,IF(U389="Возврат",0,IF(U389="Полупроигрыш",-0.5,IF(U389="Поражение",-1,"Проверить результат")))))))</x:f>
      </x:c>
      <x:c r="W389" s="80" t="str">
        <x:f>IF(A389="","",IF(U389="","Открыт",IF(ISNUMBER(V389),"Рассчитан","Проверить результат")))</x:f>
      </x:c>
      <x:c r="X389" s="98"/>
      <x:c r="Y389" s="5"/>
      <x:c r="Z389" s="5"/>
      <x:c r="AA389" s="5"/>
      <x:c r="AB389" s="118"/>
      <x:c r="AC389" s="119"/>
      <x:c r="AD389" s="119"/>
      <x:c r="AE389" s="5" t="str">
        <x:f>IF(A389="","",IF(Z389="","Нет ID пары",IF(AND(COUNTIFS($Z$59:$Z$505,Z389,$Y$59:$Y$505,"Оптимальный",$W$59:$W$505,"Рассчитан")=1,COUNTIFS($Z$59:$Z$505,Z389,$Y$59:$Y$505,"Агрессивный",$W$59:$W$505,"Рассчитан")=1),"Да","Нет")))</x:f>
      </x:c>
      <x:c r="AF389" s="5"/>
      <x:c r="AG389" s="5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IF(A390="","",IF(U390="","",IF(U390="Выигрыш",J390-1,IF(U390="Полувыигрыш",(J390-1)/2,IF(U390="Возврат",0,IF(U390="Полупроигрыш",-0.5,IF(U390="Поражение",-1,"Проверить результат")))))))</x:f>
      </x:c>
      <x:c r="W390" s="80" t="str">
        <x:f>IF(A390="","",IF(U390="","Открыт",IF(ISNUMBER(V390),"Рассчитан","Проверить результат")))</x:f>
      </x:c>
      <x:c r="X390" s="98"/>
      <x:c r="Y390" s="5"/>
      <x:c r="Z390" s="5"/>
      <x:c r="AA390" s="5"/>
      <x:c r="AB390" s="118"/>
      <x:c r="AC390" s="119"/>
      <x:c r="AD390" s="119"/>
      <x:c r="AE390" s="5" t="str">
        <x:f>IF(A390="","",IF(Z390="","Нет ID пары",IF(AND(COUNTIFS($Z$59:$Z$505,Z390,$Y$59:$Y$505,"Оптимальный",$W$59:$W$505,"Рассчитан")=1,COUNTIFS($Z$59:$Z$505,Z390,$Y$59:$Y$505,"Агрессивный",$W$59:$W$505,"Рассчитан")=1),"Да","Нет")))</x:f>
      </x:c>
      <x:c r="AF390" s="5"/>
      <x:c r="AG390" s="5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IF(A391="","",IF(U391="","",IF(U391="Выигрыш",J391-1,IF(U391="Полувыигрыш",(J391-1)/2,IF(U391="Возврат",0,IF(U391="Полупроигрыш",-0.5,IF(U391="Поражение",-1,"Проверить результат")))))))</x:f>
      </x:c>
      <x:c r="W391" s="80" t="str">
        <x:f>IF(A391="","",IF(U391="","Открыт",IF(ISNUMBER(V391),"Рассчитан","Проверить результат")))</x:f>
      </x:c>
      <x:c r="X391" s="98"/>
      <x:c r="Y391" s="5"/>
      <x:c r="Z391" s="5"/>
      <x:c r="AA391" s="5"/>
      <x:c r="AB391" s="118"/>
      <x:c r="AC391" s="119"/>
      <x:c r="AD391" s="119"/>
      <x:c r="AE391" s="5" t="str">
        <x:f>IF(A391="","",IF(Z391="","Нет ID пары",IF(AND(COUNTIFS($Z$59:$Z$505,Z391,$Y$59:$Y$505,"Оптимальный",$W$59:$W$505,"Рассчитан")=1,COUNTIFS($Z$59:$Z$505,Z391,$Y$59:$Y$505,"Агрессивный",$W$59:$W$505,"Рассчитан")=1),"Да","Нет")))</x:f>
      </x:c>
      <x:c r="AF391" s="5"/>
      <x:c r="AG391" s="5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IF(A392="","",IF(U392="","",IF(U392="Выигрыш",J392-1,IF(U392="Полувыигрыш",(J392-1)/2,IF(U392="Возврат",0,IF(U392="Полупроигрыш",-0.5,IF(U392="Поражение",-1,"Проверить результат")))))))</x:f>
      </x:c>
      <x:c r="W392" s="80" t="str">
        <x:f>IF(A392="","",IF(U392="","Открыт",IF(ISNUMBER(V392),"Рассчитан","Проверить результат")))</x:f>
      </x:c>
      <x:c r="X392" s="98"/>
      <x:c r="Y392" s="5"/>
      <x:c r="Z392" s="5"/>
      <x:c r="AA392" s="5"/>
      <x:c r="AB392" s="118"/>
      <x:c r="AC392" s="119"/>
      <x:c r="AD392" s="119"/>
      <x:c r="AE392" s="5" t="str">
        <x:f>IF(A392="","",IF(Z392="","Нет ID пары",IF(AND(COUNTIFS($Z$59:$Z$505,Z392,$Y$59:$Y$505,"Оптимальный",$W$59:$W$505,"Рассчитан")=1,COUNTIFS($Z$59:$Z$505,Z392,$Y$59:$Y$505,"Агрессивный",$W$59:$W$505,"Рассчитан")=1),"Да","Нет")))</x:f>
      </x:c>
      <x:c r="AF392" s="5"/>
      <x:c r="AG392" s="5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IF(A393="","",IF(U393="","",IF(U393="Выигрыш",J393-1,IF(U393="Полувыигрыш",(J393-1)/2,IF(U393="Возврат",0,IF(U393="Полупроигрыш",-0.5,IF(U393="Поражение",-1,"Проверить результат")))))))</x:f>
      </x:c>
      <x:c r="W393" s="80" t="str">
        <x:f>IF(A393="","",IF(U393="","Открыт",IF(ISNUMBER(V393),"Рассчитан","Проверить результат")))</x:f>
      </x:c>
      <x:c r="X393" s="98"/>
      <x:c r="Y393" s="5"/>
      <x:c r="Z393" s="5"/>
      <x:c r="AA393" s="5"/>
      <x:c r="AB393" s="118"/>
      <x:c r="AC393" s="119"/>
      <x:c r="AD393" s="119"/>
      <x:c r="AE393" s="5" t="str">
        <x:f>IF(A393="","",IF(Z393="","Нет ID пары",IF(AND(COUNTIFS($Z$59:$Z$505,Z393,$Y$59:$Y$505,"Оптимальный",$W$59:$W$505,"Рассчитан")=1,COUNTIFS($Z$59:$Z$505,Z393,$Y$59:$Y$505,"Агрессивный",$W$59:$W$505,"Рассчитан")=1),"Да","Нет")))</x:f>
      </x:c>
      <x:c r="AF393" s="5"/>
      <x:c r="AG393" s="5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IF(A394="","",IF(U394="","",IF(U394="Выигрыш",J394-1,IF(U394="Полувыигрыш",(J394-1)/2,IF(U394="Возврат",0,IF(U394="Полупроигрыш",-0.5,IF(U394="Поражение",-1,"Проверить результат")))))))</x:f>
      </x:c>
      <x:c r="W394" s="80" t="str">
        <x:f>IF(A394="","",IF(U394="","Открыт",IF(ISNUMBER(V394),"Рассчитан","Проверить результат")))</x:f>
      </x:c>
      <x:c r="X394" s="98"/>
      <x:c r="Y394" s="5"/>
      <x:c r="Z394" s="5"/>
      <x:c r="AA394" s="5"/>
      <x:c r="AB394" s="118"/>
      <x:c r="AC394" s="119"/>
      <x:c r="AD394" s="119"/>
      <x:c r="AE394" s="5" t="str">
        <x:f>IF(A394="","",IF(Z394="","Нет ID пары",IF(AND(COUNTIFS($Z$59:$Z$505,Z394,$Y$59:$Y$505,"Оптимальный",$W$59:$W$505,"Рассчитан")=1,COUNTIFS($Z$59:$Z$505,Z394,$Y$59:$Y$505,"Агрессивный",$W$59:$W$505,"Рассчитан")=1),"Да","Нет")))</x:f>
      </x:c>
      <x:c r="AF394" s="5"/>
      <x:c r="AG394" s="5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IF(A395="","",IF(U395="","",IF(U395="Выигрыш",J395-1,IF(U395="Полувыигрыш",(J395-1)/2,IF(U395="Возврат",0,IF(U395="Полупроигрыш",-0.5,IF(U395="Поражение",-1,"Проверить результат")))))))</x:f>
      </x:c>
      <x:c r="W395" s="80" t="str">
        <x:f>IF(A395="","",IF(U395="","Открыт",IF(ISNUMBER(V395),"Рассчитан","Проверить результат")))</x:f>
      </x:c>
      <x:c r="X395" s="98"/>
      <x:c r="Y395" s="5"/>
      <x:c r="Z395" s="5"/>
      <x:c r="AA395" s="5"/>
      <x:c r="AB395" s="118"/>
      <x:c r="AC395" s="119"/>
      <x:c r="AD395" s="119"/>
      <x:c r="AE395" s="5" t="str">
        <x:f>IF(A395="","",IF(Z395="","Нет ID пары",IF(AND(COUNTIFS($Z$59:$Z$505,Z395,$Y$59:$Y$505,"Оптимальный",$W$59:$W$505,"Рассчитан")=1,COUNTIFS($Z$59:$Z$505,Z395,$Y$59:$Y$505,"Агрессивный",$W$59:$W$505,"Рассчитан")=1),"Да","Нет")))</x:f>
      </x:c>
      <x:c r="AF395" s="5"/>
      <x:c r="AG395" s="5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IF(A396="","",IF(U396="","",IF(U396="Выигрыш",J396-1,IF(U396="Полувыигрыш",(J396-1)/2,IF(U396="Возврат",0,IF(U396="Полупроигрыш",-0.5,IF(U396="Поражение",-1,"Проверить результат")))))))</x:f>
      </x:c>
      <x:c r="W396" s="80" t="str">
        <x:f>IF(A396="","",IF(U396="","Открыт",IF(ISNUMBER(V396),"Рассчитан","Проверить результат")))</x:f>
      </x:c>
      <x:c r="X396" s="98"/>
      <x:c r="Y396" s="5"/>
      <x:c r="Z396" s="5"/>
      <x:c r="AA396" s="5"/>
      <x:c r="AB396" s="118"/>
      <x:c r="AC396" s="119"/>
      <x:c r="AD396" s="119"/>
      <x:c r="AE396" s="5" t="str">
        <x:f>IF(A396="","",IF(Z396="","Нет ID пары",IF(AND(COUNTIFS($Z$59:$Z$505,Z396,$Y$59:$Y$505,"Оптимальный",$W$59:$W$505,"Рассчитан")=1,COUNTIFS($Z$59:$Z$505,Z396,$Y$59:$Y$505,"Агрессивный",$W$59:$W$505,"Рассчитан")=1),"Да","Нет")))</x:f>
      </x:c>
      <x:c r="AF396" s="5"/>
      <x:c r="AG396" s="5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IF(A397="","",IF(U397="","",IF(U397="Выигрыш",J397-1,IF(U397="Полувыигрыш",(J397-1)/2,IF(U397="Возврат",0,IF(U397="Полупроигрыш",-0.5,IF(U397="Поражение",-1,"Проверить результат")))))))</x:f>
      </x:c>
      <x:c r="W397" s="80" t="str">
        <x:f>IF(A397="","",IF(U397="","Открыт",IF(ISNUMBER(V397),"Рассчитан","Проверить результат")))</x:f>
      </x:c>
      <x:c r="X397" s="98"/>
      <x:c r="Y397" s="5"/>
      <x:c r="Z397" s="5"/>
      <x:c r="AA397" s="5"/>
      <x:c r="AB397" s="118"/>
      <x:c r="AC397" s="119"/>
      <x:c r="AD397" s="119"/>
      <x:c r="AE397" s="5" t="str">
        <x:f>IF(A397="","",IF(Z397="","Нет ID пары",IF(AND(COUNTIFS($Z$59:$Z$505,Z397,$Y$59:$Y$505,"Оптимальный",$W$59:$W$505,"Рассчитан")=1,COUNTIFS($Z$59:$Z$505,Z397,$Y$59:$Y$505,"Агрессивный",$W$59:$W$505,"Рассчитан")=1),"Да","Нет")))</x:f>
      </x:c>
      <x:c r="AF397" s="5"/>
      <x:c r="AG397" s="5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IF(A398="","",IF(U398="","",IF(U398="Выигрыш",J398-1,IF(U398="Полувыигрыш",(J398-1)/2,IF(U398="Возврат",0,IF(U398="Полупроигрыш",-0.5,IF(U398="Поражение",-1,"Проверить результат")))))))</x:f>
      </x:c>
      <x:c r="W398" s="80" t="str">
        <x:f>IF(A398="","",IF(U398="","Открыт",IF(ISNUMBER(V398),"Рассчитан","Проверить результат")))</x:f>
      </x:c>
      <x:c r="X398" s="98"/>
      <x:c r="Y398" s="5"/>
      <x:c r="Z398" s="5"/>
      <x:c r="AA398" s="5"/>
      <x:c r="AB398" s="118"/>
      <x:c r="AC398" s="119"/>
      <x:c r="AD398" s="119"/>
      <x:c r="AE398" s="5" t="str">
        <x:f>IF(A398="","",IF(Z398="","Нет ID пары",IF(AND(COUNTIFS($Z$59:$Z$505,Z398,$Y$59:$Y$505,"Оптимальный",$W$59:$W$505,"Рассчитан")=1,COUNTIFS($Z$59:$Z$505,Z398,$Y$59:$Y$505,"Агрессивный",$W$59:$W$505,"Рассчитан")=1),"Да","Нет")))</x:f>
      </x:c>
      <x:c r="AF398" s="5"/>
      <x:c r="AG398" s="5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IF(A399="","",IF(U399="","",IF(U399="Выигрыш",J399-1,IF(U399="Полувыигрыш",(J399-1)/2,IF(U399="Возврат",0,IF(U399="Полупроигрыш",-0.5,IF(U399="Поражение",-1,"Проверить результат")))))))</x:f>
      </x:c>
      <x:c r="W399" s="80" t="str">
        <x:f>IF(A399="","",IF(U399="","Открыт",IF(ISNUMBER(V399),"Рассчитан","Проверить результат")))</x:f>
      </x:c>
      <x:c r="X399" s="98"/>
      <x:c r="Y399" s="5"/>
      <x:c r="Z399" s="5"/>
      <x:c r="AA399" s="5"/>
      <x:c r="AB399" s="118"/>
      <x:c r="AC399" s="119"/>
      <x:c r="AD399" s="119"/>
      <x:c r="AE399" s="5" t="str">
        <x:f>IF(A399="","",IF(Z399="","Нет ID пары",IF(AND(COUNTIFS($Z$59:$Z$505,Z399,$Y$59:$Y$505,"Оптимальный",$W$59:$W$505,"Рассчитан")=1,COUNTIFS($Z$59:$Z$505,Z399,$Y$59:$Y$505,"Агрессивный",$W$59:$W$505,"Рассчитан")=1),"Да","Нет")))</x:f>
      </x:c>
      <x:c r="AF399" s="5"/>
      <x:c r="AG399" s="5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IF(A400="","",IF(U400="","",IF(U400="Выигрыш",J400-1,IF(U400="Полувыигрыш",(J400-1)/2,IF(U400="Возврат",0,IF(U400="Полупроигрыш",-0.5,IF(U400="Поражение",-1,"Проверить результат")))))))</x:f>
      </x:c>
      <x:c r="W400" s="80" t="str">
        <x:f>IF(A400="","",IF(U400="","Открыт",IF(ISNUMBER(V400),"Рассчитан","Проверить результат")))</x:f>
      </x:c>
      <x:c r="X400" s="98"/>
      <x:c r="Y400" s="5"/>
      <x:c r="Z400" s="5"/>
      <x:c r="AA400" s="5"/>
      <x:c r="AB400" s="118"/>
      <x:c r="AC400" s="119"/>
      <x:c r="AD400" s="119"/>
      <x:c r="AE400" s="5" t="str">
        <x:f>IF(A400="","",IF(Z400="","Нет ID пары",IF(AND(COUNTIFS($Z$59:$Z$505,Z400,$Y$59:$Y$505,"Оптимальный",$W$59:$W$505,"Рассчитан")=1,COUNTIFS($Z$59:$Z$505,Z400,$Y$59:$Y$505,"Агрессивный",$W$59:$W$505,"Рассчитан")=1),"Да","Нет")))</x:f>
      </x:c>
      <x:c r="AF400" s="5"/>
      <x:c r="AG400" s="5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IF(A401="","",IF(U401="","",IF(U401="Выигрыш",J401-1,IF(U401="Полувыигрыш",(J401-1)/2,IF(U401="Возврат",0,IF(U401="Полупроигрыш",-0.5,IF(U401="Поражение",-1,"Проверить результат")))))))</x:f>
      </x:c>
      <x:c r="W401" s="80" t="str">
        <x:f>IF(A401="","",IF(U401="","Открыт",IF(ISNUMBER(V401),"Рассчитан","Проверить результат")))</x:f>
      </x:c>
      <x:c r="X401" s="98"/>
      <x:c r="Y401" s="5"/>
      <x:c r="Z401" s="5"/>
      <x:c r="AA401" s="5"/>
      <x:c r="AB401" s="118"/>
      <x:c r="AC401" s="119"/>
      <x:c r="AD401" s="119"/>
      <x:c r="AE401" s="5" t="str">
        <x:f>IF(A401="","",IF(Z401="","Нет ID пары",IF(AND(COUNTIFS($Z$59:$Z$505,Z401,$Y$59:$Y$505,"Оптимальный",$W$59:$W$505,"Рассчитан")=1,COUNTIFS($Z$59:$Z$505,Z401,$Y$59:$Y$505,"Агрессивный",$W$59:$W$505,"Рассчитан")=1),"Да","Нет")))</x:f>
      </x:c>
      <x:c r="AF401" s="5"/>
      <x:c r="AG401" s="5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IF(A402="","",IF(U402="","",IF(U402="Выигрыш",J402-1,IF(U402="Полувыигрыш",(J402-1)/2,IF(U402="Возврат",0,IF(U402="Полупроигрыш",-0.5,IF(U402="Поражение",-1,"Проверить результат")))))))</x:f>
      </x:c>
      <x:c r="W402" s="80" t="str">
        <x:f>IF(A402="","",IF(U402="","Открыт",IF(ISNUMBER(V402),"Рассчитан","Проверить результат")))</x:f>
      </x:c>
      <x:c r="X402" s="98"/>
      <x:c r="Y402" s="5"/>
      <x:c r="Z402" s="5"/>
      <x:c r="AA402" s="5"/>
      <x:c r="AB402" s="118"/>
      <x:c r="AC402" s="119"/>
      <x:c r="AD402" s="119"/>
      <x:c r="AE402" s="5" t="str">
        <x:f>IF(A402="","",IF(Z402="","Нет ID пары",IF(AND(COUNTIFS($Z$59:$Z$505,Z402,$Y$59:$Y$505,"Оптимальный",$W$59:$W$505,"Рассчитан")=1,COUNTIFS($Z$59:$Z$505,Z402,$Y$59:$Y$505,"Агрессивный",$W$59:$W$505,"Рассчитан")=1),"Да","Нет")))</x:f>
      </x:c>
      <x:c r="AF402" s="5"/>
      <x:c r="AG402" s="5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IF(A403="","",IF(U403="","",IF(U403="Выигрыш",J403-1,IF(U403="Полувыигрыш",(J403-1)/2,IF(U403="Возврат",0,IF(U403="Полупроигрыш",-0.5,IF(U403="Поражение",-1,"Проверить результат")))))))</x:f>
      </x:c>
      <x:c r="W403" s="80" t="str">
        <x:f>IF(A403="","",IF(U403="","Открыт",IF(ISNUMBER(V403),"Рассчитан","Проверить результат")))</x:f>
      </x:c>
      <x:c r="X403" s="98"/>
      <x:c r="Y403" s="5"/>
      <x:c r="Z403" s="5"/>
      <x:c r="AA403" s="5"/>
      <x:c r="AB403" s="118"/>
      <x:c r="AC403" s="119"/>
      <x:c r="AD403" s="119"/>
      <x:c r="AE403" s="5" t="str">
        <x:f>IF(A403="","",IF(Z403="","Нет ID пары",IF(AND(COUNTIFS($Z$59:$Z$505,Z403,$Y$59:$Y$505,"Оптимальный",$W$59:$W$505,"Рассчитан")=1,COUNTIFS($Z$59:$Z$505,Z403,$Y$59:$Y$505,"Агрессивный",$W$59:$W$505,"Рассчитан")=1),"Да","Нет")))</x:f>
      </x:c>
      <x:c r="AF403" s="5"/>
      <x:c r="AG403" s="5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IF(A404="","",IF(U404="","",IF(U404="Выигрыш",J404-1,IF(U404="Полувыигрыш",(J404-1)/2,IF(U404="Возврат",0,IF(U404="Полупроигрыш",-0.5,IF(U404="Поражение",-1,"Проверить результат")))))))</x:f>
      </x:c>
      <x:c r="W404" s="80" t="str">
        <x:f>IF(A404="","",IF(U404="","Открыт",IF(ISNUMBER(V404),"Рассчитан","Проверить результат")))</x:f>
      </x:c>
      <x:c r="X404" s="98"/>
      <x:c r="Y404" s="5"/>
      <x:c r="Z404" s="5"/>
      <x:c r="AA404" s="5"/>
      <x:c r="AB404" s="118"/>
      <x:c r="AC404" s="119"/>
      <x:c r="AD404" s="119"/>
      <x:c r="AE404" s="5" t="str">
        <x:f>IF(A404="","",IF(Z404="","Нет ID пары",IF(AND(COUNTIFS($Z$59:$Z$505,Z404,$Y$59:$Y$505,"Оптимальный",$W$59:$W$505,"Рассчитан")=1,COUNTIFS($Z$59:$Z$505,Z404,$Y$59:$Y$505,"Агрессивный",$W$59:$W$505,"Рассчитан")=1),"Да","Нет")))</x:f>
      </x:c>
      <x:c r="AF404" s="5"/>
      <x:c r="AG404" s="5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IF(A405="","",IF(U405="","",IF(U405="Выигрыш",J405-1,IF(U405="Полувыигрыш",(J405-1)/2,IF(U405="Возврат",0,IF(U405="Полупроигрыш",-0.5,IF(U405="Поражение",-1,"Проверить результат")))))))</x:f>
      </x:c>
      <x:c r="W405" s="80" t="str">
        <x:f>IF(A405="","",IF(U405="","Открыт",IF(ISNUMBER(V405),"Рассчитан","Проверить результат")))</x:f>
      </x:c>
      <x:c r="X405" s="98"/>
      <x:c r="Y405" s="5"/>
      <x:c r="Z405" s="5"/>
      <x:c r="AA405" s="5"/>
      <x:c r="AB405" s="118"/>
      <x:c r="AC405" s="119"/>
      <x:c r="AD405" s="119"/>
      <x:c r="AE405" s="5" t="str">
        <x:f>IF(A405="","",IF(Z405="","Нет ID пары",IF(AND(COUNTIFS($Z$59:$Z$505,Z405,$Y$59:$Y$505,"Оптимальный",$W$59:$W$505,"Рассчитан")=1,COUNTIFS($Z$59:$Z$505,Z405,$Y$59:$Y$505,"Агрессивный",$W$59:$W$505,"Рассчитан")=1),"Да","Нет")))</x:f>
      </x:c>
      <x:c r="AF405" s="5"/>
      <x:c r="AG405" s="5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IF(A406="","",IF(U406="","",IF(U406="Выигрыш",J406-1,IF(U406="Полувыигрыш",(J406-1)/2,IF(U406="Возврат",0,IF(U406="Полупроигрыш",-0.5,IF(U406="Поражение",-1,"Проверить результат")))))))</x:f>
      </x:c>
      <x:c r="W406" s="80" t="str">
        <x:f>IF(A406="","",IF(U406="","Открыт",IF(ISNUMBER(V406),"Рассчитан","Проверить результат")))</x:f>
      </x:c>
      <x:c r="X406" s="98"/>
      <x:c r="Y406" s="5"/>
      <x:c r="Z406" s="5"/>
      <x:c r="AA406" s="5"/>
      <x:c r="AB406" s="118"/>
      <x:c r="AC406" s="119"/>
      <x:c r="AD406" s="119"/>
      <x:c r="AE406" s="5" t="str">
        <x:f>IF(A406="","",IF(Z406="","Нет ID пары",IF(AND(COUNTIFS($Z$59:$Z$505,Z406,$Y$59:$Y$505,"Оптимальный",$W$59:$W$505,"Рассчитан")=1,COUNTIFS($Z$59:$Z$505,Z406,$Y$59:$Y$505,"Агрессивный",$W$59:$W$505,"Рассчитан")=1),"Да","Нет")))</x:f>
      </x:c>
      <x:c r="AF406" s="5"/>
      <x:c r="AG406" s="5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IF(A407="","",IF(U407="","",IF(U407="Выигрыш",J407-1,IF(U407="Полувыигрыш",(J407-1)/2,IF(U407="Возврат",0,IF(U407="Полупроигрыш",-0.5,IF(U407="Поражение",-1,"Проверить результат")))))))</x:f>
      </x:c>
      <x:c r="W407" s="80" t="str">
        <x:f>IF(A407="","",IF(U407="","Открыт",IF(ISNUMBER(V407),"Рассчитан","Проверить результат")))</x:f>
      </x:c>
      <x:c r="X407" s="98"/>
      <x:c r="Y407" s="5"/>
      <x:c r="Z407" s="5"/>
      <x:c r="AA407" s="5"/>
      <x:c r="AB407" s="118"/>
      <x:c r="AC407" s="119"/>
      <x:c r="AD407" s="119"/>
      <x:c r="AE407" s="5" t="str">
        <x:f>IF(A407="","",IF(Z407="","Нет ID пары",IF(AND(COUNTIFS($Z$59:$Z$505,Z407,$Y$59:$Y$505,"Оптимальный",$W$59:$W$505,"Рассчитан")=1,COUNTIFS($Z$59:$Z$505,Z407,$Y$59:$Y$505,"Агрессивный",$W$59:$W$505,"Рассчитан")=1),"Да","Нет")))</x:f>
      </x:c>
      <x:c r="AF407" s="5"/>
      <x:c r="AG407" s="5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IF(A408="","",IF(U408="","",IF(U408="Выигрыш",J408-1,IF(U408="Полувыигрыш",(J408-1)/2,IF(U408="Возврат",0,IF(U408="Полупроигрыш",-0.5,IF(U408="Поражение",-1,"Проверить результат")))))))</x:f>
      </x:c>
      <x:c r="W408" s="80" t="str">
        <x:f>IF(A408="","",IF(U408="","Открыт",IF(ISNUMBER(V408),"Рассчитан","Проверить результат")))</x:f>
      </x:c>
      <x:c r="X408" s="98"/>
      <x:c r="Y408" s="5"/>
      <x:c r="Z408" s="5"/>
      <x:c r="AA408" s="5"/>
      <x:c r="AB408" s="118"/>
      <x:c r="AC408" s="119"/>
      <x:c r="AD408" s="119"/>
      <x:c r="AE408" s="5" t="str">
        <x:f>IF(A408="","",IF(Z408="","Нет ID пары",IF(AND(COUNTIFS($Z$59:$Z$505,Z408,$Y$59:$Y$505,"Оптимальный",$W$59:$W$505,"Рассчитан")=1,COUNTIFS($Z$59:$Z$505,Z408,$Y$59:$Y$505,"Агрессивный",$W$59:$W$505,"Рассчитан")=1),"Да","Нет")))</x:f>
      </x:c>
      <x:c r="AF408" s="5"/>
      <x:c r="AG408" s="5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IF(A409="","",IF(U409="","",IF(U409="Выигрыш",J409-1,IF(U409="Полувыигрыш",(J409-1)/2,IF(U409="Возврат",0,IF(U409="Полупроигрыш",-0.5,IF(U409="Поражение",-1,"Проверить результат")))))))</x:f>
      </x:c>
      <x:c r="W409" s="80" t="str">
        <x:f>IF(A409="","",IF(U409="","Открыт",IF(ISNUMBER(V409),"Рассчитан","Проверить результат")))</x:f>
      </x:c>
      <x:c r="X409" s="98"/>
      <x:c r="Y409" s="5"/>
      <x:c r="Z409" s="5"/>
      <x:c r="AA409" s="5"/>
      <x:c r="AB409" s="118"/>
      <x:c r="AC409" s="119"/>
      <x:c r="AD409" s="119"/>
      <x:c r="AE409" s="5" t="str">
        <x:f>IF(A409="","",IF(Z409="","Нет ID пары",IF(AND(COUNTIFS($Z$59:$Z$505,Z409,$Y$59:$Y$505,"Оптимальный",$W$59:$W$505,"Рассчитан")=1,COUNTIFS($Z$59:$Z$505,Z409,$Y$59:$Y$505,"Агрессивный",$W$59:$W$505,"Рассчитан")=1),"Да","Нет")))</x:f>
      </x:c>
      <x:c r="AF409" s="5"/>
      <x:c r="AG409" s="5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IF(A410="","",IF(U410="","",IF(U410="Выигрыш",J410-1,IF(U410="Полувыигрыш",(J410-1)/2,IF(U410="Возврат",0,IF(U410="Полупроигрыш",-0.5,IF(U410="Поражение",-1,"Проверить результат")))))))</x:f>
      </x:c>
      <x:c r="W410" s="80" t="str">
        <x:f>IF(A410="","",IF(U410="","Открыт",IF(ISNUMBER(V410),"Рассчитан","Проверить результат")))</x:f>
      </x:c>
      <x:c r="X410" s="98"/>
      <x:c r="Y410" s="5"/>
      <x:c r="Z410" s="5"/>
      <x:c r="AA410" s="5"/>
      <x:c r="AB410" s="118"/>
      <x:c r="AC410" s="119"/>
      <x:c r="AD410" s="119"/>
      <x:c r="AE410" s="5" t="str">
        <x:f>IF(A410="","",IF(Z410="","Нет ID пары",IF(AND(COUNTIFS($Z$59:$Z$505,Z410,$Y$59:$Y$505,"Оптимальный",$W$59:$W$505,"Рассчитан")=1,COUNTIFS($Z$59:$Z$505,Z410,$Y$59:$Y$505,"Агрессивный",$W$59:$W$505,"Рассчитан")=1),"Да","Нет")))</x:f>
      </x:c>
      <x:c r="AF410" s="5"/>
      <x:c r="AG410" s="5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IF(A411="","",IF(U411="","",IF(U411="Выигрыш",J411-1,IF(U411="Полувыигрыш",(J411-1)/2,IF(U411="Возврат",0,IF(U411="Полупроигрыш",-0.5,IF(U411="Поражение",-1,"Проверить результат")))))))</x:f>
      </x:c>
      <x:c r="W411" s="80" t="str">
        <x:f>IF(A411="","",IF(U411="","Открыт",IF(ISNUMBER(V411),"Рассчитан","Проверить результат")))</x:f>
      </x:c>
      <x:c r="X411" s="98"/>
      <x:c r="Y411" s="5"/>
      <x:c r="Z411" s="5"/>
      <x:c r="AA411" s="5"/>
      <x:c r="AB411" s="118"/>
      <x:c r="AC411" s="119"/>
      <x:c r="AD411" s="119"/>
      <x:c r="AE411" s="5" t="str">
        <x:f>IF(A411="","",IF(Z411="","Нет ID пары",IF(AND(COUNTIFS($Z$59:$Z$505,Z411,$Y$59:$Y$505,"Оптимальный",$W$59:$W$505,"Рассчитан")=1,COUNTIFS($Z$59:$Z$505,Z411,$Y$59:$Y$505,"Агрессивный",$W$59:$W$505,"Рассчитан")=1),"Да","Нет")))</x:f>
      </x:c>
      <x:c r="AF411" s="5"/>
      <x:c r="AG411" s="5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IF(A412="","",IF(U412="","",IF(U412="Выигрыш",J412-1,IF(U412="Полувыигрыш",(J412-1)/2,IF(U412="Возврат",0,IF(U412="Полупроигрыш",-0.5,IF(U412="Поражение",-1,"Проверить результат")))))))</x:f>
      </x:c>
      <x:c r="W412" s="80" t="str">
        <x:f>IF(A412="","",IF(U412="","Открыт",IF(ISNUMBER(V412),"Рассчитан","Проверить результат")))</x:f>
      </x:c>
      <x:c r="X412" s="98"/>
      <x:c r="Y412" s="5"/>
      <x:c r="Z412" s="5"/>
      <x:c r="AA412" s="5"/>
      <x:c r="AB412" s="118"/>
      <x:c r="AC412" s="119"/>
      <x:c r="AD412" s="119"/>
      <x:c r="AE412" s="5" t="str">
        <x:f>IF(A412="","",IF(Z412="","Нет ID пары",IF(AND(COUNTIFS($Z$59:$Z$505,Z412,$Y$59:$Y$505,"Оптимальный",$W$59:$W$505,"Рассчитан")=1,COUNTIFS($Z$59:$Z$505,Z412,$Y$59:$Y$505,"Агрессивный",$W$59:$W$505,"Рассчитан")=1),"Да","Нет")))</x:f>
      </x:c>
      <x:c r="AF412" s="5"/>
      <x:c r="AG412" s="5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IF(A413="","",IF(U413="","",IF(U413="Выигрыш",J413-1,IF(U413="Полувыигрыш",(J413-1)/2,IF(U413="Возврат",0,IF(U413="Полупроигрыш",-0.5,IF(U413="Поражение",-1,"Проверить результат")))))))</x:f>
      </x:c>
      <x:c r="W413" s="80" t="str">
        <x:f>IF(A413="","",IF(U413="","Открыт",IF(ISNUMBER(V413),"Рассчитан","Проверить результат")))</x:f>
      </x:c>
      <x:c r="X413" s="98"/>
      <x:c r="Y413" s="5"/>
      <x:c r="Z413" s="5"/>
      <x:c r="AA413" s="5"/>
      <x:c r="AB413" s="118"/>
      <x:c r="AC413" s="119"/>
      <x:c r="AD413" s="119"/>
      <x:c r="AE413" s="5" t="str">
        <x:f>IF(A413="","",IF(Z413="","Нет ID пары",IF(AND(COUNTIFS($Z$59:$Z$505,Z413,$Y$59:$Y$505,"Оптимальный",$W$59:$W$505,"Рассчитан")=1,COUNTIFS($Z$59:$Z$505,Z413,$Y$59:$Y$505,"Агрессивный",$W$59:$W$505,"Рассчитан")=1),"Да","Нет")))</x:f>
      </x:c>
      <x:c r="AF413" s="5"/>
      <x:c r="AG413" s="5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IF(A414="","",IF(U414="","",IF(U414="Выигрыш",J414-1,IF(U414="Полувыигрыш",(J414-1)/2,IF(U414="Возврат",0,IF(U414="Полупроигрыш",-0.5,IF(U414="Поражение",-1,"Проверить результат")))))))</x:f>
      </x:c>
      <x:c r="W414" s="80" t="str">
        <x:f>IF(A414="","",IF(U414="","Открыт",IF(ISNUMBER(V414),"Рассчитан","Проверить результат")))</x:f>
      </x:c>
      <x:c r="X414" s="98"/>
      <x:c r="Y414" s="5"/>
      <x:c r="Z414" s="5"/>
      <x:c r="AA414" s="5"/>
      <x:c r="AB414" s="118"/>
      <x:c r="AC414" s="119"/>
      <x:c r="AD414" s="119"/>
      <x:c r="AE414" s="5" t="str">
        <x:f>IF(A414="","",IF(Z414="","Нет ID пары",IF(AND(COUNTIFS($Z$59:$Z$505,Z414,$Y$59:$Y$505,"Оптимальный",$W$59:$W$505,"Рассчитан")=1,COUNTIFS($Z$59:$Z$505,Z414,$Y$59:$Y$505,"Агрессивный",$W$59:$W$505,"Рассчитан")=1),"Да","Нет")))</x:f>
      </x:c>
      <x:c r="AF414" s="5"/>
      <x:c r="AG414" s="5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IF(A415="","",IF(U415="","",IF(U415="Выигрыш",J415-1,IF(U415="Полувыигрыш",(J415-1)/2,IF(U415="Возврат",0,IF(U415="Полупроигрыш",-0.5,IF(U415="Поражение",-1,"Проверить результат")))))))</x:f>
      </x:c>
      <x:c r="W415" s="80" t="str">
        <x:f>IF(A415="","",IF(U415="","Открыт",IF(ISNUMBER(V415),"Рассчитан","Проверить результат")))</x:f>
      </x:c>
      <x:c r="X415" s="98"/>
      <x:c r="Y415" s="5"/>
      <x:c r="Z415" s="5"/>
      <x:c r="AA415" s="5"/>
      <x:c r="AB415" s="118"/>
      <x:c r="AC415" s="119"/>
      <x:c r="AD415" s="119"/>
      <x:c r="AE415" s="5" t="str">
        <x:f>IF(A415="","",IF(Z415="","Нет ID пары",IF(AND(COUNTIFS($Z$59:$Z$505,Z415,$Y$59:$Y$505,"Оптимальный",$W$59:$W$505,"Рассчитан")=1,COUNTIFS($Z$59:$Z$505,Z415,$Y$59:$Y$505,"Агрессивный",$W$59:$W$505,"Рассчитан")=1),"Да","Нет")))</x:f>
      </x:c>
      <x:c r="AF415" s="5"/>
      <x:c r="AG415" s="5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IF(A416="","",IF(U416="","",IF(U416="Выигрыш",J416-1,IF(U416="Полувыигрыш",(J416-1)/2,IF(U416="Возврат",0,IF(U416="Полупроигрыш",-0.5,IF(U416="Поражение",-1,"Проверить результат")))))))</x:f>
      </x:c>
      <x:c r="W416" s="80" t="str">
        <x:f>IF(A416="","",IF(U416="","Открыт",IF(ISNUMBER(V416),"Рассчитан","Проверить результат")))</x:f>
      </x:c>
      <x:c r="X416" s="98"/>
      <x:c r="Y416" s="5"/>
      <x:c r="Z416" s="5"/>
      <x:c r="AA416" s="5"/>
      <x:c r="AB416" s="118"/>
      <x:c r="AC416" s="119"/>
      <x:c r="AD416" s="119"/>
      <x:c r="AE416" s="5" t="str">
        <x:f>IF(A416="","",IF(Z416="","Нет ID пары",IF(AND(COUNTIFS($Z$59:$Z$505,Z416,$Y$59:$Y$505,"Оптимальный",$W$59:$W$505,"Рассчитан")=1,COUNTIFS($Z$59:$Z$505,Z416,$Y$59:$Y$505,"Агрессивный",$W$59:$W$505,"Рассчитан")=1),"Да","Нет")))</x:f>
      </x:c>
      <x:c r="AF416" s="5"/>
      <x:c r="AG416" s="5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IF(A417="","",IF(U417="","",IF(U417="Выигрыш",J417-1,IF(U417="Полувыигрыш",(J417-1)/2,IF(U417="Возврат",0,IF(U417="Полупроигрыш",-0.5,IF(U417="Поражение",-1,"Проверить результат")))))))</x:f>
      </x:c>
      <x:c r="W417" s="80" t="str">
        <x:f>IF(A417="","",IF(U417="","Открыт",IF(ISNUMBER(V417),"Рассчитан","Проверить результат")))</x:f>
      </x:c>
      <x:c r="X417" s="98"/>
      <x:c r="Y417" s="5"/>
      <x:c r="Z417" s="5"/>
      <x:c r="AA417" s="5"/>
      <x:c r="AB417" s="118"/>
      <x:c r="AC417" s="119"/>
      <x:c r="AD417" s="119"/>
      <x:c r="AE417" s="5" t="str">
        <x:f>IF(A417="","",IF(Z417="","Нет ID пары",IF(AND(COUNTIFS($Z$59:$Z$505,Z417,$Y$59:$Y$505,"Оптимальный",$W$59:$W$505,"Рассчитан")=1,COUNTIFS($Z$59:$Z$505,Z417,$Y$59:$Y$505,"Агрессивный",$W$59:$W$505,"Рассчитан")=1),"Да","Нет")))</x:f>
      </x:c>
      <x:c r="AF417" s="5"/>
      <x:c r="AG417" s="5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IF(A418="","",IF(U418="","",IF(U418="Выигрыш",J418-1,IF(U418="Полувыигрыш",(J418-1)/2,IF(U418="Возврат",0,IF(U418="Полупроигрыш",-0.5,IF(U418="Поражение",-1,"Проверить результат")))))))</x:f>
      </x:c>
      <x:c r="W418" s="80" t="str">
        <x:f>IF(A418="","",IF(U418="","Открыт",IF(ISNUMBER(V418),"Рассчитан","Проверить результат")))</x:f>
      </x:c>
      <x:c r="X418" s="98"/>
      <x:c r="Y418" s="5"/>
      <x:c r="Z418" s="5"/>
      <x:c r="AA418" s="5"/>
      <x:c r="AB418" s="118"/>
      <x:c r="AC418" s="119"/>
      <x:c r="AD418" s="119"/>
      <x:c r="AE418" s="5" t="str">
        <x:f>IF(A418="","",IF(Z418="","Нет ID пары",IF(AND(COUNTIFS($Z$59:$Z$505,Z418,$Y$59:$Y$505,"Оптимальный",$W$59:$W$505,"Рассчитан")=1,COUNTIFS($Z$59:$Z$505,Z418,$Y$59:$Y$505,"Агрессивный",$W$59:$W$505,"Рассчитан")=1),"Да","Нет")))</x:f>
      </x:c>
      <x:c r="AF418" s="5"/>
      <x:c r="AG418" s="5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IF(A419="","",IF(U419="","",IF(U419="Выигрыш",J419-1,IF(U419="Полувыигрыш",(J419-1)/2,IF(U419="Возврат",0,IF(U419="Полупроигрыш",-0.5,IF(U419="Поражение",-1,"Проверить результат")))))))</x:f>
      </x:c>
      <x:c r="W419" s="80" t="str">
        <x:f>IF(A419="","",IF(U419="","Открыт",IF(ISNUMBER(V419),"Рассчитан","Проверить результат")))</x:f>
      </x:c>
      <x:c r="X419" s="98"/>
      <x:c r="Y419" s="5"/>
      <x:c r="Z419" s="5"/>
      <x:c r="AA419" s="5"/>
      <x:c r="AB419" s="118"/>
      <x:c r="AC419" s="119"/>
      <x:c r="AD419" s="119"/>
      <x:c r="AE419" s="5" t="str">
        <x:f>IF(A419="","",IF(Z419="","Нет ID пары",IF(AND(COUNTIFS($Z$59:$Z$505,Z419,$Y$59:$Y$505,"Оптимальный",$W$59:$W$505,"Рассчитан")=1,COUNTIFS($Z$59:$Z$505,Z419,$Y$59:$Y$505,"Агрессивный",$W$59:$W$505,"Рассчитан")=1),"Да","Нет")))</x:f>
      </x:c>
      <x:c r="AF419" s="5"/>
      <x:c r="AG419" s="5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IF(A420="","",IF(U420="","",IF(U420="Выигрыш",J420-1,IF(U420="Полувыигрыш",(J420-1)/2,IF(U420="Возврат",0,IF(U420="Полупроигрыш",-0.5,IF(U420="Поражение",-1,"Проверить результат")))))))</x:f>
      </x:c>
      <x:c r="W420" s="80" t="str">
        <x:f>IF(A420="","",IF(U420="","Открыт",IF(ISNUMBER(V420),"Рассчитан","Проверить результат")))</x:f>
      </x:c>
      <x:c r="X420" s="98"/>
      <x:c r="Y420" s="5"/>
      <x:c r="Z420" s="5"/>
      <x:c r="AA420" s="5"/>
      <x:c r="AB420" s="118"/>
      <x:c r="AC420" s="119"/>
      <x:c r="AD420" s="119"/>
      <x:c r="AE420" s="5" t="str">
        <x:f>IF(A420="","",IF(Z420="","Нет ID пары",IF(AND(COUNTIFS($Z$59:$Z$505,Z420,$Y$59:$Y$505,"Оптимальный",$W$59:$W$505,"Рассчитан")=1,COUNTIFS($Z$59:$Z$505,Z420,$Y$59:$Y$505,"Агрессивный",$W$59:$W$505,"Рассчитан")=1),"Да","Нет")))</x:f>
      </x:c>
      <x:c r="AF420" s="5"/>
      <x:c r="AG420" s="5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IF(A421="","",IF(U421="","",IF(U421="Выигрыш",J421-1,IF(U421="Полувыигрыш",(J421-1)/2,IF(U421="Возврат",0,IF(U421="Полупроигрыш",-0.5,IF(U421="Поражение",-1,"Проверить результат")))))))</x:f>
      </x:c>
      <x:c r="W421" s="80" t="str">
        <x:f>IF(A421="","",IF(U421="","Открыт",IF(ISNUMBER(V421),"Рассчитан","Проверить результат")))</x:f>
      </x:c>
      <x:c r="X421" s="98"/>
      <x:c r="Y421" s="5"/>
      <x:c r="Z421" s="5"/>
      <x:c r="AA421" s="5"/>
      <x:c r="AB421" s="118"/>
      <x:c r="AC421" s="119"/>
      <x:c r="AD421" s="119"/>
      <x:c r="AE421" s="5" t="str">
        <x:f>IF(A421="","",IF(Z421="","Нет ID пары",IF(AND(COUNTIFS($Z$59:$Z$505,Z421,$Y$59:$Y$505,"Оптимальный",$W$59:$W$505,"Рассчитан")=1,COUNTIFS($Z$59:$Z$505,Z421,$Y$59:$Y$505,"Агрессивный",$W$59:$W$505,"Рассчитан")=1),"Да","Нет")))</x:f>
      </x:c>
      <x:c r="AF421" s="5"/>
      <x:c r="AG421" s="5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IF(A422="","",IF(U422="","",IF(U422="Выигрыш",J422-1,IF(U422="Полувыигрыш",(J422-1)/2,IF(U422="Возврат",0,IF(U422="Полупроигрыш",-0.5,IF(U422="Поражение",-1,"Проверить результат")))))))</x:f>
      </x:c>
      <x:c r="W422" s="80" t="str">
        <x:f>IF(A422="","",IF(U422="","Открыт",IF(ISNUMBER(V422),"Рассчитан","Проверить результат")))</x:f>
      </x:c>
      <x:c r="X422" s="98"/>
      <x:c r="Y422" s="5"/>
      <x:c r="Z422" s="5"/>
      <x:c r="AA422" s="5"/>
      <x:c r="AB422" s="118"/>
      <x:c r="AC422" s="119"/>
      <x:c r="AD422" s="119"/>
      <x:c r="AE422" s="5" t="str">
        <x:f>IF(A422="","",IF(Z422="","Нет ID пары",IF(AND(COUNTIFS($Z$59:$Z$505,Z422,$Y$59:$Y$505,"Оптимальный",$W$59:$W$505,"Рассчитан")=1,COUNTIFS($Z$59:$Z$505,Z422,$Y$59:$Y$505,"Агрессивный",$W$59:$W$505,"Рассчитан")=1),"Да","Нет")))</x:f>
      </x:c>
      <x:c r="AF422" s="5"/>
      <x:c r="AG422" s="5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IF(A423="","",IF(U423="","",IF(U423="Выигрыш",J423-1,IF(U423="Полувыигрыш",(J423-1)/2,IF(U423="Возврат",0,IF(U423="Полупроигрыш",-0.5,IF(U423="Поражение",-1,"Проверить результат")))))))</x:f>
      </x:c>
      <x:c r="W423" s="80" t="str">
        <x:f>IF(A423="","",IF(U423="","Открыт",IF(ISNUMBER(V423),"Рассчитан","Проверить результат")))</x:f>
      </x:c>
      <x:c r="X423" s="98"/>
      <x:c r="Y423" s="5"/>
      <x:c r="Z423" s="5"/>
      <x:c r="AA423" s="5"/>
      <x:c r="AB423" s="118"/>
      <x:c r="AC423" s="119"/>
      <x:c r="AD423" s="119"/>
      <x:c r="AE423" s="5" t="str">
        <x:f>IF(A423="","",IF(Z423="","Нет ID пары",IF(AND(COUNTIFS($Z$59:$Z$505,Z423,$Y$59:$Y$505,"Оптимальный",$W$59:$W$505,"Рассчитан")=1,COUNTIFS($Z$59:$Z$505,Z423,$Y$59:$Y$505,"Агрессивный",$W$59:$W$505,"Рассчитан")=1),"Да","Нет")))</x:f>
      </x:c>
      <x:c r="AF423" s="5"/>
      <x:c r="AG423" s="5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IF(A424="","",IF(U424="","",IF(U424="Выигрыш",J424-1,IF(U424="Полувыигрыш",(J424-1)/2,IF(U424="Возврат",0,IF(U424="Полупроигрыш",-0.5,IF(U424="Поражение",-1,"Проверить результат")))))))</x:f>
      </x:c>
      <x:c r="W424" s="80" t="str">
        <x:f>IF(A424="","",IF(U424="","Открыт",IF(ISNUMBER(V424),"Рассчитан","Проверить результат")))</x:f>
      </x:c>
      <x:c r="X424" s="98"/>
      <x:c r="Y424" s="5"/>
      <x:c r="Z424" s="5"/>
      <x:c r="AA424" s="5"/>
      <x:c r="AB424" s="118"/>
      <x:c r="AC424" s="119"/>
      <x:c r="AD424" s="119"/>
      <x:c r="AE424" s="5" t="str">
        <x:f>IF(A424="","",IF(Z424="","Нет ID пары",IF(AND(COUNTIFS($Z$59:$Z$505,Z424,$Y$59:$Y$505,"Оптимальный",$W$59:$W$505,"Рассчитан")=1,COUNTIFS($Z$59:$Z$505,Z424,$Y$59:$Y$505,"Агрессивный",$W$59:$W$505,"Рассчитан")=1),"Да","Нет")))</x:f>
      </x:c>
      <x:c r="AF424" s="5"/>
      <x:c r="AG424" s="5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IF(A425="","",IF(U425="","",IF(U425="Выигрыш",J425-1,IF(U425="Полувыигрыш",(J425-1)/2,IF(U425="Возврат",0,IF(U425="Полупроигрыш",-0.5,IF(U425="Поражение",-1,"Проверить результат")))))))</x:f>
      </x:c>
      <x:c r="W425" s="80" t="str">
        <x:f>IF(A425="","",IF(U425="","Открыт",IF(ISNUMBER(V425),"Рассчитан","Проверить результат")))</x:f>
      </x:c>
      <x:c r="X425" s="98"/>
      <x:c r="Y425" s="5"/>
      <x:c r="Z425" s="5"/>
      <x:c r="AA425" s="5"/>
      <x:c r="AB425" s="118"/>
      <x:c r="AC425" s="119"/>
      <x:c r="AD425" s="119"/>
      <x:c r="AE425" s="5" t="str">
        <x:f>IF(A425="","",IF(Z425="","Нет ID пары",IF(AND(COUNTIFS($Z$59:$Z$505,Z425,$Y$59:$Y$505,"Оптимальный",$W$59:$W$505,"Рассчитан")=1,COUNTIFS($Z$59:$Z$505,Z425,$Y$59:$Y$505,"Агрессивный",$W$59:$W$505,"Рассчитан")=1),"Да","Нет")))</x:f>
      </x:c>
      <x:c r="AF425" s="5"/>
      <x:c r="AG425" s="5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IF(A426="","",IF(U426="","",IF(U426="Выигрыш",J426-1,IF(U426="Полувыигрыш",(J426-1)/2,IF(U426="Возврат",0,IF(U426="Полупроигрыш",-0.5,IF(U426="Поражение",-1,"Проверить результат")))))))</x:f>
      </x:c>
      <x:c r="W426" s="80" t="str">
        <x:f>IF(A426="","",IF(U426="","Открыт",IF(ISNUMBER(V426),"Рассчитан","Проверить результат")))</x:f>
      </x:c>
      <x:c r="X426" s="98"/>
      <x:c r="Y426" s="5"/>
      <x:c r="Z426" s="5"/>
      <x:c r="AA426" s="5"/>
      <x:c r="AB426" s="118"/>
      <x:c r="AC426" s="119"/>
      <x:c r="AD426" s="119"/>
      <x:c r="AE426" s="5" t="str">
        <x:f>IF(A426="","",IF(Z426="","Нет ID пары",IF(AND(COUNTIFS($Z$59:$Z$505,Z426,$Y$59:$Y$505,"Оптимальный",$W$59:$W$505,"Рассчитан")=1,COUNTIFS($Z$59:$Z$505,Z426,$Y$59:$Y$505,"Агрессивный",$W$59:$W$505,"Рассчитан")=1),"Да","Нет")))</x:f>
      </x:c>
      <x:c r="AF426" s="5"/>
      <x:c r="AG426" s="5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IF(A427="","",IF(U427="","",IF(U427="Выигрыш",J427-1,IF(U427="Полувыигрыш",(J427-1)/2,IF(U427="Возврат",0,IF(U427="Полупроигрыш",-0.5,IF(U427="Поражение",-1,"Проверить результат")))))))</x:f>
      </x:c>
      <x:c r="W427" s="80" t="str">
        <x:f>IF(A427="","",IF(U427="","Открыт",IF(ISNUMBER(V427),"Рассчитан","Проверить результат")))</x:f>
      </x:c>
      <x:c r="X427" s="98"/>
      <x:c r="Y427" s="5"/>
      <x:c r="Z427" s="5"/>
      <x:c r="AA427" s="5"/>
      <x:c r="AB427" s="118"/>
      <x:c r="AC427" s="119"/>
      <x:c r="AD427" s="119"/>
      <x:c r="AE427" s="5" t="str">
        <x:f>IF(A427="","",IF(Z427="","Нет ID пары",IF(AND(COUNTIFS($Z$59:$Z$505,Z427,$Y$59:$Y$505,"Оптимальный",$W$59:$W$505,"Рассчитан")=1,COUNTIFS($Z$59:$Z$505,Z427,$Y$59:$Y$505,"Агрессивный",$W$59:$W$505,"Рассчитан")=1),"Да","Нет")))</x:f>
      </x:c>
      <x:c r="AF427" s="5"/>
      <x:c r="AG427" s="5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IF(A428="","",IF(U428="","",IF(U428="Выигрыш",J428-1,IF(U428="Полувыигрыш",(J428-1)/2,IF(U428="Возврат",0,IF(U428="Полупроигрыш",-0.5,IF(U428="Поражение",-1,"Проверить результат")))))))</x:f>
      </x:c>
      <x:c r="W428" s="80" t="str">
        <x:f>IF(A428="","",IF(U428="","Открыт",IF(ISNUMBER(V428),"Рассчитан","Проверить результат")))</x:f>
      </x:c>
      <x:c r="X428" s="98"/>
      <x:c r="Y428" s="5"/>
      <x:c r="Z428" s="5"/>
      <x:c r="AA428" s="5"/>
      <x:c r="AB428" s="118"/>
      <x:c r="AC428" s="119"/>
      <x:c r="AD428" s="119"/>
      <x:c r="AE428" s="5" t="str">
        <x:f>IF(A428="","",IF(Z428="","Нет ID пары",IF(AND(COUNTIFS($Z$59:$Z$505,Z428,$Y$59:$Y$505,"Оптимальный",$W$59:$W$505,"Рассчитан")=1,COUNTIFS($Z$59:$Z$505,Z428,$Y$59:$Y$505,"Агрессивный",$W$59:$W$505,"Рассчитан")=1),"Да","Нет")))</x:f>
      </x:c>
      <x:c r="AF428" s="5"/>
      <x:c r="AG428" s="5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IF(A429="","",IF(U429="","",IF(U429="Выигрыш",J429-1,IF(U429="Полувыигрыш",(J429-1)/2,IF(U429="Возврат",0,IF(U429="Полупроигрыш",-0.5,IF(U429="Поражение",-1,"Проверить результат")))))))</x:f>
      </x:c>
      <x:c r="W429" s="80" t="str">
        <x:f>IF(A429="","",IF(U429="","Открыт",IF(ISNUMBER(V429),"Рассчитан","Проверить результат")))</x:f>
      </x:c>
      <x:c r="X429" s="98"/>
      <x:c r="Y429" s="5"/>
      <x:c r="Z429" s="5"/>
      <x:c r="AA429" s="5"/>
      <x:c r="AB429" s="118"/>
      <x:c r="AC429" s="119"/>
      <x:c r="AD429" s="119"/>
      <x:c r="AE429" s="5" t="str">
        <x:f>IF(A429="","",IF(Z429="","Нет ID пары",IF(AND(COUNTIFS($Z$59:$Z$505,Z429,$Y$59:$Y$505,"Оптимальный",$W$59:$W$505,"Рассчитан")=1,COUNTIFS($Z$59:$Z$505,Z429,$Y$59:$Y$505,"Агрессивный",$W$59:$W$505,"Рассчитан")=1),"Да","Нет")))</x:f>
      </x:c>
      <x:c r="AF429" s="5"/>
      <x:c r="AG429" s="5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IF(A430="","",IF(U430="","",IF(U430="Выигрыш",J430-1,IF(U430="Полувыигрыш",(J430-1)/2,IF(U430="Возврат",0,IF(U430="Полупроигрыш",-0.5,IF(U430="Поражение",-1,"Проверить результат")))))))</x:f>
      </x:c>
      <x:c r="W430" s="80" t="str">
        <x:f>IF(A430="","",IF(U430="","Открыт",IF(ISNUMBER(V430),"Рассчитан","Проверить результат")))</x:f>
      </x:c>
      <x:c r="X430" s="98"/>
      <x:c r="Y430" s="5"/>
      <x:c r="Z430" s="5"/>
      <x:c r="AA430" s="5"/>
      <x:c r="AB430" s="118"/>
      <x:c r="AC430" s="119"/>
      <x:c r="AD430" s="119"/>
      <x:c r="AE430" s="5" t="str">
        <x:f>IF(A430="","",IF(Z430="","Нет ID пары",IF(AND(COUNTIFS($Z$59:$Z$505,Z430,$Y$59:$Y$505,"Оптимальный",$W$59:$W$505,"Рассчитан")=1,COUNTIFS($Z$59:$Z$505,Z430,$Y$59:$Y$505,"Агрессивный",$W$59:$W$505,"Рассчитан")=1),"Да","Нет")))</x:f>
      </x:c>
      <x:c r="AF430" s="5"/>
      <x:c r="AG430" s="5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IF(A431="","",IF(U431="","",IF(U431="Выигрыш",J431-1,IF(U431="Полувыигрыш",(J431-1)/2,IF(U431="Возврат",0,IF(U431="Полупроигрыш",-0.5,IF(U431="Поражение",-1,"Проверить результат")))))))</x:f>
      </x:c>
      <x:c r="W431" s="80" t="str">
        <x:f>IF(A431="","",IF(U431="","Открыт",IF(ISNUMBER(V431),"Рассчитан","Проверить результат")))</x:f>
      </x:c>
      <x:c r="X431" s="98"/>
      <x:c r="Y431" s="5"/>
      <x:c r="Z431" s="5"/>
      <x:c r="AA431" s="5"/>
      <x:c r="AB431" s="118"/>
      <x:c r="AC431" s="119"/>
      <x:c r="AD431" s="119"/>
      <x:c r="AE431" s="5" t="str">
        <x:f>IF(A431="","",IF(Z431="","Нет ID пары",IF(AND(COUNTIFS($Z$59:$Z$505,Z431,$Y$59:$Y$505,"Оптимальный",$W$59:$W$505,"Рассчитан")=1,COUNTIFS($Z$59:$Z$505,Z431,$Y$59:$Y$505,"Агрессивный",$W$59:$W$505,"Рассчитан")=1),"Да","Нет")))</x:f>
      </x:c>
      <x:c r="AF431" s="5"/>
      <x:c r="AG431" s="5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IF(A432="","",IF(U432="","",IF(U432="Выигрыш",J432-1,IF(U432="Полувыигрыш",(J432-1)/2,IF(U432="Возврат",0,IF(U432="Полупроигрыш",-0.5,IF(U432="Поражение",-1,"Проверить результат")))))))</x:f>
      </x:c>
      <x:c r="W432" s="80" t="str">
        <x:f>IF(A432="","",IF(U432="","Открыт",IF(ISNUMBER(V432),"Рассчитан","Проверить результат")))</x:f>
      </x:c>
      <x:c r="X432" s="98"/>
      <x:c r="Y432" s="5"/>
      <x:c r="Z432" s="5"/>
      <x:c r="AA432" s="5"/>
      <x:c r="AB432" s="118"/>
      <x:c r="AC432" s="119"/>
      <x:c r="AD432" s="119"/>
      <x:c r="AE432" s="5" t="str">
        <x:f>IF(A432="","",IF(Z432="","Нет ID пары",IF(AND(COUNTIFS($Z$59:$Z$505,Z432,$Y$59:$Y$505,"Оптимальный",$W$59:$W$505,"Рассчитан")=1,COUNTIFS($Z$59:$Z$505,Z432,$Y$59:$Y$505,"Агрессивный",$W$59:$W$505,"Рассчитан")=1),"Да","Нет")))</x:f>
      </x:c>
      <x:c r="AF432" s="5"/>
      <x:c r="AG432" s="5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IF(A433="","",IF(U433="","",IF(U433="Выигрыш",J433-1,IF(U433="Полувыигрыш",(J433-1)/2,IF(U433="Возврат",0,IF(U433="Полупроигрыш",-0.5,IF(U433="Поражение",-1,"Проверить результат")))))))</x:f>
      </x:c>
      <x:c r="W433" s="80" t="str">
        <x:f>IF(A433="","",IF(U433="","Открыт",IF(ISNUMBER(V433),"Рассчитан","Проверить результат")))</x:f>
      </x:c>
      <x:c r="X433" s="98"/>
      <x:c r="Y433" s="5"/>
      <x:c r="Z433" s="5"/>
      <x:c r="AA433" s="5"/>
      <x:c r="AB433" s="118"/>
      <x:c r="AC433" s="119"/>
      <x:c r="AD433" s="119"/>
      <x:c r="AE433" s="5" t="str">
        <x:f>IF(A433="","",IF(Z433="","Нет ID пары",IF(AND(COUNTIFS($Z$59:$Z$505,Z433,$Y$59:$Y$505,"Оптимальный",$W$59:$W$505,"Рассчитан")=1,COUNTIFS($Z$59:$Z$505,Z433,$Y$59:$Y$505,"Агрессивный",$W$59:$W$505,"Рассчитан")=1),"Да","Нет")))</x:f>
      </x:c>
      <x:c r="AF433" s="5"/>
      <x:c r="AG433" s="5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IF(A434="","",IF(U434="","",IF(U434="Выигрыш",J434-1,IF(U434="Полувыигрыш",(J434-1)/2,IF(U434="Возврат",0,IF(U434="Полупроигрыш",-0.5,IF(U434="Поражение",-1,"Проверить результат")))))))</x:f>
      </x:c>
      <x:c r="W434" s="80" t="str">
        <x:f>IF(A434="","",IF(U434="","Открыт",IF(ISNUMBER(V434),"Рассчитан","Проверить результат")))</x:f>
      </x:c>
      <x:c r="X434" s="98"/>
      <x:c r="Y434" s="5"/>
      <x:c r="Z434" s="5"/>
      <x:c r="AA434" s="5"/>
      <x:c r="AB434" s="118"/>
      <x:c r="AC434" s="119"/>
      <x:c r="AD434" s="119"/>
      <x:c r="AE434" s="5" t="str">
        <x:f>IF(A434="","",IF(Z434="","Нет ID пары",IF(AND(COUNTIFS($Z$59:$Z$505,Z434,$Y$59:$Y$505,"Оптимальный",$W$59:$W$505,"Рассчитан")=1,COUNTIFS($Z$59:$Z$505,Z434,$Y$59:$Y$505,"Агрессивный",$W$59:$W$505,"Рассчитан")=1),"Да","Нет")))</x:f>
      </x:c>
      <x:c r="AF434" s="5"/>
      <x:c r="AG434" s="5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IF(A435="","",IF(U435="","",IF(U435="Выигрыш",J435-1,IF(U435="Полувыигрыш",(J435-1)/2,IF(U435="Возврат",0,IF(U435="Полупроигрыш",-0.5,IF(U435="Поражение",-1,"Проверить результат")))))))</x:f>
      </x:c>
      <x:c r="W435" s="80" t="str">
        <x:f>IF(A435="","",IF(U435="","Открыт",IF(ISNUMBER(V435),"Рассчитан","Проверить результат")))</x:f>
      </x:c>
      <x:c r="X435" s="98"/>
      <x:c r="Y435" s="5"/>
      <x:c r="Z435" s="5"/>
      <x:c r="AA435" s="5"/>
      <x:c r="AB435" s="118"/>
      <x:c r="AC435" s="119"/>
      <x:c r="AD435" s="119"/>
      <x:c r="AE435" s="5" t="str">
        <x:f>IF(A435="","",IF(Z435="","Нет ID пары",IF(AND(COUNTIFS($Z$59:$Z$505,Z435,$Y$59:$Y$505,"Оптимальный",$W$59:$W$505,"Рассчитан")=1,COUNTIFS($Z$59:$Z$505,Z435,$Y$59:$Y$505,"Агрессивный",$W$59:$W$505,"Рассчитан")=1),"Да","Нет")))</x:f>
      </x:c>
      <x:c r="AF435" s="5"/>
      <x:c r="AG435" s="5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IF(A436="","",IF(U436="","",IF(U436="Выигрыш",J436-1,IF(U436="Полувыигрыш",(J436-1)/2,IF(U436="Возврат",0,IF(U436="Полупроигрыш",-0.5,IF(U436="Поражение",-1,"Проверить результат")))))))</x:f>
      </x:c>
      <x:c r="W436" s="80" t="str">
        <x:f>IF(A436="","",IF(U436="","Открыт",IF(ISNUMBER(V436),"Рассчитан","Проверить результат")))</x:f>
      </x:c>
      <x:c r="X436" s="98"/>
      <x:c r="Y436" s="5"/>
      <x:c r="Z436" s="5"/>
      <x:c r="AA436" s="5"/>
      <x:c r="AB436" s="118"/>
      <x:c r="AC436" s="119"/>
      <x:c r="AD436" s="119"/>
      <x:c r="AE436" s="5" t="str">
        <x:f>IF(A436="","",IF(Z436="","Нет ID пары",IF(AND(COUNTIFS($Z$59:$Z$505,Z436,$Y$59:$Y$505,"Оптимальный",$W$59:$W$505,"Рассчитан")=1,COUNTIFS($Z$59:$Z$505,Z436,$Y$59:$Y$505,"Агрессивный",$W$59:$W$505,"Рассчитан")=1),"Да","Нет")))</x:f>
      </x:c>
      <x:c r="AF436" s="5"/>
      <x:c r="AG436" s="5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IF(A437="","",IF(U437="","",IF(U437="Выигрыш",J437-1,IF(U437="Полувыигрыш",(J437-1)/2,IF(U437="Возврат",0,IF(U437="Полупроигрыш",-0.5,IF(U437="Поражение",-1,"Проверить результат")))))))</x:f>
      </x:c>
      <x:c r="W437" s="80" t="str">
        <x:f>IF(A437="","",IF(U437="","Открыт",IF(ISNUMBER(V437),"Рассчитан","Проверить результат")))</x:f>
      </x:c>
      <x:c r="X437" s="98"/>
      <x:c r="Y437" s="5"/>
      <x:c r="Z437" s="5"/>
      <x:c r="AA437" s="5"/>
      <x:c r="AB437" s="118"/>
      <x:c r="AC437" s="119"/>
      <x:c r="AD437" s="119"/>
      <x:c r="AE437" s="5" t="str">
        <x:f>IF(A437="","",IF(Z437="","Нет ID пары",IF(AND(COUNTIFS($Z$59:$Z$505,Z437,$Y$59:$Y$505,"Оптимальный",$W$59:$W$505,"Рассчитан")=1,COUNTIFS($Z$59:$Z$505,Z437,$Y$59:$Y$505,"Агрессивный",$W$59:$W$505,"Рассчитан")=1),"Да","Нет")))</x:f>
      </x:c>
      <x:c r="AF437" s="5"/>
      <x:c r="AG437" s="5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IF(A438="","",IF(U438="","",IF(U438="Выигрыш",J438-1,IF(U438="Полувыигрыш",(J438-1)/2,IF(U438="Возврат",0,IF(U438="Полупроигрыш",-0.5,IF(U438="Поражение",-1,"Проверить результат")))))))</x:f>
      </x:c>
      <x:c r="W438" s="80" t="str">
        <x:f>IF(A438="","",IF(U438="","Открыт",IF(ISNUMBER(V438),"Рассчитан","Проверить результат")))</x:f>
      </x:c>
      <x:c r="X438" s="98"/>
      <x:c r="Y438" s="5"/>
      <x:c r="Z438" s="5"/>
      <x:c r="AA438" s="5"/>
      <x:c r="AB438" s="118"/>
      <x:c r="AC438" s="119"/>
      <x:c r="AD438" s="119"/>
      <x:c r="AE438" s="5" t="str">
        <x:f>IF(A438="","",IF(Z438="","Нет ID пары",IF(AND(COUNTIFS($Z$59:$Z$505,Z438,$Y$59:$Y$505,"Оптимальный",$W$59:$W$505,"Рассчитан")=1,COUNTIFS($Z$59:$Z$505,Z438,$Y$59:$Y$505,"Агрессивный",$W$59:$W$505,"Рассчитан")=1),"Да","Нет")))</x:f>
      </x:c>
      <x:c r="AF438" s="5"/>
      <x:c r="AG438" s="5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IF(A439="","",IF(U439="","",IF(U439="Выигрыш",J439-1,IF(U439="Полувыигрыш",(J439-1)/2,IF(U439="Возврат",0,IF(U439="Полупроигрыш",-0.5,IF(U439="Поражение",-1,"Проверить результат")))))))</x:f>
      </x:c>
      <x:c r="W439" s="80" t="str">
        <x:f>IF(A439="","",IF(U439="","Открыт",IF(ISNUMBER(V439),"Рассчитан","Проверить результат")))</x:f>
      </x:c>
      <x:c r="X439" s="98"/>
      <x:c r="Y439" s="5"/>
      <x:c r="Z439" s="5"/>
      <x:c r="AA439" s="5"/>
      <x:c r="AB439" s="118"/>
      <x:c r="AC439" s="119"/>
      <x:c r="AD439" s="119"/>
      <x:c r="AE439" s="5" t="str">
        <x:f>IF(A439="","",IF(Z439="","Нет ID пары",IF(AND(COUNTIFS($Z$59:$Z$505,Z439,$Y$59:$Y$505,"Оптимальный",$W$59:$W$505,"Рассчитан")=1,COUNTIFS($Z$59:$Z$505,Z439,$Y$59:$Y$505,"Агрессивный",$W$59:$W$505,"Рассчитан")=1),"Да","Нет")))</x:f>
      </x:c>
      <x:c r="AF439" s="5"/>
      <x:c r="AG439" s="5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IF(A440="","",IF(U440="","",IF(U440="Выигрыш",J440-1,IF(U440="Полувыигрыш",(J440-1)/2,IF(U440="Возврат",0,IF(U440="Полупроигрыш",-0.5,IF(U440="Поражение",-1,"Проверить результат")))))))</x:f>
      </x:c>
      <x:c r="W440" s="80" t="str">
        <x:f>IF(A440="","",IF(U440="","Открыт",IF(ISNUMBER(V440),"Рассчитан","Проверить результат")))</x:f>
      </x:c>
      <x:c r="X440" s="98"/>
      <x:c r="Y440" s="5"/>
      <x:c r="Z440" s="5"/>
      <x:c r="AA440" s="5"/>
      <x:c r="AB440" s="118"/>
      <x:c r="AC440" s="119"/>
      <x:c r="AD440" s="119"/>
      <x:c r="AE440" s="5" t="str">
        <x:f>IF(A440="","",IF(Z440="","Нет ID пары",IF(AND(COUNTIFS($Z$59:$Z$505,Z440,$Y$59:$Y$505,"Оптимальный",$W$59:$W$505,"Рассчитан")=1,COUNTIFS($Z$59:$Z$505,Z440,$Y$59:$Y$505,"Агрессивный",$W$59:$W$505,"Рассчитан")=1),"Да","Нет")))</x:f>
      </x:c>
      <x:c r="AF440" s="5"/>
      <x:c r="AG440" s="5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IF(A441="","",IF(U441="","",IF(U441="Выигрыш",J441-1,IF(U441="Полувыигрыш",(J441-1)/2,IF(U441="Возврат",0,IF(U441="Полупроигрыш",-0.5,IF(U441="Поражение",-1,"Проверить результат")))))))</x:f>
      </x:c>
      <x:c r="W441" s="80" t="str">
        <x:f>IF(A441="","",IF(U441="","Открыт",IF(ISNUMBER(V441),"Рассчитан","Проверить результат")))</x:f>
      </x:c>
      <x:c r="X441" s="98"/>
      <x:c r="Y441" s="5"/>
      <x:c r="Z441" s="5"/>
      <x:c r="AA441" s="5"/>
      <x:c r="AB441" s="118"/>
      <x:c r="AC441" s="119"/>
      <x:c r="AD441" s="119"/>
      <x:c r="AE441" s="5" t="str">
        <x:f>IF(A441="","",IF(Z441="","Нет ID пары",IF(AND(COUNTIFS($Z$59:$Z$505,Z441,$Y$59:$Y$505,"Оптимальный",$W$59:$W$505,"Рассчитан")=1,COUNTIFS($Z$59:$Z$505,Z441,$Y$59:$Y$505,"Агрессивный",$W$59:$W$505,"Рассчитан")=1),"Да","Нет")))</x:f>
      </x:c>
      <x:c r="AF441" s="5"/>
      <x:c r="AG441" s="5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IF(A442="","",IF(U442="","",IF(U442="Выигрыш",J442-1,IF(U442="Полувыигрыш",(J442-1)/2,IF(U442="Возврат",0,IF(U442="Полупроигрыш",-0.5,IF(U442="Поражение",-1,"Проверить результат")))))))</x:f>
      </x:c>
      <x:c r="W442" s="80" t="str">
        <x:f>IF(A442="","",IF(U442="","Открыт",IF(ISNUMBER(V442),"Рассчитан","Проверить результат")))</x:f>
      </x:c>
      <x:c r="X442" s="98"/>
      <x:c r="Y442" s="5"/>
      <x:c r="Z442" s="5"/>
      <x:c r="AA442" s="5"/>
      <x:c r="AB442" s="118"/>
      <x:c r="AC442" s="119"/>
      <x:c r="AD442" s="119"/>
      <x:c r="AE442" s="5" t="str">
        <x:f>IF(A442="","",IF(Z442="","Нет ID пары",IF(AND(COUNTIFS($Z$59:$Z$505,Z442,$Y$59:$Y$505,"Оптимальный",$W$59:$W$505,"Рассчитан")=1,COUNTIFS($Z$59:$Z$505,Z442,$Y$59:$Y$505,"Агрессивный",$W$59:$W$505,"Рассчитан")=1),"Да","Нет")))</x:f>
      </x:c>
      <x:c r="AF442" s="5"/>
      <x:c r="AG442" s="5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IF(A443="","",IF(U443="","",IF(U443="Выигрыш",J443-1,IF(U443="Полувыигрыш",(J443-1)/2,IF(U443="Возврат",0,IF(U443="Полупроигрыш",-0.5,IF(U443="Поражение",-1,"Проверить результат")))))))</x:f>
      </x:c>
      <x:c r="W443" s="80" t="str">
        <x:f>IF(A443="","",IF(U443="","Открыт",IF(ISNUMBER(V443),"Рассчитан","Проверить результат")))</x:f>
      </x:c>
      <x:c r="X443" s="98"/>
      <x:c r="Y443" s="5"/>
      <x:c r="Z443" s="5"/>
      <x:c r="AA443" s="5"/>
      <x:c r="AB443" s="118"/>
      <x:c r="AC443" s="119"/>
      <x:c r="AD443" s="119"/>
      <x:c r="AE443" s="5" t="str">
        <x:f>IF(A443="","",IF(Z443="","Нет ID пары",IF(AND(COUNTIFS($Z$59:$Z$505,Z443,$Y$59:$Y$505,"Оптимальный",$W$59:$W$505,"Рассчитан")=1,COUNTIFS($Z$59:$Z$505,Z443,$Y$59:$Y$505,"Агрессивный",$W$59:$W$505,"Рассчитан")=1),"Да","Нет")))</x:f>
      </x:c>
      <x:c r="AF443" s="5"/>
      <x:c r="AG443" s="5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IF(A444="","",IF(U444="","",IF(U444="Выигрыш",J444-1,IF(U444="Полувыигрыш",(J444-1)/2,IF(U444="Возврат",0,IF(U444="Полупроигрыш",-0.5,IF(U444="Поражение",-1,"Проверить результат")))))))</x:f>
      </x:c>
      <x:c r="W444" s="80" t="str">
        <x:f>IF(A444="","",IF(U444="","Открыт",IF(ISNUMBER(V444),"Рассчитан","Проверить результат")))</x:f>
      </x:c>
      <x:c r="X444" s="98"/>
      <x:c r="Y444" s="5"/>
      <x:c r="Z444" s="5"/>
      <x:c r="AA444" s="5"/>
      <x:c r="AB444" s="118"/>
      <x:c r="AC444" s="119"/>
      <x:c r="AD444" s="119"/>
      <x:c r="AE444" s="5" t="str">
        <x:f>IF(A444="","",IF(Z444="","Нет ID пары",IF(AND(COUNTIFS($Z$59:$Z$505,Z444,$Y$59:$Y$505,"Оптимальный",$W$59:$W$505,"Рассчитан")=1,COUNTIFS($Z$59:$Z$505,Z444,$Y$59:$Y$505,"Агрессивный",$W$59:$W$505,"Рассчитан")=1),"Да","Нет")))</x:f>
      </x:c>
      <x:c r="AF444" s="5"/>
      <x:c r="AG444" s="5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IF(A445="","",IF(U445="","",IF(U445="Выигрыш",J445-1,IF(U445="Полувыигрыш",(J445-1)/2,IF(U445="Возврат",0,IF(U445="Полупроигрыш",-0.5,IF(U445="Поражение",-1,"Проверить результат")))))))</x:f>
      </x:c>
      <x:c r="W445" s="80" t="str">
        <x:f>IF(A445="","",IF(U445="","Открыт",IF(ISNUMBER(V445),"Рассчитан","Проверить результат")))</x:f>
      </x:c>
      <x:c r="X445" s="98"/>
      <x:c r="Y445" s="5"/>
      <x:c r="Z445" s="5"/>
      <x:c r="AA445" s="5"/>
      <x:c r="AB445" s="118"/>
      <x:c r="AC445" s="119"/>
      <x:c r="AD445" s="119"/>
      <x:c r="AE445" s="5" t="str">
        <x:f>IF(A445="","",IF(Z445="","Нет ID пары",IF(AND(COUNTIFS($Z$59:$Z$505,Z445,$Y$59:$Y$505,"Оптимальный",$W$59:$W$505,"Рассчитан")=1,COUNTIFS($Z$59:$Z$505,Z445,$Y$59:$Y$505,"Агрессивный",$W$59:$W$505,"Рассчитан")=1),"Да","Нет")))</x:f>
      </x:c>
      <x:c r="AF445" s="5"/>
      <x:c r="AG445" s="5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IF(A446="","",IF(U446="","",IF(U446="Выигрыш",J446-1,IF(U446="Полувыигрыш",(J446-1)/2,IF(U446="Возврат",0,IF(U446="Полупроигрыш",-0.5,IF(U446="Поражение",-1,"Проверить результат")))))))</x:f>
      </x:c>
      <x:c r="W446" s="80" t="str">
        <x:f>IF(A446="","",IF(U446="","Открыт",IF(ISNUMBER(V446),"Рассчитан","Проверить результат")))</x:f>
      </x:c>
      <x:c r="X446" s="98"/>
      <x:c r="Y446" s="5"/>
      <x:c r="Z446" s="5"/>
      <x:c r="AA446" s="5"/>
      <x:c r="AB446" s="118"/>
      <x:c r="AC446" s="119"/>
      <x:c r="AD446" s="119"/>
      <x:c r="AE446" s="5" t="str">
        <x:f>IF(A446="","",IF(Z446="","Нет ID пары",IF(AND(COUNTIFS($Z$59:$Z$505,Z446,$Y$59:$Y$505,"Оптимальный",$W$59:$W$505,"Рассчитан")=1,COUNTIFS($Z$59:$Z$505,Z446,$Y$59:$Y$505,"Агрессивный",$W$59:$W$505,"Рассчитан")=1),"Да","Нет")))</x:f>
      </x:c>
      <x:c r="AF446" s="5"/>
      <x:c r="AG446" s="5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IF(A447="","",IF(U447="","",IF(U447="Выигрыш",J447-1,IF(U447="Полувыигрыш",(J447-1)/2,IF(U447="Возврат",0,IF(U447="Полупроигрыш",-0.5,IF(U447="Поражение",-1,"Проверить результат")))))))</x:f>
      </x:c>
      <x:c r="W447" s="80" t="str">
        <x:f>IF(A447="","",IF(U447="","Открыт",IF(ISNUMBER(V447),"Рассчитан","Проверить результат")))</x:f>
      </x:c>
      <x:c r="X447" s="98"/>
      <x:c r="Y447" s="5"/>
      <x:c r="Z447" s="5"/>
      <x:c r="AA447" s="5"/>
      <x:c r="AB447" s="118"/>
      <x:c r="AC447" s="119"/>
      <x:c r="AD447" s="119"/>
      <x:c r="AE447" s="5" t="str">
        <x:f>IF(A447="","",IF(Z447="","Нет ID пары",IF(AND(COUNTIFS($Z$59:$Z$505,Z447,$Y$59:$Y$505,"Оптимальный",$W$59:$W$505,"Рассчитан")=1,COUNTIFS($Z$59:$Z$505,Z447,$Y$59:$Y$505,"Агрессивный",$W$59:$W$505,"Рассчитан")=1),"Да","Нет")))</x:f>
      </x:c>
      <x:c r="AF447" s="5"/>
      <x:c r="AG447" s="5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IF(A448="","",IF(U448="","",IF(U448="Выигрыш",J448-1,IF(U448="Полувыигрыш",(J448-1)/2,IF(U448="Возврат",0,IF(U448="Полупроигрыш",-0.5,IF(U448="Поражение",-1,"Проверить результат")))))))</x:f>
      </x:c>
      <x:c r="W448" s="80" t="str">
        <x:f>IF(A448="","",IF(U448="","Открыт",IF(ISNUMBER(V448),"Рассчитан","Проверить результат")))</x:f>
      </x:c>
      <x:c r="X448" s="98"/>
      <x:c r="Y448" s="5"/>
      <x:c r="Z448" s="5"/>
      <x:c r="AA448" s="5"/>
      <x:c r="AB448" s="118"/>
      <x:c r="AC448" s="119"/>
      <x:c r="AD448" s="119"/>
      <x:c r="AE448" s="5" t="str">
        <x:f>IF(A448="","",IF(Z448="","Нет ID пары",IF(AND(COUNTIFS($Z$59:$Z$505,Z448,$Y$59:$Y$505,"Оптимальный",$W$59:$W$505,"Рассчитан")=1,COUNTIFS($Z$59:$Z$505,Z448,$Y$59:$Y$505,"Агрессивный",$W$59:$W$505,"Рассчитан")=1),"Да","Нет")))</x:f>
      </x:c>
      <x:c r="AF448" s="5"/>
      <x:c r="AG448" s="5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IF(A449="","",IF(U449="","",IF(U449="Выигрыш",J449-1,IF(U449="Полувыигрыш",(J449-1)/2,IF(U449="Возврат",0,IF(U449="Полупроигрыш",-0.5,IF(U449="Поражение",-1,"Проверить результат")))))))</x:f>
      </x:c>
      <x:c r="W449" s="80" t="str">
        <x:f>IF(A449="","",IF(U449="","Открыт",IF(ISNUMBER(V449),"Рассчитан","Проверить результат")))</x:f>
      </x:c>
      <x:c r="X449" s="98"/>
      <x:c r="Y449" s="5"/>
      <x:c r="Z449" s="5"/>
      <x:c r="AA449" s="5"/>
      <x:c r="AB449" s="118"/>
      <x:c r="AC449" s="119"/>
      <x:c r="AD449" s="119"/>
      <x:c r="AE449" s="5" t="str">
        <x:f>IF(A449="","",IF(Z449="","Нет ID пары",IF(AND(COUNTIFS($Z$59:$Z$505,Z449,$Y$59:$Y$505,"Оптимальный",$W$59:$W$505,"Рассчитан")=1,COUNTIFS($Z$59:$Z$505,Z449,$Y$59:$Y$505,"Агрессивный",$W$59:$W$505,"Рассчитан")=1),"Да","Нет")))</x:f>
      </x:c>
      <x:c r="AF449" s="5"/>
      <x:c r="AG449" s="5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IF(A450="","",IF(U450="","",IF(U450="Выигрыш",J450-1,IF(U450="Полувыигрыш",(J450-1)/2,IF(U450="Возврат",0,IF(U450="Полупроигрыш",-0.5,IF(U450="Поражение",-1,"Проверить результат")))))))</x:f>
      </x:c>
      <x:c r="W450" s="80" t="str">
        <x:f>IF(A450="","",IF(U450="","Открыт",IF(ISNUMBER(V450),"Рассчитан","Проверить результат")))</x:f>
      </x:c>
      <x:c r="X450" s="98"/>
      <x:c r="Y450" s="5"/>
      <x:c r="Z450" s="5"/>
      <x:c r="AA450" s="5"/>
      <x:c r="AB450" s="118"/>
      <x:c r="AC450" s="119"/>
      <x:c r="AD450" s="119"/>
      <x:c r="AE450" s="5" t="str">
        <x:f>IF(A450="","",IF(Z450="","Нет ID пары",IF(AND(COUNTIFS($Z$59:$Z$505,Z450,$Y$59:$Y$505,"Оптимальный",$W$59:$W$505,"Рассчитан")=1,COUNTIFS($Z$59:$Z$505,Z450,$Y$59:$Y$505,"Агрессивный",$W$59:$W$505,"Рассчитан")=1),"Да","Нет")))</x:f>
      </x:c>
      <x:c r="AF450" s="5"/>
      <x:c r="AG450" s="5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IF(A451="","",IF(U451="","",IF(U451="Выигрыш",J451-1,IF(U451="Полувыигрыш",(J451-1)/2,IF(U451="Возврат",0,IF(U451="Полупроигрыш",-0.5,IF(U451="Поражение",-1,"Проверить результат")))))))</x:f>
      </x:c>
      <x:c r="W451" s="80" t="str">
        <x:f>IF(A451="","",IF(U451="","Открыт",IF(ISNUMBER(V451),"Рассчитан","Проверить результат")))</x:f>
      </x:c>
      <x:c r="X451" s="98"/>
      <x:c r="Y451" s="5"/>
      <x:c r="Z451" s="5"/>
      <x:c r="AA451" s="5"/>
      <x:c r="AB451" s="118"/>
      <x:c r="AC451" s="119"/>
      <x:c r="AD451" s="119"/>
      <x:c r="AE451" s="5" t="str">
        <x:f>IF(A451="","",IF(Z451="","Нет ID пары",IF(AND(COUNTIFS($Z$59:$Z$505,Z451,$Y$59:$Y$505,"Оптимальный",$W$59:$W$505,"Рассчитан")=1,COUNTIFS($Z$59:$Z$505,Z451,$Y$59:$Y$505,"Агрессивный",$W$59:$W$505,"Рассчитан")=1),"Да","Нет")))</x:f>
      </x:c>
      <x:c r="AF451" s="5"/>
      <x:c r="AG451" s="5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IF(A452="","",IF(U452="","",IF(U452="Выигрыш",J452-1,IF(U452="Полувыигрыш",(J452-1)/2,IF(U452="Возврат",0,IF(U452="Полупроигрыш",-0.5,IF(U452="Поражение",-1,"Проверить результат")))))))</x:f>
      </x:c>
      <x:c r="W452" s="80" t="str">
        <x:f>IF(A452="","",IF(U452="","Открыт",IF(ISNUMBER(V452),"Рассчитан","Проверить результат")))</x:f>
      </x:c>
      <x:c r="X452" s="98"/>
      <x:c r="Y452" s="5"/>
      <x:c r="Z452" s="5"/>
      <x:c r="AA452" s="5"/>
      <x:c r="AB452" s="118"/>
      <x:c r="AC452" s="119"/>
      <x:c r="AD452" s="119"/>
      <x:c r="AE452" s="5" t="str">
        <x:f>IF(A452="","",IF(Z452="","Нет ID пары",IF(AND(COUNTIFS($Z$59:$Z$505,Z452,$Y$59:$Y$505,"Оптимальный",$W$59:$W$505,"Рассчитан")=1,COUNTIFS($Z$59:$Z$505,Z452,$Y$59:$Y$505,"Агрессивный",$W$59:$W$505,"Рассчитан")=1),"Да","Нет")))</x:f>
      </x:c>
      <x:c r="AF452" s="5"/>
      <x:c r="AG452" s="5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IF(A453="","",IF(U453="","",IF(U453="Выигрыш",J453-1,IF(U453="Полувыигрыш",(J453-1)/2,IF(U453="Возврат",0,IF(U453="Полупроигрыш",-0.5,IF(U453="Поражение",-1,"Проверить результат")))))))</x:f>
      </x:c>
      <x:c r="W453" s="80" t="str">
        <x:f>IF(A453="","",IF(U453="","Открыт",IF(ISNUMBER(V453),"Рассчитан","Проверить результат")))</x:f>
      </x:c>
      <x:c r="X453" s="98"/>
      <x:c r="Y453" s="5"/>
      <x:c r="Z453" s="5"/>
      <x:c r="AA453" s="5"/>
      <x:c r="AB453" s="118"/>
      <x:c r="AC453" s="119"/>
      <x:c r="AD453" s="119"/>
      <x:c r="AE453" s="5" t="str">
        <x:f>IF(A453="","",IF(Z453="","Нет ID пары",IF(AND(COUNTIFS($Z$59:$Z$505,Z453,$Y$59:$Y$505,"Оптимальный",$W$59:$W$505,"Рассчитан")=1,COUNTIFS($Z$59:$Z$505,Z453,$Y$59:$Y$505,"Агрессивный",$W$59:$W$505,"Рассчитан")=1),"Да","Нет")))</x:f>
      </x:c>
      <x:c r="AF453" s="5"/>
      <x:c r="AG453" s="5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IF(A454="","",IF(U454="","",IF(U454="Выигрыш",J454-1,IF(U454="Полувыигрыш",(J454-1)/2,IF(U454="Возврат",0,IF(U454="Полупроигрыш",-0.5,IF(U454="Поражение",-1,"Проверить результат")))))))</x:f>
      </x:c>
      <x:c r="W454" s="80" t="str">
        <x:f>IF(A454="","",IF(U454="","Открыт",IF(ISNUMBER(V454),"Рассчитан","Проверить результат")))</x:f>
      </x:c>
      <x:c r="X454" s="98"/>
      <x:c r="Y454" s="5"/>
      <x:c r="Z454" s="5"/>
      <x:c r="AA454" s="5"/>
      <x:c r="AB454" s="118"/>
      <x:c r="AC454" s="119"/>
      <x:c r="AD454" s="119"/>
      <x:c r="AE454" s="5" t="str">
        <x:f>IF(A454="","",IF(Z454="","Нет ID пары",IF(AND(COUNTIFS($Z$59:$Z$505,Z454,$Y$59:$Y$505,"Оптимальный",$W$59:$W$505,"Рассчитан")=1,COUNTIFS($Z$59:$Z$505,Z454,$Y$59:$Y$505,"Агрессивный",$W$59:$W$505,"Рассчитан")=1),"Да","Нет")))</x:f>
      </x:c>
      <x:c r="AF454" s="5"/>
      <x:c r="AG454" s="5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IF(A455="","",IF(U455="","",IF(U455="Выигрыш",J455-1,IF(U455="Полувыигрыш",(J455-1)/2,IF(U455="Возврат",0,IF(U455="Полупроигрыш",-0.5,IF(U455="Поражение",-1,"Проверить результат")))))))</x:f>
      </x:c>
      <x:c r="W455" s="80" t="str">
        <x:f>IF(A455="","",IF(U455="","Открыт",IF(ISNUMBER(V455),"Рассчитан","Проверить результат")))</x:f>
      </x:c>
      <x:c r="X455" s="98"/>
      <x:c r="Y455" s="5"/>
      <x:c r="Z455" s="5"/>
      <x:c r="AA455" s="5"/>
      <x:c r="AB455" s="118"/>
      <x:c r="AC455" s="119"/>
      <x:c r="AD455" s="119"/>
      <x:c r="AE455" s="5" t="str">
        <x:f>IF(A455="","",IF(Z455="","Нет ID пары",IF(AND(COUNTIFS($Z$59:$Z$505,Z455,$Y$59:$Y$505,"Оптимальный",$W$59:$W$505,"Рассчитан")=1,COUNTIFS($Z$59:$Z$505,Z455,$Y$59:$Y$505,"Агрессивный",$W$59:$W$505,"Рассчитан")=1),"Да","Нет")))</x:f>
      </x:c>
      <x:c r="AF455" s="5"/>
      <x:c r="AG455" s="5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IF(A456="","",IF(U456="","",IF(U456="Выигрыш",J456-1,IF(U456="Полувыигрыш",(J456-1)/2,IF(U456="Возврат",0,IF(U456="Полупроигрыш",-0.5,IF(U456="Поражение",-1,"Проверить результат")))))))</x:f>
      </x:c>
      <x:c r="W456" s="80" t="str">
        <x:f>IF(A456="","",IF(U456="","Открыт",IF(ISNUMBER(V456),"Рассчитан","Проверить результат")))</x:f>
      </x:c>
      <x:c r="X456" s="98"/>
      <x:c r="Y456" s="5"/>
      <x:c r="Z456" s="5"/>
      <x:c r="AA456" s="5"/>
      <x:c r="AB456" s="118"/>
      <x:c r="AC456" s="119"/>
      <x:c r="AD456" s="119"/>
      <x:c r="AE456" s="5" t="str">
        <x:f>IF(A456="","",IF(Z456="","Нет ID пары",IF(AND(COUNTIFS($Z$59:$Z$505,Z456,$Y$59:$Y$505,"Оптимальный",$W$59:$W$505,"Рассчитан")=1,COUNTIFS($Z$59:$Z$505,Z456,$Y$59:$Y$505,"Агрессивный",$W$59:$W$505,"Рассчитан")=1),"Да","Нет")))</x:f>
      </x:c>
      <x:c r="AF456" s="5"/>
      <x:c r="AG456" s="5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IF(A457="","",IF(U457="","",IF(U457="Выигрыш",J457-1,IF(U457="Полувыигрыш",(J457-1)/2,IF(U457="Возврат",0,IF(U457="Полупроигрыш",-0.5,IF(U457="Поражение",-1,"Проверить результат")))))))</x:f>
      </x:c>
      <x:c r="W457" s="80" t="str">
        <x:f>IF(A457="","",IF(U457="","Открыт",IF(ISNUMBER(V457),"Рассчитан","Проверить результат")))</x:f>
      </x:c>
      <x:c r="X457" s="98"/>
      <x:c r="Y457" s="5"/>
      <x:c r="Z457" s="5"/>
      <x:c r="AA457" s="5"/>
      <x:c r="AB457" s="118"/>
      <x:c r="AC457" s="119"/>
      <x:c r="AD457" s="119"/>
      <x:c r="AE457" s="5" t="str">
        <x:f>IF(A457="","",IF(Z457="","Нет ID пары",IF(AND(COUNTIFS($Z$59:$Z$505,Z457,$Y$59:$Y$505,"Оптимальный",$W$59:$W$505,"Рассчитан")=1,COUNTIFS($Z$59:$Z$505,Z457,$Y$59:$Y$505,"Агрессивный",$W$59:$W$505,"Рассчитан")=1),"Да","Нет")))</x:f>
      </x:c>
      <x:c r="AF457" s="5"/>
      <x:c r="AG457" s="5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IF(A458="","",IF(U458="","",IF(U458="Выигрыш",J458-1,IF(U458="Полувыигрыш",(J458-1)/2,IF(U458="Возврат",0,IF(U458="Полупроигрыш",-0.5,IF(U458="Поражение",-1,"Проверить результат")))))))</x:f>
      </x:c>
      <x:c r="W458" s="80" t="str">
        <x:f>IF(A458="","",IF(U458="","Открыт",IF(ISNUMBER(V458),"Рассчитан","Проверить результат")))</x:f>
      </x:c>
      <x:c r="X458" s="98"/>
      <x:c r="Y458" s="5"/>
      <x:c r="Z458" s="5"/>
      <x:c r="AA458" s="5"/>
      <x:c r="AB458" s="118"/>
      <x:c r="AC458" s="119"/>
      <x:c r="AD458" s="119"/>
      <x:c r="AE458" s="5" t="str">
        <x:f>IF(A458="","",IF(Z458="","Нет ID пары",IF(AND(COUNTIFS($Z$59:$Z$505,Z458,$Y$59:$Y$505,"Оптимальный",$W$59:$W$505,"Рассчитан")=1,COUNTIFS($Z$59:$Z$505,Z458,$Y$59:$Y$505,"Агрессивный",$W$59:$W$505,"Рассчитан")=1),"Да","Нет")))</x:f>
      </x:c>
      <x:c r="AF458" s="5"/>
      <x:c r="AG458" s="5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IF(A459="","",IF(U459="","",IF(U459="Выигрыш",J459-1,IF(U459="Полувыигрыш",(J459-1)/2,IF(U459="Возврат",0,IF(U459="Полупроигрыш",-0.5,IF(U459="Поражение",-1,"Проверить результат")))))))</x:f>
      </x:c>
      <x:c r="W459" s="80" t="str">
        <x:f>IF(A459="","",IF(U459="","Открыт",IF(ISNUMBER(V459),"Рассчитан","Проверить результат")))</x:f>
      </x:c>
      <x:c r="X459" s="98"/>
      <x:c r="Y459" s="5"/>
      <x:c r="Z459" s="5"/>
      <x:c r="AA459" s="5"/>
      <x:c r="AB459" s="118"/>
      <x:c r="AC459" s="119"/>
      <x:c r="AD459" s="119"/>
      <x:c r="AE459" s="5" t="str">
        <x:f>IF(A459="","",IF(Z459="","Нет ID пары",IF(AND(COUNTIFS($Z$59:$Z$505,Z459,$Y$59:$Y$505,"Оптимальный",$W$59:$W$505,"Рассчитан")=1,COUNTIFS($Z$59:$Z$505,Z459,$Y$59:$Y$505,"Агрессивный",$W$59:$W$505,"Рассчитан")=1),"Да","Нет")))</x:f>
      </x:c>
      <x:c r="AF459" s="5"/>
      <x:c r="AG459" s="5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IF(A460="","",IF(U460="","",IF(U460="Выигрыш",J460-1,IF(U460="Полувыигрыш",(J460-1)/2,IF(U460="Возврат",0,IF(U460="Полупроигрыш",-0.5,IF(U460="Поражение",-1,"Проверить результат")))))))</x:f>
      </x:c>
      <x:c r="W460" s="80" t="str">
        <x:f>IF(A460="","",IF(U460="","Открыт",IF(ISNUMBER(V460),"Рассчитан","Проверить результат")))</x:f>
      </x:c>
      <x:c r="X460" s="98"/>
      <x:c r="Y460" s="5"/>
      <x:c r="Z460" s="5"/>
      <x:c r="AA460" s="5"/>
      <x:c r="AB460" s="118"/>
      <x:c r="AC460" s="119"/>
      <x:c r="AD460" s="119"/>
      <x:c r="AE460" s="5" t="str">
        <x:f>IF(A460="","",IF(Z460="","Нет ID пары",IF(AND(COUNTIFS($Z$59:$Z$505,Z460,$Y$59:$Y$505,"Оптимальный",$W$59:$W$505,"Рассчитан")=1,COUNTIFS($Z$59:$Z$505,Z460,$Y$59:$Y$505,"Агрессивный",$W$59:$W$505,"Рассчитан")=1),"Да","Нет")))</x:f>
      </x:c>
      <x:c r="AF460" s="5"/>
      <x:c r="AG460" s="5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IF(A461="","",IF(U461="","",IF(U461="Выигрыш",J461-1,IF(U461="Полувыигрыш",(J461-1)/2,IF(U461="Возврат",0,IF(U461="Полупроигрыш",-0.5,IF(U461="Поражение",-1,"Проверить результат")))))))</x:f>
      </x:c>
      <x:c r="W461" s="80" t="str">
        <x:f>IF(A461="","",IF(U461="","Открыт",IF(ISNUMBER(V461),"Рассчитан","Проверить результат")))</x:f>
      </x:c>
      <x:c r="X461" s="98"/>
      <x:c r="Y461" s="5"/>
      <x:c r="Z461" s="5"/>
      <x:c r="AA461" s="5"/>
      <x:c r="AB461" s="118"/>
      <x:c r="AC461" s="119"/>
      <x:c r="AD461" s="119"/>
      <x:c r="AE461" s="5" t="str">
        <x:f>IF(A461="","",IF(Z461="","Нет ID пары",IF(AND(COUNTIFS($Z$59:$Z$505,Z461,$Y$59:$Y$505,"Оптимальный",$W$59:$W$505,"Рассчитан")=1,COUNTIFS($Z$59:$Z$505,Z461,$Y$59:$Y$505,"Агрессивный",$W$59:$W$505,"Рассчитан")=1),"Да","Нет")))</x:f>
      </x:c>
      <x:c r="AF461" s="5"/>
      <x:c r="AG461" s="5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IF(A462="","",IF(U462="","",IF(U462="Выигрыш",J462-1,IF(U462="Полувыигрыш",(J462-1)/2,IF(U462="Возврат",0,IF(U462="Полупроигрыш",-0.5,IF(U462="Поражение",-1,"Проверить результат")))))))</x:f>
      </x:c>
      <x:c r="W462" s="80" t="str">
        <x:f>IF(A462="","",IF(U462="","Открыт",IF(ISNUMBER(V462),"Рассчитан","Проверить результат")))</x:f>
      </x:c>
      <x:c r="X462" s="98"/>
      <x:c r="Y462" s="5"/>
      <x:c r="Z462" s="5"/>
      <x:c r="AA462" s="5"/>
      <x:c r="AB462" s="118"/>
      <x:c r="AC462" s="119"/>
      <x:c r="AD462" s="119"/>
      <x:c r="AE462" s="5" t="str">
        <x:f>IF(A462="","",IF(Z462="","Нет ID пары",IF(AND(COUNTIFS($Z$59:$Z$505,Z462,$Y$59:$Y$505,"Оптимальный",$W$59:$W$505,"Рассчитан")=1,COUNTIFS($Z$59:$Z$505,Z462,$Y$59:$Y$505,"Агрессивный",$W$59:$W$505,"Рассчитан")=1),"Да","Нет")))</x:f>
      </x:c>
      <x:c r="AF462" s="5"/>
      <x:c r="AG462" s="5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IF(A463="","",IF(U463="","",IF(U463="Выигрыш",J463-1,IF(U463="Полувыигрыш",(J463-1)/2,IF(U463="Возврат",0,IF(U463="Полупроигрыш",-0.5,IF(U463="Поражение",-1,"Проверить результат")))))))</x:f>
      </x:c>
      <x:c r="W463" s="80" t="str">
        <x:f>IF(A463="","",IF(U463="","Открыт",IF(ISNUMBER(V463),"Рассчитан","Проверить результат")))</x:f>
      </x:c>
      <x:c r="X463" s="98"/>
      <x:c r="Y463" s="5"/>
      <x:c r="Z463" s="5"/>
      <x:c r="AA463" s="5"/>
      <x:c r="AB463" s="118"/>
      <x:c r="AC463" s="119"/>
      <x:c r="AD463" s="119"/>
      <x:c r="AE463" s="5" t="str">
        <x:f>IF(A463="","",IF(Z463="","Нет ID пары",IF(AND(COUNTIFS($Z$59:$Z$505,Z463,$Y$59:$Y$505,"Оптимальный",$W$59:$W$505,"Рассчитан")=1,COUNTIFS($Z$59:$Z$505,Z463,$Y$59:$Y$505,"Агрессивный",$W$59:$W$505,"Рассчитан")=1),"Да","Нет")))</x:f>
      </x:c>
      <x:c r="AF463" s="5"/>
      <x:c r="AG463" s="5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IF(A464="","",IF(U464="","",IF(U464="Выигрыш",J464-1,IF(U464="Полувыигрыш",(J464-1)/2,IF(U464="Возврат",0,IF(U464="Полупроигрыш",-0.5,IF(U464="Поражение",-1,"Проверить результат")))))))</x:f>
      </x:c>
      <x:c r="W464" s="80" t="str">
        <x:f>IF(A464="","",IF(U464="","Открыт",IF(ISNUMBER(V464),"Рассчитан","Проверить результат")))</x:f>
      </x:c>
      <x:c r="X464" s="98"/>
      <x:c r="Y464" s="5"/>
      <x:c r="Z464" s="5"/>
      <x:c r="AA464" s="5"/>
      <x:c r="AB464" s="118"/>
      <x:c r="AC464" s="119"/>
      <x:c r="AD464" s="119"/>
      <x:c r="AE464" s="5" t="str">
        <x:f>IF(A464="","",IF(Z464="","Нет ID пары",IF(AND(COUNTIFS($Z$59:$Z$505,Z464,$Y$59:$Y$505,"Оптимальный",$W$59:$W$505,"Рассчитан")=1,COUNTIFS($Z$59:$Z$505,Z464,$Y$59:$Y$505,"Агрессивный",$W$59:$W$505,"Рассчитан")=1),"Да","Нет")))</x:f>
      </x:c>
      <x:c r="AF464" s="5"/>
      <x:c r="AG464" s="5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IF(A465="","",IF(U465="","",IF(U465="Выигрыш",J465-1,IF(U465="Полувыигрыш",(J465-1)/2,IF(U465="Возврат",0,IF(U465="Полупроигрыш",-0.5,IF(U465="Поражение",-1,"Проверить результат")))))))</x:f>
      </x:c>
      <x:c r="W465" s="80" t="str">
        <x:f>IF(A465="","",IF(U465="","Открыт",IF(ISNUMBER(V465),"Рассчитан","Проверить результат")))</x:f>
      </x:c>
      <x:c r="X465" s="98"/>
      <x:c r="Y465" s="5"/>
      <x:c r="Z465" s="5"/>
      <x:c r="AA465" s="5"/>
      <x:c r="AB465" s="118"/>
      <x:c r="AC465" s="119"/>
      <x:c r="AD465" s="119"/>
      <x:c r="AE465" s="5" t="str">
        <x:f>IF(A465="","",IF(Z465="","Нет ID пары",IF(AND(COUNTIFS($Z$59:$Z$505,Z465,$Y$59:$Y$505,"Оптимальный",$W$59:$W$505,"Рассчитан")=1,COUNTIFS($Z$59:$Z$505,Z465,$Y$59:$Y$505,"Агрессивный",$W$59:$W$505,"Рассчитан")=1),"Да","Нет")))</x:f>
      </x:c>
      <x:c r="AF465" s="5"/>
      <x:c r="AG465" s="5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IF(A466="","",IF(U466="","",IF(U466="Выигрыш",J466-1,IF(U466="Полувыигрыш",(J466-1)/2,IF(U466="Возврат",0,IF(U466="Полупроигрыш",-0.5,IF(U466="Поражение",-1,"Проверить результат")))))))</x:f>
      </x:c>
      <x:c r="W466" s="80" t="str">
        <x:f>IF(A466="","",IF(U466="","Открыт",IF(ISNUMBER(V466),"Рассчитан","Проверить результат")))</x:f>
      </x:c>
      <x:c r="X466" s="98"/>
      <x:c r="Y466" s="5"/>
      <x:c r="Z466" s="5"/>
      <x:c r="AA466" s="5"/>
      <x:c r="AB466" s="118"/>
      <x:c r="AC466" s="119"/>
      <x:c r="AD466" s="119"/>
      <x:c r="AE466" s="5" t="str">
        <x:f>IF(A466="","",IF(Z466="","Нет ID пары",IF(AND(COUNTIFS($Z$59:$Z$505,Z466,$Y$59:$Y$505,"Оптимальный",$W$59:$W$505,"Рассчитан")=1,COUNTIFS($Z$59:$Z$505,Z466,$Y$59:$Y$505,"Агрессивный",$W$59:$W$505,"Рассчитан")=1),"Да","Нет")))</x:f>
      </x:c>
      <x:c r="AF466" s="5"/>
      <x:c r="AG466" s="5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IF(A467="","",IF(U467="","",IF(U467="Выигрыш",J467-1,IF(U467="Полувыигрыш",(J467-1)/2,IF(U467="Возврат",0,IF(U467="Полупроигрыш",-0.5,IF(U467="Поражение",-1,"Проверить результат")))))))</x:f>
      </x:c>
      <x:c r="W467" s="80" t="str">
        <x:f>IF(A467="","",IF(U467="","Открыт",IF(ISNUMBER(V467),"Рассчитан","Проверить результат")))</x:f>
      </x:c>
      <x:c r="X467" s="98"/>
      <x:c r="Y467" s="5"/>
      <x:c r="Z467" s="5"/>
      <x:c r="AA467" s="5"/>
      <x:c r="AB467" s="118"/>
      <x:c r="AC467" s="119"/>
      <x:c r="AD467" s="119"/>
      <x:c r="AE467" s="5" t="str">
        <x:f>IF(A467="","",IF(Z467="","Нет ID пары",IF(AND(COUNTIFS($Z$59:$Z$505,Z467,$Y$59:$Y$505,"Оптимальный",$W$59:$W$505,"Рассчитан")=1,COUNTIFS($Z$59:$Z$505,Z467,$Y$59:$Y$505,"Агрессивный",$W$59:$W$505,"Рассчитан")=1),"Да","Нет")))</x:f>
      </x:c>
      <x:c r="AF467" s="5"/>
      <x:c r="AG467" s="5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IF(A468="","",IF(U468="","",IF(U468="Выигрыш",J468-1,IF(U468="Полувыигрыш",(J468-1)/2,IF(U468="Возврат",0,IF(U468="Полупроигрыш",-0.5,IF(U468="Поражение",-1,"Проверить результат")))))))</x:f>
      </x:c>
      <x:c r="W468" s="80" t="str">
        <x:f>IF(A468="","",IF(U468="","Открыт",IF(ISNUMBER(V468),"Рассчитан","Проверить результат")))</x:f>
      </x:c>
      <x:c r="X468" s="98"/>
      <x:c r="Y468" s="5"/>
      <x:c r="Z468" s="5"/>
      <x:c r="AA468" s="5"/>
      <x:c r="AB468" s="118"/>
      <x:c r="AC468" s="119"/>
      <x:c r="AD468" s="119"/>
      <x:c r="AE468" s="5" t="str">
        <x:f>IF(A468="","",IF(Z468="","Нет ID пары",IF(AND(COUNTIFS($Z$59:$Z$505,Z468,$Y$59:$Y$505,"Оптимальный",$W$59:$W$505,"Рассчитан")=1,COUNTIFS($Z$59:$Z$505,Z468,$Y$59:$Y$505,"Агрессивный",$W$59:$W$505,"Рассчитан")=1),"Да","Нет")))</x:f>
      </x:c>
      <x:c r="AF468" s="5"/>
      <x:c r="AG468" s="5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IF(A469="","",IF(U469="","",IF(U469="Выигрыш",J469-1,IF(U469="Полувыигрыш",(J469-1)/2,IF(U469="Возврат",0,IF(U469="Полупроигрыш",-0.5,IF(U469="Поражение",-1,"Проверить результат")))))))</x:f>
      </x:c>
      <x:c r="W469" s="80" t="str">
        <x:f>IF(A469="","",IF(U469="","Открыт",IF(ISNUMBER(V469),"Рассчитан","Проверить результат")))</x:f>
      </x:c>
      <x:c r="X469" s="98"/>
      <x:c r="Y469" s="5"/>
      <x:c r="Z469" s="5"/>
      <x:c r="AA469" s="5"/>
      <x:c r="AB469" s="118"/>
      <x:c r="AC469" s="119"/>
      <x:c r="AD469" s="119"/>
      <x:c r="AE469" s="5" t="str">
        <x:f>IF(A469="","",IF(Z469="","Нет ID пары",IF(AND(COUNTIFS($Z$59:$Z$505,Z469,$Y$59:$Y$505,"Оптимальный",$W$59:$W$505,"Рассчитан")=1,COUNTIFS($Z$59:$Z$505,Z469,$Y$59:$Y$505,"Агрессивный",$W$59:$W$505,"Рассчитан")=1),"Да","Нет")))</x:f>
      </x:c>
      <x:c r="AF469" s="5"/>
      <x:c r="AG469" s="5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IF(A470="","",IF(U470="","",IF(U470="Выигрыш",J470-1,IF(U470="Полувыигрыш",(J470-1)/2,IF(U470="Возврат",0,IF(U470="Полупроигрыш",-0.5,IF(U470="Поражение",-1,"Проверить результат")))))))</x:f>
      </x:c>
      <x:c r="W470" s="80" t="str">
        <x:f>IF(A470="","",IF(U470="","Открыт",IF(ISNUMBER(V470),"Рассчитан","Проверить результат")))</x:f>
      </x:c>
      <x:c r="X470" s="98"/>
      <x:c r="Y470" s="5"/>
      <x:c r="Z470" s="5"/>
      <x:c r="AA470" s="5"/>
      <x:c r="AB470" s="118"/>
      <x:c r="AC470" s="119"/>
      <x:c r="AD470" s="119"/>
      <x:c r="AE470" s="5" t="str">
        <x:f>IF(A470="","",IF(Z470="","Нет ID пары",IF(AND(COUNTIFS($Z$59:$Z$505,Z470,$Y$59:$Y$505,"Оптимальный",$W$59:$W$505,"Рассчитан")=1,COUNTIFS($Z$59:$Z$505,Z470,$Y$59:$Y$505,"Агрессивный",$W$59:$W$505,"Рассчитан")=1),"Да","Нет")))</x:f>
      </x:c>
      <x:c r="AF470" s="5"/>
      <x:c r="AG470" s="5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IF(A471="","",IF(U471="","",IF(U471="Выигрыш",J471-1,IF(U471="Полувыигрыш",(J471-1)/2,IF(U471="Возврат",0,IF(U471="Полупроигрыш",-0.5,IF(U471="Поражение",-1,"Проверить результат")))))))</x:f>
      </x:c>
      <x:c r="W471" s="80" t="str">
        <x:f>IF(A471="","",IF(U471="","Открыт",IF(ISNUMBER(V471),"Рассчитан","Проверить результат")))</x:f>
      </x:c>
      <x:c r="X471" s="98"/>
      <x:c r="Y471" s="5"/>
      <x:c r="Z471" s="5"/>
      <x:c r="AA471" s="5"/>
      <x:c r="AB471" s="118"/>
      <x:c r="AC471" s="119"/>
      <x:c r="AD471" s="119"/>
      <x:c r="AE471" s="5" t="str">
        <x:f>IF(A471="","",IF(Z471="","Нет ID пары",IF(AND(COUNTIFS($Z$59:$Z$505,Z471,$Y$59:$Y$505,"Оптимальный",$W$59:$W$505,"Рассчитан")=1,COUNTIFS($Z$59:$Z$505,Z471,$Y$59:$Y$505,"Агрессивный",$W$59:$W$505,"Рассчитан")=1),"Да","Нет")))</x:f>
      </x:c>
      <x:c r="AF471" s="5"/>
      <x:c r="AG471" s="5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IF(A472="","",IF(U472="","",IF(U472="Выигрыш",J472-1,IF(U472="Полувыигрыш",(J472-1)/2,IF(U472="Возврат",0,IF(U472="Полупроигрыш",-0.5,IF(U472="Поражение",-1,"Проверить результат")))))))</x:f>
      </x:c>
      <x:c r="W472" s="80" t="str">
        <x:f>IF(A472="","",IF(U472="","Открыт",IF(ISNUMBER(V472),"Рассчитан","Проверить результат")))</x:f>
      </x:c>
      <x:c r="X472" s="98"/>
      <x:c r="Y472" s="5"/>
      <x:c r="Z472" s="5"/>
      <x:c r="AA472" s="5"/>
      <x:c r="AB472" s="118"/>
      <x:c r="AC472" s="119"/>
      <x:c r="AD472" s="119"/>
      <x:c r="AE472" s="5" t="str">
        <x:f>IF(A472="","",IF(Z472="","Нет ID пары",IF(AND(COUNTIFS($Z$59:$Z$505,Z472,$Y$59:$Y$505,"Оптимальный",$W$59:$W$505,"Рассчитан")=1,COUNTIFS($Z$59:$Z$505,Z472,$Y$59:$Y$505,"Агрессивный",$W$59:$W$505,"Рассчитан")=1),"Да","Нет")))</x:f>
      </x:c>
      <x:c r="AF472" s="5"/>
      <x:c r="AG472" s="5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IF(A473="","",IF(U473="","",IF(U473="Выигрыш",J473-1,IF(U473="Полувыигрыш",(J473-1)/2,IF(U473="Возврат",0,IF(U473="Полупроигрыш",-0.5,IF(U473="Поражение",-1,"Проверить результат")))))))</x:f>
      </x:c>
      <x:c r="W473" s="80" t="str">
        <x:f>IF(A473="","",IF(U473="","Открыт",IF(ISNUMBER(V473),"Рассчитан","Проверить результат")))</x:f>
      </x:c>
      <x:c r="X473" s="98"/>
      <x:c r="Y473" s="5"/>
      <x:c r="Z473" s="5"/>
      <x:c r="AA473" s="5"/>
      <x:c r="AB473" s="118"/>
      <x:c r="AC473" s="119"/>
      <x:c r="AD473" s="119"/>
      <x:c r="AE473" s="5" t="str">
        <x:f>IF(A473="","",IF(Z473="","Нет ID пары",IF(AND(COUNTIFS($Z$59:$Z$505,Z473,$Y$59:$Y$505,"Оптимальный",$W$59:$W$505,"Рассчитан")=1,COUNTIFS($Z$59:$Z$505,Z473,$Y$59:$Y$505,"Агрессивный",$W$59:$W$505,"Рассчитан")=1),"Да","Нет")))</x:f>
      </x:c>
      <x:c r="AF473" s="5"/>
      <x:c r="AG473" s="5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IF(A474="","",IF(U474="","",IF(U474="Выигрыш",J474-1,IF(U474="Полувыигрыш",(J474-1)/2,IF(U474="Возврат",0,IF(U474="Полупроигрыш",-0.5,IF(U474="Поражение",-1,"Проверить результат")))))))</x:f>
      </x:c>
      <x:c r="W474" s="80" t="str">
        <x:f>IF(A474="","",IF(U474="","Открыт",IF(ISNUMBER(V474),"Рассчитан","Проверить результат")))</x:f>
      </x:c>
      <x:c r="X474" s="98"/>
      <x:c r="Y474" s="5"/>
      <x:c r="Z474" s="5"/>
      <x:c r="AA474" s="5"/>
      <x:c r="AB474" s="118"/>
      <x:c r="AC474" s="119"/>
      <x:c r="AD474" s="119"/>
      <x:c r="AE474" s="5" t="str">
        <x:f>IF(A474="","",IF(Z474="","Нет ID пары",IF(AND(COUNTIFS($Z$59:$Z$505,Z474,$Y$59:$Y$505,"Оптимальный",$W$59:$W$505,"Рассчитан")=1,COUNTIFS($Z$59:$Z$505,Z474,$Y$59:$Y$505,"Агрессивный",$W$59:$W$505,"Рассчитан")=1),"Да","Нет")))</x:f>
      </x:c>
      <x:c r="AF474" s="5"/>
      <x:c r="AG474" s="5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IF(A475="","",IF(U475="","",IF(U475="Выигрыш",J475-1,IF(U475="Полувыигрыш",(J475-1)/2,IF(U475="Возврат",0,IF(U475="Полупроигрыш",-0.5,IF(U475="Поражение",-1,"Проверить результат")))))))</x:f>
      </x:c>
      <x:c r="W475" s="80" t="str">
        <x:f>IF(A475="","",IF(U475="","Открыт",IF(ISNUMBER(V475),"Рассчитан","Проверить результат")))</x:f>
      </x:c>
      <x:c r="X475" s="98"/>
      <x:c r="Y475" s="5"/>
      <x:c r="Z475" s="5"/>
      <x:c r="AA475" s="5"/>
      <x:c r="AB475" s="118"/>
      <x:c r="AC475" s="119"/>
      <x:c r="AD475" s="119"/>
      <x:c r="AE475" s="5" t="str">
        <x:f>IF(A475="","",IF(Z475="","Нет ID пары",IF(AND(COUNTIFS($Z$59:$Z$505,Z475,$Y$59:$Y$505,"Оптимальный",$W$59:$W$505,"Рассчитан")=1,COUNTIFS($Z$59:$Z$505,Z475,$Y$59:$Y$505,"Агрессивный",$W$59:$W$505,"Рассчитан")=1),"Да","Нет")))</x:f>
      </x:c>
      <x:c r="AF475" s="5"/>
      <x:c r="AG475" s="5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IF(A476="","",IF(U476="","",IF(U476="Выигрыш",J476-1,IF(U476="Полувыигрыш",(J476-1)/2,IF(U476="Возврат",0,IF(U476="Полупроигрыш",-0.5,IF(U476="Поражение",-1,"Проверить результат")))))))</x:f>
      </x:c>
      <x:c r="W476" s="80" t="str">
        <x:f>IF(A476="","",IF(U476="","Открыт",IF(ISNUMBER(V476),"Рассчитан","Проверить результат")))</x:f>
      </x:c>
      <x:c r="X476" s="98"/>
      <x:c r="Y476" s="5"/>
      <x:c r="Z476" s="5"/>
      <x:c r="AA476" s="5"/>
      <x:c r="AB476" s="118"/>
      <x:c r="AC476" s="119"/>
      <x:c r="AD476" s="119"/>
      <x:c r="AE476" s="5" t="str">
        <x:f>IF(A476="","",IF(Z476="","Нет ID пары",IF(AND(COUNTIFS($Z$59:$Z$505,Z476,$Y$59:$Y$505,"Оптимальный",$W$59:$W$505,"Рассчитан")=1,COUNTIFS($Z$59:$Z$505,Z476,$Y$59:$Y$505,"Агрессивный",$W$59:$W$505,"Рассчитан")=1),"Да","Нет")))</x:f>
      </x:c>
      <x:c r="AF476" s="5"/>
      <x:c r="AG476" s="5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IF(A477="","",IF(U477="","",IF(U477="Выигрыш",J477-1,IF(U477="Полувыигрыш",(J477-1)/2,IF(U477="Возврат",0,IF(U477="Полупроигрыш",-0.5,IF(U477="Поражение",-1,"Проверить результат")))))))</x:f>
      </x:c>
      <x:c r="W477" s="80" t="str">
        <x:f>IF(A477="","",IF(U477="","Открыт",IF(ISNUMBER(V477),"Рассчитан","Проверить результат")))</x:f>
      </x:c>
      <x:c r="X477" s="98"/>
      <x:c r="Y477" s="5"/>
      <x:c r="Z477" s="5"/>
      <x:c r="AA477" s="5"/>
      <x:c r="AB477" s="118"/>
      <x:c r="AC477" s="119"/>
      <x:c r="AD477" s="119"/>
      <x:c r="AE477" s="5" t="str">
        <x:f>IF(A477="","",IF(Z477="","Нет ID пары",IF(AND(COUNTIFS($Z$59:$Z$505,Z477,$Y$59:$Y$505,"Оптимальный",$W$59:$W$505,"Рассчитан")=1,COUNTIFS($Z$59:$Z$505,Z477,$Y$59:$Y$505,"Агрессивный",$W$59:$W$505,"Рассчитан")=1),"Да","Нет")))</x:f>
      </x:c>
      <x:c r="AF477" s="5"/>
      <x:c r="AG477" s="5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IF(A478="","",IF(U478="","",IF(U478="Выигрыш",J478-1,IF(U478="Полувыигрыш",(J478-1)/2,IF(U478="Возврат",0,IF(U478="Полупроигрыш",-0.5,IF(U478="Поражение",-1,"Проверить результат")))))))</x:f>
      </x:c>
      <x:c r="W478" s="80" t="str">
        <x:f>IF(A478="","",IF(U478="","Открыт",IF(ISNUMBER(V478),"Рассчитан","Проверить результат")))</x:f>
      </x:c>
      <x:c r="X478" s="98"/>
      <x:c r="Y478" s="5"/>
      <x:c r="Z478" s="5"/>
      <x:c r="AA478" s="5"/>
      <x:c r="AB478" s="118"/>
      <x:c r="AC478" s="119"/>
      <x:c r="AD478" s="119"/>
      <x:c r="AE478" s="5" t="str">
        <x:f>IF(A478="","",IF(Z478="","Нет ID пары",IF(AND(COUNTIFS($Z$59:$Z$505,Z478,$Y$59:$Y$505,"Оптимальный",$W$59:$W$505,"Рассчитан")=1,COUNTIFS($Z$59:$Z$505,Z478,$Y$59:$Y$505,"Агрессивный",$W$59:$W$505,"Рассчитан")=1),"Да","Нет")))</x:f>
      </x:c>
      <x:c r="AF478" s="5"/>
      <x:c r="AG478" s="5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IF(A479="","",IF(U479="","",IF(U479="Выигрыш",J479-1,IF(U479="Полувыигрыш",(J479-1)/2,IF(U479="Возврат",0,IF(U479="Полупроигрыш",-0.5,IF(U479="Поражение",-1,"Проверить результат")))))))</x:f>
      </x:c>
      <x:c r="W479" s="80" t="str">
        <x:f>IF(A479="","",IF(U479="","Открыт",IF(ISNUMBER(V479),"Рассчитан","Проверить результат")))</x:f>
      </x:c>
      <x:c r="X479" s="98"/>
      <x:c r="Y479" s="5"/>
      <x:c r="Z479" s="5"/>
      <x:c r="AA479" s="5"/>
      <x:c r="AB479" s="118"/>
      <x:c r="AC479" s="119"/>
      <x:c r="AD479" s="119"/>
      <x:c r="AE479" s="5" t="str">
        <x:f>IF(A479="","",IF(Z479="","Нет ID пары",IF(AND(COUNTIFS($Z$59:$Z$505,Z479,$Y$59:$Y$505,"Оптимальный",$W$59:$W$505,"Рассчитан")=1,COUNTIFS($Z$59:$Z$505,Z479,$Y$59:$Y$505,"Агрессивный",$W$59:$W$505,"Рассчитан")=1),"Да","Нет")))</x:f>
      </x:c>
      <x:c r="AF479" s="5"/>
      <x:c r="AG479" s="5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IF(A480="","",IF(U480="","",IF(U480="Выигрыш",J480-1,IF(U480="Полувыигрыш",(J480-1)/2,IF(U480="Возврат",0,IF(U480="Полупроигрыш",-0.5,IF(U480="Поражение",-1,"Проверить результат")))))))</x:f>
      </x:c>
      <x:c r="W480" s="80" t="str">
        <x:f>IF(A480="","",IF(U480="","Открыт",IF(ISNUMBER(V480),"Рассчитан","Проверить результат")))</x:f>
      </x:c>
      <x:c r="X480" s="98"/>
      <x:c r="Y480" s="5"/>
      <x:c r="Z480" s="5"/>
      <x:c r="AA480" s="5"/>
      <x:c r="AB480" s="118"/>
      <x:c r="AC480" s="119"/>
      <x:c r="AD480" s="119"/>
      <x:c r="AE480" s="5" t="str">
        <x:f>IF(A480="","",IF(Z480="","Нет ID пары",IF(AND(COUNTIFS($Z$59:$Z$505,Z480,$Y$59:$Y$505,"Оптимальный",$W$59:$W$505,"Рассчитан")=1,COUNTIFS($Z$59:$Z$505,Z480,$Y$59:$Y$505,"Агрессивный",$W$59:$W$505,"Рассчитан")=1),"Да","Нет")))</x:f>
      </x:c>
      <x:c r="AF480" s="5"/>
      <x:c r="AG480" s="5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IF(A481="","",IF(U481="","",IF(U481="Выигрыш",J481-1,IF(U481="Полувыигрыш",(J481-1)/2,IF(U481="Возврат",0,IF(U481="Полупроигрыш",-0.5,IF(U481="Поражение",-1,"Проверить результат")))))))</x:f>
      </x:c>
      <x:c r="W481" s="80" t="str">
        <x:f>IF(A481="","",IF(U481="","Открыт",IF(ISNUMBER(V481),"Рассчитан","Проверить результат")))</x:f>
      </x:c>
      <x:c r="X481" s="98"/>
      <x:c r="Y481" s="5"/>
      <x:c r="Z481" s="5"/>
      <x:c r="AA481" s="5"/>
      <x:c r="AB481" s="118"/>
      <x:c r="AC481" s="119"/>
      <x:c r="AD481" s="119"/>
      <x:c r="AE481" s="5" t="str">
        <x:f>IF(A481="","",IF(Z481="","Нет ID пары",IF(AND(COUNTIFS($Z$59:$Z$505,Z481,$Y$59:$Y$505,"Оптимальный",$W$59:$W$505,"Рассчитан")=1,COUNTIFS($Z$59:$Z$505,Z481,$Y$59:$Y$505,"Агрессивный",$W$59:$W$505,"Рассчитан")=1),"Да","Нет")))</x:f>
      </x:c>
      <x:c r="AF481" s="5"/>
      <x:c r="AG481" s="5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IF(A482="","",IF(U482="","",IF(U482="Выигрыш",J482-1,IF(U482="Полувыигрыш",(J482-1)/2,IF(U482="Возврат",0,IF(U482="Полупроигрыш",-0.5,IF(U482="Поражение",-1,"Проверить результат")))))))</x:f>
      </x:c>
      <x:c r="W482" s="80" t="str">
        <x:f>IF(A482="","",IF(U482="","Открыт",IF(ISNUMBER(V482),"Рассчитан","Проверить результат")))</x:f>
      </x:c>
      <x:c r="X482" s="98"/>
      <x:c r="Y482" s="5"/>
      <x:c r="Z482" s="5"/>
      <x:c r="AA482" s="5"/>
      <x:c r="AB482" s="118"/>
      <x:c r="AC482" s="119"/>
      <x:c r="AD482" s="119"/>
      <x:c r="AE482" s="5" t="str">
        <x:f>IF(A482="","",IF(Z482="","Нет ID пары",IF(AND(COUNTIFS($Z$59:$Z$505,Z482,$Y$59:$Y$505,"Оптимальный",$W$59:$W$505,"Рассчитан")=1,COUNTIFS($Z$59:$Z$505,Z482,$Y$59:$Y$505,"Агрессивный",$W$59:$W$505,"Рассчитан")=1),"Да","Нет")))</x:f>
      </x:c>
      <x:c r="AF482" s="5"/>
      <x:c r="AG482" s="5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IF(A483="","",IF(U483="","",IF(U483="Выигрыш",J483-1,IF(U483="Полувыигрыш",(J483-1)/2,IF(U483="Возврат",0,IF(U483="Полупроигрыш",-0.5,IF(U483="Поражение",-1,"Проверить результат")))))))</x:f>
      </x:c>
      <x:c r="W483" s="80" t="str">
        <x:f>IF(A483="","",IF(U483="","Открыт",IF(ISNUMBER(V483),"Рассчитан","Проверить результат")))</x:f>
      </x:c>
      <x:c r="X483" s="98"/>
      <x:c r="Y483" s="5"/>
      <x:c r="Z483" s="5"/>
      <x:c r="AA483" s="5"/>
      <x:c r="AB483" s="118"/>
      <x:c r="AC483" s="119"/>
      <x:c r="AD483" s="119"/>
      <x:c r="AE483" s="5" t="str">
        <x:f>IF(A483="","",IF(Z483="","Нет ID пары",IF(AND(COUNTIFS($Z$59:$Z$505,Z483,$Y$59:$Y$505,"Оптимальный",$W$59:$W$505,"Рассчитан")=1,COUNTIFS($Z$59:$Z$505,Z483,$Y$59:$Y$505,"Агрессивный",$W$59:$W$505,"Рассчитан")=1),"Да","Нет")))</x:f>
      </x:c>
      <x:c r="AF483" s="5"/>
      <x:c r="AG483" s="5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IF(A484="","",IF(U484="","",IF(U484="Выигрыш",J484-1,IF(U484="Полувыигрыш",(J484-1)/2,IF(U484="Возврат",0,IF(U484="Полупроигрыш",-0.5,IF(U484="Поражение",-1,"Проверить результат")))))))</x:f>
      </x:c>
      <x:c r="W484" s="80" t="str">
        <x:f>IF(A484="","",IF(U484="","Открыт",IF(ISNUMBER(V484),"Рассчитан","Проверить результат")))</x:f>
      </x:c>
      <x:c r="X484" s="98"/>
      <x:c r="Y484" s="5"/>
      <x:c r="Z484" s="5"/>
      <x:c r="AA484" s="5"/>
      <x:c r="AB484" s="118"/>
      <x:c r="AC484" s="119"/>
      <x:c r="AD484" s="119"/>
      <x:c r="AE484" s="5" t="str">
        <x:f>IF(A484="","",IF(Z484="","Нет ID пары",IF(AND(COUNTIFS($Z$59:$Z$505,Z484,$Y$59:$Y$505,"Оптимальный",$W$59:$W$505,"Рассчитан")=1,COUNTIFS($Z$59:$Z$505,Z484,$Y$59:$Y$505,"Агрессивный",$W$59:$W$505,"Рассчитан")=1),"Да","Нет")))</x:f>
      </x:c>
      <x:c r="AF484" s="5"/>
      <x:c r="AG484" s="5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IF(A485="","",IF(U485="","",IF(U485="Выигрыш",J485-1,IF(U485="Полувыигрыш",(J485-1)/2,IF(U485="Возврат",0,IF(U485="Полупроигрыш",-0.5,IF(U485="Поражение",-1,"Проверить результат")))))))</x:f>
      </x:c>
      <x:c r="W485" s="80" t="str">
        <x:f>IF(A485="","",IF(U485="","Открыт",IF(ISNUMBER(V485),"Рассчитан","Проверить результат")))</x:f>
      </x:c>
      <x:c r="X485" s="98"/>
      <x:c r="Y485" s="5"/>
      <x:c r="Z485" s="5"/>
      <x:c r="AA485" s="5"/>
      <x:c r="AB485" s="118"/>
      <x:c r="AC485" s="119"/>
      <x:c r="AD485" s="119"/>
      <x:c r="AE485" s="5" t="str">
        <x:f>IF(A485="","",IF(Z485="","Нет ID пары",IF(AND(COUNTIFS($Z$59:$Z$505,Z485,$Y$59:$Y$505,"Оптимальный",$W$59:$W$505,"Рассчитан")=1,COUNTIFS($Z$59:$Z$505,Z485,$Y$59:$Y$505,"Агрессивный",$W$59:$W$505,"Рассчитан")=1),"Да","Нет")))</x:f>
      </x:c>
      <x:c r="AF485" s="5"/>
      <x:c r="AG485" s="5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IF(A486="","",IF(U486="","",IF(U486="Выигрыш",J486-1,IF(U486="Полувыигрыш",(J486-1)/2,IF(U486="Возврат",0,IF(U486="Полупроигрыш",-0.5,IF(U486="Поражение",-1,"Проверить результат")))))))</x:f>
      </x:c>
      <x:c r="W486" s="80" t="str">
        <x:f>IF(A486="","",IF(U486="","Открыт",IF(ISNUMBER(V486),"Рассчитан","Проверить результат")))</x:f>
      </x:c>
      <x:c r="X486" s="98"/>
      <x:c r="Y486" s="5"/>
      <x:c r="Z486" s="5"/>
      <x:c r="AA486" s="5"/>
      <x:c r="AB486" s="118"/>
      <x:c r="AC486" s="119"/>
      <x:c r="AD486" s="119"/>
      <x:c r="AE486" s="5" t="str">
        <x:f>IF(A486="","",IF(Z486="","Нет ID пары",IF(AND(COUNTIFS($Z$59:$Z$505,Z486,$Y$59:$Y$505,"Оптимальный",$W$59:$W$505,"Рассчитан")=1,COUNTIFS($Z$59:$Z$505,Z486,$Y$59:$Y$505,"Агрессивный",$W$59:$W$505,"Рассчитан")=1),"Да","Нет")))</x:f>
      </x:c>
      <x:c r="AF486" s="5"/>
      <x:c r="AG486" s="5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IF(A487="","",IF(U487="","",IF(U487="Выигрыш",J487-1,IF(U487="Полувыигрыш",(J487-1)/2,IF(U487="Возврат",0,IF(U487="Полупроигрыш",-0.5,IF(U487="Поражение",-1,"Проверить результат")))))))</x:f>
      </x:c>
      <x:c r="W487" s="80" t="str">
        <x:f>IF(A487="","",IF(U487="","Открыт",IF(ISNUMBER(V487),"Рассчитан","Проверить результат")))</x:f>
      </x:c>
      <x:c r="X487" s="98"/>
      <x:c r="Y487" s="5"/>
      <x:c r="Z487" s="5"/>
      <x:c r="AA487" s="5"/>
      <x:c r="AB487" s="118"/>
      <x:c r="AC487" s="119"/>
      <x:c r="AD487" s="119"/>
      <x:c r="AE487" s="5" t="str">
        <x:f>IF(A487="","",IF(Z487="","Нет ID пары",IF(AND(COUNTIFS($Z$59:$Z$505,Z487,$Y$59:$Y$505,"Оптимальный",$W$59:$W$505,"Рассчитан")=1,COUNTIFS($Z$59:$Z$505,Z487,$Y$59:$Y$505,"Агрессивный",$W$59:$W$505,"Рассчитан")=1),"Да","Нет")))</x:f>
      </x:c>
      <x:c r="AF487" s="5"/>
      <x:c r="AG487" s="5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IF(A488="","",IF(U488="","",IF(U488="Выигрыш",J488-1,IF(U488="Полувыигрыш",(J488-1)/2,IF(U488="Возврат",0,IF(U488="Полупроигрыш",-0.5,IF(U488="Поражение",-1,"Проверить результат")))))))</x:f>
      </x:c>
      <x:c r="W488" s="80" t="str">
        <x:f>IF(A488="","",IF(U488="","Открыт",IF(ISNUMBER(V488),"Рассчитан","Проверить результат")))</x:f>
      </x:c>
      <x:c r="X488" s="98"/>
      <x:c r="Y488" s="5"/>
      <x:c r="Z488" s="5"/>
      <x:c r="AA488" s="5"/>
      <x:c r="AB488" s="118"/>
      <x:c r="AC488" s="119"/>
      <x:c r="AD488" s="119"/>
      <x:c r="AE488" s="5" t="str">
        <x:f>IF(A488="","",IF(Z488="","Нет ID пары",IF(AND(COUNTIFS($Z$59:$Z$505,Z488,$Y$59:$Y$505,"Оптимальный",$W$59:$W$505,"Рассчитан")=1,COUNTIFS($Z$59:$Z$505,Z488,$Y$59:$Y$505,"Агрессивный",$W$59:$W$505,"Рассчитан")=1),"Да","Нет")))</x:f>
      </x:c>
      <x:c r="AF488" s="5"/>
      <x:c r="AG488" s="5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IF(A489="","",IF(U489="","",IF(U489="Выигрыш",J489-1,IF(U489="Полувыигрыш",(J489-1)/2,IF(U489="Возврат",0,IF(U489="Полупроигрыш",-0.5,IF(U489="Поражение",-1,"Проверить результат")))))))</x:f>
      </x:c>
      <x:c r="W489" s="80" t="str">
        <x:f>IF(A489="","",IF(U489="","Открыт",IF(ISNUMBER(V489),"Рассчитан","Проверить результат")))</x:f>
      </x:c>
      <x:c r="X489" s="98"/>
      <x:c r="Y489" s="5"/>
      <x:c r="Z489" s="5"/>
      <x:c r="AA489" s="5"/>
      <x:c r="AB489" s="118"/>
      <x:c r="AC489" s="119"/>
      <x:c r="AD489" s="119"/>
      <x:c r="AE489" s="5" t="str">
        <x:f>IF(A489="","",IF(Z489="","Нет ID пары",IF(AND(COUNTIFS($Z$59:$Z$505,Z489,$Y$59:$Y$505,"Оптимальный",$W$59:$W$505,"Рассчитан")=1,COUNTIFS($Z$59:$Z$505,Z489,$Y$59:$Y$505,"Агрессивный",$W$59:$W$505,"Рассчитан")=1),"Да","Нет")))</x:f>
      </x:c>
      <x:c r="AF489" s="5"/>
      <x:c r="AG489" s="5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IF(A490="","",IF(U490="","",IF(U490="Выигрыш",J490-1,IF(U490="Полувыигрыш",(J490-1)/2,IF(U490="Возврат",0,IF(U490="Полупроигрыш",-0.5,IF(U490="Поражение",-1,"Проверить результат")))))))</x:f>
      </x:c>
      <x:c r="W490" s="80" t="str">
        <x:f>IF(A490="","",IF(U490="","Открыт",IF(ISNUMBER(V490),"Рассчитан","Проверить результат")))</x:f>
      </x:c>
      <x:c r="X490" s="98"/>
      <x:c r="Y490" s="5"/>
      <x:c r="Z490" s="5"/>
      <x:c r="AA490" s="5"/>
      <x:c r="AB490" s="118"/>
      <x:c r="AC490" s="119"/>
      <x:c r="AD490" s="119"/>
      <x:c r="AE490" s="5" t="str">
        <x:f>IF(A490="","",IF(Z490="","Нет ID пары",IF(AND(COUNTIFS($Z$59:$Z$505,Z490,$Y$59:$Y$505,"Оптимальный",$W$59:$W$505,"Рассчитан")=1,COUNTIFS($Z$59:$Z$505,Z490,$Y$59:$Y$505,"Агрессивный",$W$59:$W$505,"Рассчитан")=1),"Да","Нет")))</x:f>
      </x:c>
      <x:c r="AF490" s="5"/>
      <x:c r="AG490" s="5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IF(A491="","",IF(U491="","",IF(U491="Выигрыш",J491-1,IF(U491="Полувыигрыш",(J491-1)/2,IF(U491="Возврат",0,IF(U491="Полупроигрыш",-0.5,IF(U491="Поражение",-1,"Проверить результат")))))))</x:f>
      </x:c>
      <x:c r="W491" s="80" t="str">
        <x:f>IF(A491="","",IF(U491="","Открыт",IF(ISNUMBER(V491),"Рассчитан","Проверить результат")))</x:f>
      </x:c>
      <x:c r="X491" s="98"/>
      <x:c r="Y491" s="5"/>
      <x:c r="Z491" s="5"/>
      <x:c r="AA491" s="5"/>
      <x:c r="AB491" s="118"/>
      <x:c r="AC491" s="119"/>
      <x:c r="AD491" s="119"/>
      <x:c r="AE491" s="5" t="str">
        <x:f>IF(A491="","",IF(Z491="","Нет ID пары",IF(AND(COUNTIFS($Z$59:$Z$505,Z491,$Y$59:$Y$505,"Оптимальный",$W$59:$W$505,"Рассчитан")=1,COUNTIFS($Z$59:$Z$505,Z491,$Y$59:$Y$505,"Агрессивный",$W$59:$W$505,"Рассчитан")=1),"Да","Нет")))</x:f>
      </x:c>
      <x:c r="AF491" s="5"/>
      <x:c r="AG491" s="5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IF(A492="","",IF(U492="","",IF(U492="Выигрыш",J492-1,IF(U492="Полувыигрыш",(J492-1)/2,IF(U492="Возврат",0,IF(U492="Полупроигрыш",-0.5,IF(U492="Поражение",-1,"Проверить результат")))))))</x:f>
      </x:c>
      <x:c r="W492" s="80" t="str">
        <x:f>IF(A492="","",IF(U492="","Открыт",IF(ISNUMBER(V492),"Рассчитан","Проверить результат")))</x:f>
      </x:c>
      <x:c r="X492" s="98"/>
      <x:c r="Y492" s="5"/>
      <x:c r="Z492" s="5"/>
      <x:c r="AA492" s="5"/>
      <x:c r="AB492" s="118"/>
      <x:c r="AC492" s="119"/>
      <x:c r="AD492" s="119"/>
      <x:c r="AE492" s="5" t="str">
        <x:f>IF(A492="","",IF(Z492="","Нет ID пары",IF(AND(COUNTIFS($Z$59:$Z$505,Z492,$Y$59:$Y$505,"Оптимальный",$W$59:$W$505,"Рассчитан")=1,COUNTIFS($Z$59:$Z$505,Z492,$Y$59:$Y$505,"Агрессивный",$W$59:$W$505,"Рассчитан")=1),"Да","Нет")))</x:f>
      </x:c>
      <x:c r="AF492" s="5"/>
      <x:c r="AG492" s="5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IF(A493="","",IF(U493="","",IF(U493="Выигрыш",J493-1,IF(U493="Полувыигрыш",(J493-1)/2,IF(U493="Возврат",0,IF(U493="Полупроигрыш",-0.5,IF(U493="Поражение",-1,"Проверить результат")))))))</x:f>
      </x:c>
      <x:c r="W493" s="80" t="str">
        <x:f>IF(A493="","",IF(U493="","Открыт",IF(ISNUMBER(V493),"Рассчитан","Проверить результат")))</x:f>
      </x:c>
      <x:c r="X493" s="98"/>
      <x:c r="Y493" s="5"/>
      <x:c r="Z493" s="5"/>
      <x:c r="AA493" s="5"/>
      <x:c r="AB493" s="118"/>
      <x:c r="AC493" s="119"/>
      <x:c r="AD493" s="119"/>
      <x:c r="AE493" s="5" t="str">
        <x:f>IF(A493="","",IF(Z493="","Нет ID пары",IF(AND(COUNTIFS($Z$59:$Z$505,Z493,$Y$59:$Y$505,"Оптимальный",$W$59:$W$505,"Рассчитан")=1,COUNTIFS($Z$59:$Z$505,Z493,$Y$59:$Y$505,"Агрессивный",$W$59:$W$505,"Рассчитан")=1),"Да","Нет")))</x:f>
      </x:c>
      <x:c r="AF493" s="5"/>
      <x:c r="AG493" s="5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IF(A494="","",IF(U494="","",IF(U494="Выигрыш",J494-1,IF(U494="Полувыигрыш",(J494-1)/2,IF(U494="Возврат",0,IF(U494="Полупроигрыш",-0.5,IF(U494="Поражение",-1,"Проверить результат")))))))</x:f>
      </x:c>
      <x:c r="W494" s="80" t="str">
        <x:f>IF(A494="","",IF(U494="","Открыт",IF(ISNUMBER(V494),"Рассчитан","Проверить результат")))</x:f>
      </x:c>
      <x:c r="X494" s="98"/>
      <x:c r="Y494" s="5"/>
      <x:c r="Z494" s="5"/>
      <x:c r="AA494" s="5"/>
      <x:c r="AB494" s="118"/>
      <x:c r="AC494" s="119"/>
      <x:c r="AD494" s="119"/>
      <x:c r="AE494" s="5" t="str">
        <x:f>IF(A494="","",IF(Z494="","Нет ID пары",IF(AND(COUNTIFS($Z$59:$Z$505,Z494,$Y$59:$Y$505,"Оптимальный",$W$59:$W$505,"Рассчитан")=1,COUNTIFS($Z$59:$Z$505,Z494,$Y$59:$Y$505,"Агрессивный",$W$59:$W$505,"Рассчитан")=1),"Да","Нет")))</x:f>
      </x:c>
      <x:c r="AF494" s="5"/>
      <x:c r="AG494" s="5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IF(A495="","",IF(U495="","",IF(U495="Выигрыш",J495-1,IF(U495="Полувыигрыш",(J495-1)/2,IF(U495="Возврат",0,IF(U495="Полупроигрыш",-0.5,IF(U495="Поражение",-1,"Проверить результат")))))))</x:f>
      </x:c>
      <x:c r="W495" s="80" t="str">
        <x:f>IF(A495="","",IF(U495="","Открыт",IF(ISNUMBER(V495),"Рассчитан","Проверить результат")))</x:f>
      </x:c>
      <x:c r="X495" s="98"/>
      <x:c r="Y495" s="5"/>
      <x:c r="Z495" s="5"/>
      <x:c r="AA495" s="5"/>
      <x:c r="AB495" s="118"/>
      <x:c r="AC495" s="119"/>
      <x:c r="AD495" s="119"/>
      <x:c r="AE495" s="5" t="str">
        <x:f>IF(A495="","",IF(Z495="","Нет ID пары",IF(AND(COUNTIFS($Z$59:$Z$505,Z495,$Y$59:$Y$505,"Оптимальный",$W$59:$W$505,"Рассчитан")=1,COUNTIFS($Z$59:$Z$505,Z495,$Y$59:$Y$505,"Агрессивный",$W$59:$W$505,"Рассчитан")=1),"Да","Нет")))</x:f>
      </x:c>
      <x:c r="AF495" s="5"/>
      <x:c r="AG495" s="5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IF(A496="","",IF(U496="","",IF(U496="Выигрыш",J496-1,IF(U496="Полувыигрыш",(J496-1)/2,IF(U496="Возврат",0,IF(U496="Полупроигрыш",-0.5,IF(U496="Поражение",-1,"Проверить результат")))))))</x:f>
      </x:c>
      <x:c r="W496" s="80" t="str">
        <x:f>IF(A496="","",IF(U496="","Открыт",IF(ISNUMBER(V496),"Рассчитан","Проверить результат")))</x:f>
      </x:c>
      <x:c r="X496" s="98"/>
      <x:c r="Y496" s="5"/>
      <x:c r="Z496" s="5"/>
      <x:c r="AA496" s="5"/>
      <x:c r="AB496" s="118"/>
      <x:c r="AC496" s="119"/>
      <x:c r="AD496" s="119"/>
      <x:c r="AE496" s="5" t="str">
        <x:f>IF(A496="","",IF(Z496="","Нет ID пары",IF(AND(COUNTIFS($Z$59:$Z$505,Z496,$Y$59:$Y$505,"Оптимальный",$W$59:$W$505,"Рассчитан")=1,COUNTIFS($Z$59:$Z$505,Z496,$Y$59:$Y$505,"Агрессивный",$W$59:$W$505,"Рассчитан")=1),"Да","Нет")))</x:f>
      </x:c>
      <x:c r="AF496" s="5"/>
      <x:c r="AG496" s="5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IF(A497="","",IF(U497="","",IF(U497="Выигрыш",J497-1,IF(U497="Полувыигрыш",(J497-1)/2,IF(U497="Возврат",0,IF(U497="Полупроигрыш",-0.5,IF(U497="Поражение",-1,"Проверить результат")))))))</x:f>
      </x:c>
      <x:c r="W497" s="80" t="str">
        <x:f>IF(A497="","",IF(U497="","Открыт",IF(ISNUMBER(V497),"Рассчитан","Проверить результат")))</x:f>
      </x:c>
      <x:c r="X497" s="98"/>
      <x:c r="Y497" s="5"/>
      <x:c r="Z497" s="5"/>
      <x:c r="AA497" s="5"/>
      <x:c r="AB497" s="118"/>
      <x:c r="AC497" s="119"/>
      <x:c r="AD497" s="119"/>
      <x:c r="AE497" s="5" t="str">
        <x:f>IF(A497="","",IF(Z497="","Нет ID пары",IF(AND(COUNTIFS($Z$59:$Z$505,Z497,$Y$59:$Y$505,"Оптимальный",$W$59:$W$505,"Рассчитан")=1,COUNTIFS($Z$59:$Z$505,Z497,$Y$59:$Y$505,"Агрессивный",$W$59:$W$505,"Рассчитан")=1),"Да","Нет")))</x:f>
      </x:c>
      <x:c r="AF497" s="5"/>
      <x:c r="AG497" s="5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IF(A498="","",IF(U498="","",IF(U498="Выигрыш",J498-1,IF(U498="Полувыигрыш",(J498-1)/2,IF(U498="Возврат",0,IF(U498="Полупроигрыш",-0.5,IF(U498="Поражение",-1,"Проверить результат")))))))</x:f>
      </x:c>
      <x:c r="W498" s="80" t="str">
        <x:f>IF(A498="","",IF(U498="","Открыт",IF(ISNUMBER(V498),"Рассчитан","Проверить результат")))</x:f>
      </x:c>
      <x:c r="X498" s="98"/>
      <x:c r="Y498" s="5"/>
      <x:c r="Z498" s="5"/>
      <x:c r="AA498" s="5"/>
      <x:c r="AB498" s="118"/>
      <x:c r="AC498" s="119"/>
      <x:c r="AD498" s="119"/>
      <x:c r="AE498" s="5" t="str">
        <x:f>IF(A498="","",IF(Z498="","Нет ID пары",IF(AND(COUNTIFS($Z$59:$Z$505,Z498,$Y$59:$Y$505,"Оптимальный",$W$59:$W$505,"Рассчитан")=1,COUNTIFS($Z$59:$Z$505,Z498,$Y$59:$Y$505,"Агрессивный",$W$59:$W$505,"Рассчитан")=1),"Да","Нет")))</x:f>
      </x:c>
      <x:c r="AF498" s="5"/>
      <x:c r="AG498" s="5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IF(A499="","",IF(U499="","",IF(U499="Выигрыш",J499-1,IF(U499="Полувыигрыш",(J499-1)/2,IF(U499="Возврат",0,IF(U499="Полупроигрыш",-0.5,IF(U499="Поражение",-1,"Проверить результат")))))))</x:f>
      </x:c>
      <x:c r="W499" s="80" t="str">
        <x:f>IF(A499="","",IF(U499="","Открыт",IF(ISNUMBER(V499),"Рассчитан","Проверить результат")))</x:f>
      </x:c>
      <x:c r="X499" s="98"/>
      <x:c r="Y499" s="5"/>
      <x:c r="Z499" s="5"/>
      <x:c r="AA499" s="5"/>
      <x:c r="AB499" s="118"/>
      <x:c r="AC499" s="119"/>
      <x:c r="AD499" s="119"/>
      <x:c r="AE499" s="5" t="str">
        <x:f>IF(A499="","",IF(Z499="","Нет ID пары",IF(AND(COUNTIFS($Z$59:$Z$505,Z499,$Y$59:$Y$505,"Оптимальный",$W$59:$W$505,"Рассчитан")=1,COUNTIFS($Z$59:$Z$505,Z499,$Y$59:$Y$505,"Агрессивный",$W$59:$W$505,"Рассчитан")=1),"Да","Нет")))</x:f>
      </x:c>
      <x:c r="AF499" s="5"/>
      <x:c r="AG499" s="5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IF(A500="","",IF(U500="","",IF(U500="Выигрыш",J500-1,IF(U500="Полувыигрыш",(J500-1)/2,IF(U500="Возврат",0,IF(U500="Полупроигрыш",-0.5,IF(U500="Поражение",-1,"Проверить результат")))))))</x:f>
      </x:c>
      <x:c r="W500" s="80" t="str">
        <x:f>IF(A500="","",IF(U500="","Открыт",IF(ISNUMBER(V500),"Рассчитан","Проверить результат")))</x:f>
      </x:c>
      <x:c r="X500" s="98"/>
      <x:c r="Y500" s="5"/>
      <x:c r="Z500" s="5"/>
      <x:c r="AA500" s="5"/>
      <x:c r="AB500" s="118"/>
      <x:c r="AC500" s="119"/>
      <x:c r="AD500" s="119"/>
      <x:c r="AE500" s="5" t="str">
        <x:f>IF(A500="","",IF(Z500="","Нет ID пары",IF(AND(COUNTIFS($Z$59:$Z$505,Z500,$Y$59:$Y$505,"Оптимальный",$W$59:$W$505,"Рассчитан")=1,COUNTIFS($Z$59:$Z$505,Z500,$Y$59:$Y$505,"Агрессивный",$W$59:$W$505,"Рассчитан")=1),"Да","Нет")))</x:f>
      </x:c>
      <x:c r="AF500" s="5"/>
      <x:c r="AG500" s="5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IF(A501="","",IF(U501="","",IF(U501="Выигрыш",J501-1,IF(U501="Полувыигрыш",(J501-1)/2,IF(U501="Возврат",0,IF(U501="Полупроигрыш",-0.5,IF(U501="Поражение",-1,"Проверить результат")))))))</x:f>
      </x:c>
      <x:c r="W501" s="80" t="str">
        <x:f>IF(A501="","",IF(U501="","Открыт",IF(ISNUMBER(V501),"Рассчитан","Проверить результат")))</x:f>
      </x:c>
      <x:c r="X501" s="98"/>
      <x:c r="Y501" s="5"/>
      <x:c r="Z501" s="5"/>
      <x:c r="AA501" s="5"/>
      <x:c r="AB501" s="118"/>
      <x:c r="AC501" s="119"/>
      <x:c r="AD501" s="119"/>
      <x:c r="AE501" s="5" t="str">
        <x:f>IF(A501="","",IF(Z501="","Нет ID пары",IF(AND(COUNTIFS($Z$59:$Z$505,Z501,$Y$59:$Y$505,"Оптимальный",$W$59:$W$505,"Рассчитан")=1,COUNTIFS($Z$59:$Z$505,Z501,$Y$59:$Y$505,"Агрессивный",$W$59:$W$505,"Рассчитан")=1),"Да","Нет")))</x:f>
      </x:c>
      <x:c r="AF501" s="5"/>
      <x:c r="AG501" s="5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IF(A502="","",IF(U502="","",IF(U502="Выигрыш",J502-1,IF(U502="Полувыигрыш",(J502-1)/2,IF(U502="Возврат",0,IF(U502="Полупроигрыш",-0.5,IF(U502="Поражение",-1,"Проверить результат")))))))</x:f>
      </x:c>
      <x:c r="W502" s="80" t="str">
        <x:f>IF(A502="","",IF(U502="","Открыт",IF(ISNUMBER(V502),"Рассчитан","Проверить результат")))</x:f>
      </x:c>
      <x:c r="X502" s="98"/>
      <x:c r="Y502" s="5"/>
      <x:c r="Z502" s="5"/>
      <x:c r="AA502" s="5"/>
      <x:c r="AB502" s="118"/>
      <x:c r="AC502" s="119"/>
      <x:c r="AD502" s="119"/>
      <x:c r="AE502" s="5" t="str">
        <x:f>IF(A502="","",IF(Z502="","Нет ID пары",IF(AND(COUNTIFS($Z$59:$Z$505,Z502,$Y$59:$Y$505,"Оптимальный",$W$59:$W$505,"Рассчитан")=1,COUNTIFS($Z$59:$Z$505,Z502,$Y$59:$Y$505,"Агрессивный",$W$59:$W$505,"Рассчитан")=1),"Да","Нет")))</x:f>
      </x:c>
      <x:c r="AF502" s="5"/>
      <x:c r="AG502" s="5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IF(A503="","",IF(U503="","",IF(U503="Выигрыш",J503-1,IF(U503="Полувыигрыш",(J503-1)/2,IF(U503="Возврат",0,IF(U503="Полупроигрыш",-0.5,IF(U503="Поражение",-1,"Проверить результат")))))))</x:f>
      </x:c>
      <x:c r="W503" s="80" t="str">
        <x:f>IF(A503="","",IF(U503="","Открыт",IF(ISNUMBER(V503),"Рассчитан","Проверить результат")))</x:f>
      </x:c>
      <x:c r="X503" s="98"/>
      <x:c r="Y503" s="5"/>
      <x:c r="Z503" s="5"/>
      <x:c r="AA503" s="5"/>
      <x:c r="AB503" s="118"/>
      <x:c r="AC503" s="119"/>
      <x:c r="AD503" s="119"/>
      <x:c r="AE503" s="5" t="str">
        <x:f>IF(A503="","",IF(Z503="","Нет ID пары",IF(AND(COUNTIFS($Z$59:$Z$505,Z503,$Y$59:$Y$505,"Оптимальный",$W$59:$W$505,"Рассчитан")=1,COUNTIFS($Z$59:$Z$505,Z503,$Y$59:$Y$505,"Агрессивный",$W$59:$W$505,"Рассчитан")=1),"Да","Нет")))</x:f>
      </x:c>
      <x:c r="AF503" s="5"/>
      <x:c r="AG503" s="5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IF(A504="","",IF(U504="","",IF(U504="Выигрыш",J504-1,IF(U504="Полувыигрыш",(J504-1)/2,IF(U504="Возврат",0,IF(U504="Полупроигрыш",-0.5,IF(U504="Поражение",-1,"Проверить результат")))))))</x:f>
      </x:c>
      <x:c r="W504" s="80" t="str">
        <x:f>IF(A504="","",IF(U504="","Открыт",IF(ISNUMBER(V504),"Рассчитан","Проверить результат")))</x:f>
      </x:c>
      <x:c r="X504" s="98"/>
      <x:c r="Y504" s="5"/>
      <x:c r="Z504" s="5"/>
      <x:c r="AA504" s="5"/>
      <x:c r="AB504" s="118"/>
      <x:c r="AC504" s="119"/>
      <x:c r="AD504" s="119"/>
      <x:c r="AE504" s="5" t="str">
        <x:f>IF(A504="","",IF(Z504="","Нет ID пары",IF(AND(COUNTIFS($Z$59:$Z$505,Z504,$Y$59:$Y$505,"Оптимальный",$W$59:$W$505,"Рассчитан")=1,COUNTIFS($Z$59:$Z$505,Z504,$Y$59:$Y$505,"Агрессивный",$W$59:$W$505,"Рассчитан")=1),"Да","Нет")))</x:f>
      </x:c>
      <x:c r="AF504" s="5"/>
      <x:c r="AG504" s="5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IF(A505="","",IF(U505="","",IF(U505="Выигрыш",J505-1,IF(U505="Полувыигрыш",(J505-1)/2,IF(U505="Возврат",0,IF(U505="Полупроигрыш",-0.5,IF(U505="Поражение",-1,"Проверить результат")))))))</x:f>
      </x:c>
      <x:c r="W505" s="81" t="str">
        <x:f>IF(A505="","",IF(U505="","Открыт",IF(ISNUMBER(V505),"Рассчитан","Проверить результат")))</x:f>
      </x:c>
      <x:c r="X505" s="102"/>
      <x:c r="Y505" s="5"/>
      <x:c r="Z505" s="5"/>
      <x:c r="AA505" s="5"/>
      <x:c r="AB505" s="118"/>
      <x:c r="AC505" s="119"/>
      <x:c r="AD505" s="119"/>
      <x:c r="AE505" s="5" t="str">
        <x:f>IF(A505="","",IF(Z505="","Нет ID пары",IF(AND(COUNTIFS($Z$59:$Z$505,Z505,$Y$59:$Y$505,"Оптимальный",$W$59:$W$505,"Рассчитан")=1,COUNTIFS($Z$59:$Z$505,Z505,$Y$59:$Y$505,"Агрессивный",$W$59:$W$505,"Рассчитан")=1),"Да","Нет")))</x:f>
      </x:c>
      <x:c r="AF505" s="5"/>
      <x:c r="AG505" s="5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4">
    <x:dataValidation type="list" sqref="U6:U505">
      <x:formula1>"Выигрыш,Полувыигрыш,Возврат,Полупроигрыш,Поражение"</x:formula1>
    </x:dataValidation>
    <x:dataValidation type="list" sqref="Q6:Q505">
      <x:formula1>"ПОДХОДИТ В LIVE"</x:formula1>
    </x:dataValidation>
    <x:dataValidation type="list" sqref="Y59:Y505">
      <x:formula1>"Оптимальный,Агрессивный"</x:formula1>
    </x:dataValidation>
    <x:dataValidation type="list" sqref="AA59:AA505">
      <x:formula1>"Матч,1-й тайм"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Фиксируются только показанные пользователю решения ПОДХОДИТ В LIVE: оптимальный и обоснованный агрессивный вариант. Наблюдение и пропуск не входят в итог.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прогноз равен 1 условной единице. В этой книге нет реальных сумм или фактических выборов пользователя.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ТБ live v2 от 14.10.2026. Исторические записи v1 сохраняются без переклассификации.</x:v>
      </x:c>
    </x:row>
    <x:row r="17" ht="55" customHeight="1">
      <x:c r="A17" s="134" t="str">
        <x:v>Порядок</x:v>
      </x:c>
      <x:c r="B17" s="133" t="str">
        <x:v>Сначала быстрый текстовый вывод кандидатов в чате. Затем, пока пользователь изучает вывод, запись обеих линий в дневник. Завершение ответа после проверки сохранения; фонового наблюдения нет.</x:v>
      </x:c>
    </x:row>
    <x:row r="18" ht="55" customHeight="1">
      <x:c r="A18" s="134" t="str">
        <x:v>Контуры</x:v>
      </x:c>
      <x:c r="B18" s="133" t="str">
        <x:v>Live ТБ: Оптимальный и Агрессивный. Фактические выборы: только отдельный Дневник исходов.xlsx.</x:v>
      </x:c>
    </x:row>
    <x:row r="19" ht="55" customHeight="1">
      <x:c r="A19" s="134" t="str">
        <x:v>Пары</x:v>
      </x:c>
      <x:c r="B19" s="133" t="str">
        <x:v>Один ID пары связывает два варианта одного матча, выбранные из одного снимка. Для общей выборки сравнения нужны оба рассчитанных варианта.</x:v>
      </x:c>
    </x:row>
    <x:row r="20" ht="55" customHeight="1">
      <x:c r="A20" s="134" t="str">
        <x:v>Повтор</x:v>
      </x:c>
      <x:c r="B20" s="133" t="str">
        <x:v>Повтор того же снимка и варианта не дублировать. Новый проход может дать новую пару с новым ID; исходные цены прежней пары сохраняются. Повторные решения по матчу зависимы, при сравнении отдельно считать уникальные матчи.</x:v>
      </x:c>
    </x:row>
    <x:row r="21" ht="55" customHeight="1">
      <x:c r="A21" s="134" t="str">
        <x:v>Недостающий вариант</x:v>
      </x:c>
      <x:c r="B21" s="133" t="str">
        <x:v>Если агрессивный вариант не обоснован или котировка недоступна, он не создаётся. Оптимальный остаётся в своей выборке, но не в парном сравнении.</x:v>
      </x:c>
    </x:row>
    <x:row r="22" ht="55" customHeight="1">
      <x:c r="A22" s="134" t="str">
        <x:v>Расчёт периода</x:v>
      </x:c>
      <x:c r="B22" s="133" t="str">
        <x:v>ТБ матча рассчитывается по финальному счёту матча, ТБ 1-го тайма по счёту к перерыву. В столбце финального счёта указывать счёт нужного периода.</x:v>
      </x:c>
    </x:row>
    <x:row r="23" ht="55" customHeight="1">
      <x:c r="A23" s="134" t="str">
        <x:v>Результаты</x:v>
      </x:c>
      <x:c r="B23" s="133" t="str">
        <x:v>После первичного ответа по следующему live или по запросу проверять завершение ранее записанных матчей. Обновлять только подтверждённые результаты, фиксировать источник. Незавершённые и непроверенные сохранять открытыми.</x:v>
      </x:c>
    </x:row>
    <x:row r="24" ht="55" customHeight="1">
      <x:c r="A24" s="134" t="str">
        <x:v>Сравнение</x:v>
      </x:c>
      <x:c r="B24" s="133" t="str">
        <x:v>Сравнивать отдельно ROI каждого контура, затем ROI по общим парам. Сравнение с пользователем выполнять по одинаковым матчам и отдельно по всему фактическому дневнику.</x:v>
      </x:c>
    </x:row>
    <x:row r="25" ht="55" customHeight="1">
      <x:c r="A25" s="134" t="str">
        <x:v>История</x:v>
      </x:c>
      <x:c r="B25" s="133" t="str">
        <x:v>Сохранены исходные данные 48 ранних прогнозов; результаты и ещё 5 live-прогнозов добавлены из итогового отчёта. 53 решения: +3,70 ед. и ROI 6,98%. Два прематчевых варианта сохранены только в архиве источника.</x:v>
      </x:c>
    </x:row>
  </x:sheetData>
  <x:mergeCells>
    <x:mergeCell ref="A2:F2"/>
  </x:mergeCells>
  <x:pageMargins left="0.7" right="0.7" top="0.75" bottom="0.75" header="0.3" footer="0.3"/>
</x:worksheet>
</file>