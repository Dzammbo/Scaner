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3dc5aa57f3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ba0e1b21a1f4ad5"/>
    <x:sheet xmlns:r="http://schemas.openxmlformats.org/officeDocument/2006/relationships" name="Реестр" sheetId="2" r:id="R3b09298c027245c6"/>
    <x:sheet xmlns:r="http://schemas.openxmlformats.org/officeDocument/2006/relationships" name="Правила" sheetId="3" r:id="R41a58ae6ab2748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0"/>
    <x:numFmt numFmtId="202" formatCode="0.0%"/>
    <x:numFmt numFmtId="203" formatCode="dd.mm.yyyy hh:mm"/>
    <x:numFmt numFmtId="204" formatCode="dd.mm.yyyy hh:mm:ss"/>
  </x:numFmts>
  <x:fonts count="8">
    <x:font>
      <x:sz val="11"/>
      <x:name val="Carlito"/>
    </x:font>
    <x:font>
      <x:b/>
      <x:sz val="15"/>
      <x:color rgb="FF1F1F1F"/>
      <x:name val="Times New Roman"/>
    </x:font>
    <x:font>
      <x:i/>
      <x:sz val="11"/>
      <x:color rgb="FF666666"/>
      <x:name val="Times New Roman"/>
    </x:font>
    <x:font>
      <x:sz val="11"/>
      <x:name val="Times New Roman"/>
    </x:font>
    <x:font>
      <x:b/>
      <x:sz val="11"/>
      <x:color rgb="FFFFFFFF"/>
      <x:name val="Times New Roman"/>
    </x:font>
    <x:font>
      <x:b/>
      <x:sz val="11"/>
      <x:name val="Times New Roman"/>
    </x:font>
    <x:font>
      <x:b/>
      <x:sz val="15"/>
      <x:name val="Times New Roman"/>
    </x:font>
    <x:font>
      <x:sz val="11"/>
      <x:color rgb="FF666666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3F6F8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14">
    <x:border>
      <x:left/>
      <x:right/>
      <x:top/>
      <x:bottom/>
      <x:diagonal/>
    </x:border>
    <x:border>
      <x:left/>
      <x:right/>
      <x:top/>
      <x:bottom style="thin">
        <x:color rgb="FF7F8C8D"/>
      </x:bottom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  <x:border>
      <x:left/>
      <x:right/>
      <x:top style="thin">
        <x:color rgb="FFB7C9D6"/>
      </x:top>
      <x:bottom/>
      <x:diagonal/>
    </x:border>
    <x:border>
      <x:left/>
      <x:right/>
      <x:top/>
      <x:bottom style="thin">
        <x:color rgb="FFB7C9D6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 style="thin">
        <x:color rgb="FFD9E2F3"/>
      </x:top>
      <x:bottom style="thin">
        <x:color rgb="FFD9E2F3"/>
      </x:bottom>
      <x:diagonal/>
    </x:border>
    <x:border>
      <x:left/>
      <x:right/>
      <x:top style="thin">
        <x:color rgb="FFD9E2F3"/>
      </x:top>
      <x:bottom/>
      <x:diagonal/>
    </x:border>
  </x:borders>
  <x:cellStyleXfs count="1">
    <x:xf numFmtId="0" fontId="0" fillId="0" borderId="0"/>
  </x:cellStyleXfs>
  <x:cellXfs count="1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3" borderId="4" xfId="0" applyNumberFormat="1" applyFont="1" applyFill="1" applyBorder="1"/>
    <x:xf numFmtId="0" fontId="3" fillId="3" borderId="6" xfId="0" applyNumberFormat="1" applyFont="1" applyFill="1" applyBorder="1"/>
    <x:xf numFmtId="0" fontId="3" fillId="0" borderId="5" xfId="0" applyNumberFormat="1" applyFont="1" applyFill="1" applyBorder="1" applyAlignment="1">
      <x:alignment horizontal="right"/>
    </x:xf>
    <x:xf numFmtId="0" fontId="3" fillId="0" borderId="7" xfId="0" applyNumberFormat="1" applyFont="1" applyFill="1" applyBorder="1" applyAlignment="1">
      <x:alignment horizontal="right"/>
    </x:xf>
    <x:xf numFmtId="200" fontId="3" fillId="0" borderId="5" xfId="0" applyNumberFormat="1" applyFont="1" applyFill="1" applyBorder="1" applyAlignment="1">
      <x:alignment horizontal="right"/>
    </x:xf>
    <x:xf numFmtId="201" fontId="3" fillId="0" borderId="5" xfId="0" applyNumberFormat="1" applyFont="1" applyFill="1" applyBorder="1" applyAlignment="1">
      <x:alignment horizontal="right"/>
    </x:xf>
    <x:xf numFmtId="202" fontId="3" fillId="0" borderId="5" xfId="0" applyNumberFormat="1" applyFont="1" applyFill="1" applyBorder="1" applyAlignment="1">
      <x:alignment horizontal="right"/>
    </x:xf>
    <x:xf numFmtId="203" fontId="3" fillId="0" borderId="7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8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9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horizontal="right" vertical="center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horizontal="right" vertical="center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202" fontId="3" fillId="0" borderId="5" xfId="0" applyNumberFormat="1" applyFont="1" applyFill="1" applyBorder="1" applyAlignment="1">
      <x:alignment horizontal="right" vertical="center"/>
    </x:xf>
    <x:xf numFmtId="0" fontId="3" fillId="3" borderId="6" xfId="0" applyNumberFormat="1" applyFont="1" applyFill="1" applyBorder="1" applyAlignment="1">
      <x:alignment vertical="center"/>
    </x:xf>
    <x:xf numFmtId="203" fontId="3" fillId="0" borderId="7" xfId="0" applyNumberFormat="1" applyFont="1" applyFill="1" applyBorder="1" applyAlignment="1">
      <x:alignment horizontal="right" vertical="center"/>
    </x:xf>
    <x:xf numFmtId="0" fontId="4" fillId="2" borderId="10" xfId="0" applyNumberFormat="1" applyFont="1" applyFill="1" applyBorder="1"/>
    <x:xf numFmtId="0" fontId="4" fillId="2" borderId="10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horizont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3" fillId="0" borderId="13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horizontal="center" vertical="center"/>
    </x:xf>
    <x:xf numFmtId="0" fontId="3" fillId="0" borderId="12" xfId="0" applyNumberFormat="1" applyFont="1" applyFill="1" applyBorder="1" applyAlignment="1">
      <x:alignment horizontal="center" vertical="center"/>
    </x:xf>
    <x:xf numFmtId="0" fontId="3" fillId="0" borderId="13" xfId="0" applyNumberFormat="1" applyFont="1" applyFill="1" applyBorder="1" applyAlignment="1">
      <x:alignment horizontal="center" vertical="center"/>
    </x:xf>
    <x:xf numFmtId="203" fontId="3" fillId="0" borderId="11" xfId="0" applyNumberFormat="1" applyFont="1" applyFill="1" applyBorder="1" applyAlignment="1">
      <x:alignment horizontal="center" vertical="center"/>
    </x:xf>
    <x:xf numFmtId="203" fontId="3" fillId="0" borderId="12" xfId="0" applyNumberFormat="1" applyFont="1" applyFill="1" applyBorder="1" applyAlignment="1">
      <x:alignment horizontal="center" vertical="center"/>
    </x:xf>
    <x:xf numFmtId="203" fontId="3" fillId="0" borderId="13" xfId="0" applyNumberFormat="1" applyFont="1" applyFill="1" applyBorder="1" applyAlignment="1">
      <x:alignment horizontal="center" vertical="center"/>
    </x:xf>
    <x:xf numFmtId="200" fontId="3" fillId="0" borderId="11" xfId="0" applyNumberFormat="1" applyFont="1" applyFill="1" applyBorder="1" applyAlignment="1">
      <x:alignment horizontal="center" vertical="center"/>
    </x:xf>
    <x:xf numFmtId="200" fontId="3" fillId="0" borderId="12" xfId="0" applyNumberFormat="1" applyFont="1" applyFill="1" applyBorder="1" applyAlignment="1">
      <x:alignment horizontal="center" vertical="center"/>
    </x:xf>
    <x:xf numFmtId="200" fontId="3" fillId="0" borderId="13" xfId="0" applyNumberFormat="1" applyFont="1" applyFill="1" applyBorder="1" applyAlignment="1">
      <x:alignment horizontal="center" vertical="center"/>
    </x:xf>
    <x:xf numFmtId="201" fontId="3" fillId="0" borderId="11" xfId="0" applyNumberFormat="1" applyFont="1" applyFill="1" applyBorder="1" applyAlignment="1">
      <x:alignment horizontal="center" vertical="center"/>
    </x:xf>
    <x:xf numFmtId="201" fontId="3" fillId="0" borderId="12" xfId="0" applyNumberFormat="1" applyFont="1" applyFill="1" applyBorder="1" applyAlignment="1">
      <x:alignment horizontal="center" vertical="center"/>
    </x:xf>
    <x:xf numFmtId="201" fontId="3" fillId="0" borderId="13" xfId="0" applyNumberFormat="1" applyFont="1" applyFill="1" applyBorder="1" applyAlignment="1">
      <x:alignment horizontal="center" vertical="center"/>
    </x:xf>
    <x:xf numFmtId="0" fontId="3" fillId="0" borderId="11" xfId="0" applyNumberFormat="1" applyFont="1" applyFill="1" applyBorder="1" applyAlignment="1">
      <x:alignment horizontal="center" vertical="center" wrapText="1"/>
    </x:xf>
    <x:xf numFmtId="201" fontId="3" fillId="0" borderId="11" xfId="0" applyNumberFormat="1" applyFont="1" applyFill="1" applyBorder="1" applyAlignment="1">
      <x:alignment horizontal="center" vertical="center" wrapText="1"/>
    </x:xf>
    <x:xf numFmtId="200" fontId="3" fillId="0" borderId="11" xfId="0" applyNumberFormat="1" applyFont="1" applyFill="1" applyBorder="1" applyAlignment="1">
      <x:alignment horizontal="center"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horizontal="center" vertical="center" wrapText="1"/>
    </x:xf>
    <x:xf numFmtId="201" fontId="3" fillId="0" borderId="12" xfId="0" applyNumberFormat="1" applyFont="1" applyFill="1" applyBorder="1" applyAlignment="1">
      <x:alignment horizontal="center" vertical="center" wrapText="1"/>
    </x:xf>
    <x:xf numFmtId="200" fontId="3" fillId="0" borderId="12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horizontal="center" vertical="center" wrapText="1"/>
    </x:xf>
    <x:xf numFmtId="201" fontId="3" fillId="0" borderId="13" xfId="0" applyNumberFormat="1" applyFont="1" applyFill="1" applyBorder="1" applyAlignment="1">
      <x:alignment horizontal="center" vertical="center" wrapText="1"/>
    </x:xf>
    <x:xf numFmtId="200" fontId="3" fillId="0" borderId="13" xfId="0" applyNumberFormat="1" applyFont="1" applyFill="1" applyBorder="1" applyAlignment="1">
      <x:alignment horizontal="center"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4" xfId="0" applyNumberFormat="1" applyFont="1" applyFill="1" applyBorder="1"/>
    <x:xf numFmtId="0" fontId="5" fillId="3" borderId="6" xfId="0" applyNumberFormat="1" applyFont="1" applyFill="1" applyBorder="1"/>
    <x:xf numFmtId="0" fontId="5" fillId="3" borderId="4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5" fillId="3" borderId="6" xfId="0" applyNumberFormat="1" applyFont="1" applyFill="1" applyBorder="1" applyAlignment="1">
      <x:alignment vertical="top"/>
    </x:xf>
    <x:xf numFmtId="0" fontId="3" fillId="0" borderId="7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/>
    <x:xf numFmtId="204" fontId="3" fillId="0" borderId="0" xfId="0" applyNumberFormat="1" applyFont="1" applyFill="1" applyBorder="1"/>
    <x:xf numFmtId="0" fontId="6" fillId="0" borderId="0" xfId="0" applyNumberFormat="1" applyFont="1" applyFill="1" applyBorder="1"/>
    <x:xf numFmtId="0" fontId="3" fillId="5" borderId="0" xfId="0" applyNumberFormat="1" applyFont="1" applyFill="1" applyBorder="1"/>
    <x:xf numFmtId="0" fontId="5" fillId="0" borderId="0" xfId="0" applyNumberFormat="1" applyFont="1" applyFill="1" applyBorder="1"/>
    <x:xf numFmtId="202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/>
    </x:xf>
    <x:xf numFmtId="0" fontId="3" fillId="6" borderId="0" xfId="0" applyNumberFormat="1" applyFont="1" applyFill="1" applyBorder="1"/>
    <x:xf numFmtId="201" fontId="3" fillId="6" borderId="0" xfId="0" applyNumberFormat="1" applyFont="1" applyFill="1" applyBorder="1" applyAlignment="1">
      <x:alignment horizontal="right"/>
    </x:xf>
    <x:xf numFmtId="202" fontId="3" fillId="6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b8a3f1b5a44b41" /><Relationship Type="http://schemas.openxmlformats.org/officeDocument/2006/relationships/theme" Target="/xl/theme/theme1.xml" Id="Ra7afda3a59cf493a" /><Relationship Type="http://schemas.openxmlformats.org/officeDocument/2006/relationships/sharedStrings" Target="/xl/sharedStrings.xml" Id="R5019f407f248499d" /><Relationship Type="http://schemas.openxmlformats.org/officeDocument/2006/relationships/worksheet" Target="/xl/worksheets/sheet1.xml" Id="R9ba0e1b21a1f4ad5" /><Relationship Type="http://schemas.openxmlformats.org/officeDocument/2006/relationships/worksheet" Target="/xl/worksheets/sheet2.xml" Id="R3b09298c027245c6" /><Relationship Type="http://schemas.openxmlformats.org/officeDocument/2006/relationships/worksheet" Target="/xl/worksheets/sheet3.xml" Id="R41a58ae6ab2748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39" hidden="0" customWidth="1"/>
    <x:col min="2" max="2" width="25" hidden="0" customWidth="1"/>
    <x:col min="3" max="3" width="25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/>
      <x:c r="B1" s="5"/>
      <x:c r="C1" s="5"/>
      <x:c r="D1" s="5"/>
    </x:row>
    <x:row r="2" ht="27" customHeight="1">
      <x:c r="A2" s="120" t="str">
        <x:v>Дневник Live ТБ</x:v>
      </x:c>
      <x:c r="B2" s="5"/>
      <x:c r="C2" s="5"/>
      <x:c r="D2" s="5"/>
      <x:c r="E2"/>
      <x:c r="F2"/>
      <x:c r="G2"/>
      <x:c r="H2"/>
    </x:row>
    <x:row r="3" ht="24" customHeight="1">
      <x:c r="A3" s="5" t="str">
        <x:v>Два варианта прогнозов. Условный размер каждого: 1 единица.</x:v>
      </x:c>
      <x:c r="B3" s="5"/>
      <x:c r="C3" s="5"/>
      <x:c r="D3" s="5"/>
      <x:c r="E3"/>
      <x:c r="F3"/>
      <x:c r="G3"/>
      <x:c r="H3"/>
    </x:row>
    <x:row r="4">
      <x:c r="A4" s="5"/>
      <x:c r="B4" s="5"/>
      <x:c r="C4" s="5"/>
      <x:c r="D4" s="5"/>
      <x:c r="E4"/>
      <x:c r="F4"/>
      <x:c r="G4"/>
      <x:c r="H4"/>
    </x:row>
    <x:row r="5" ht="34" customHeight="1">
      <x:c r="A5" s="116" t="str">
        <x:v>Показатель</x:v>
      </x:c>
      <x:c r="B5" s="116" t="str">
        <x:v>История без разделения</x:v>
      </x:c>
      <x:c r="C5" s="116" t="str">
        <x:v>Оптимальный</x:v>
      </x:c>
      <x:c r="D5" s="116" t="str">
        <x:v>Агрессивный</x:v>
      </x:c>
      <x:c r="E5"/>
      <x:c r="F5"/>
      <x:c r="G5"/>
      <x:c r="H5"/>
    </x:row>
    <x:row r="6" ht="23" customHeight="1">
      <x:c r="A6" s="5" t="str">
        <x:v>Всего прогнозов</x:v>
      </x:c>
      <x:c r="B6" s="124" t="n">
        <x:f>COUNTIFS('Реестр'!$Y$6:$Y$505,"История без разделения")</x:f>
        <x:v>53</x:v>
      </x:c>
      <x:c r="C6" s="124" t="n">
        <x:f>COUNTIFS('Реестр'!$Y$6:$Y$505,"Оптимальный")</x:f>
        <x:v>4</x:v>
      </x:c>
      <x:c r="D6" s="124" t="n">
        <x:f>COUNTIFS('Реестр'!$Y$6:$Y$505,"Агрессивный")</x:f>
        <x:v>4</x:v>
      </x:c>
      <x:c r="E6"/>
      <x:c r="F6"/>
      <x:c r="G6"/>
      <x:c r="H6"/>
    </x:row>
    <x:row r="7" ht="23" customHeight="1">
      <x:c r="A7" s="5" t="str">
        <x:v>Рассчитано</x:v>
      </x:c>
      <x:c r="B7" s="124" t="n">
        <x:f>COUNTIFS('Реестр'!$Y$6:$Y$505,"История без разделения",'Реестр'!$W$6:$W$505,"Рассчитан")</x:f>
        <x:v>53</x:v>
      </x:c>
      <x:c r="C7" s="124" t="n">
        <x:f>COUNTIFS('Реестр'!$Y$6:$Y$505,"Оптимальный",'Реестр'!$W$6:$W$505,"Рассчитан")</x:f>
        <x:v>0</x:v>
      </x:c>
      <x:c r="D7" s="124" t="n">
        <x:f>COUNTIFS('Реестр'!$Y$6:$Y$505,"Агрессивный",'Реестр'!$W$6:$W$505,"Рассчитан")</x:f>
        <x:v>0</x:v>
      </x:c>
      <x:c r="E7"/>
      <x:c r="F7"/>
      <x:c r="G7"/>
      <x:c r="H7"/>
    </x:row>
    <x:row r="8" ht="23" customHeight="1">
      <x:c r="A8" s="5" t="str">
        <x:v>Открыто</x:v>
      </x:c>
      <x:c r="B8" s="124" t="n">
        <x:f>COUNTIFS('Реестр'!$Y$6:$Y$505,"История без разделения",'Реестр'!$W$6:$W$505,"Открыт")</x:f>
        <x:v>0</x:v>
      </x:c>
      <x:c r="C8" s="124" t="n">
        <x:f>COUNTIFS('Реестр'!$Y$6:$Y$505,"Оптимальный",'Реестр'!$W$6:$W$505,"Открыт")</x:f>
        <x:v>4</x:v>
      </x:c>
      <x:c r="D8" s="124" t="n">
        <x:f>COUNTIFS('Реестр'!$Y$6:$Y$505,"Агрессивный",'Реестр'!$W$6:$W$505,"Открыт")</x:f>
        <x:v>4</x:v>
      </x:c>
      <x:c r="E8"/>
      <x:c r="F8"/>
      <x:c r="G8"/>
      <x:c r="H8"/>
    </x:row>
    <x:row r="9" ht="23" customHeight="1">
      <x:c r="A9" s="5" t="str">
        <x:v>Полный выигрыш</x:v>
      </x:c>
      <x:c r="B9" s="124" t="n">
        <x:f>COUNTIFS('Реестр'!$Y$6:$Y$505,"История без разделения",'Реестр'!$U$6:$U$505,"Выигрыш")+COUNTIFS('Реестр'!$Y$6:$Y$505,"История без разделения",'Реестр'!$U$6:$U$505,"Плюс")</x:f>
        <x:v>24</x:v>
      </x:c>
      <x:c r="C9" s="124" t="n">
        <x:f>COUNTIFS('Реестр'!$Y$6:$Y$505,"Оптимальный",'Реестр'!$U$6:$U$505,"Выигрыш")+COUNTIFS('Реестр'!$Y$6:$Y$505,"Оптимальный",'Реестр'!$U$6:$U$505,"Плюс")</x:f>
        <x:v>0</x:v>
      </x:c>
      <x:c r="D9" s="124" t="n">
        <x:f>COUNTIFS('Реестр'!$Y$6:$Y$505,"Агрессивный",'Реестр'!$U$6:$U$505,"Выигрыш")+COUNTIFS('Реестр'!$Y$6:$Y$505,"Агрессивный",'Реестр'!$U$6:$U$505,"Плюс")</x:f>
        <x:v>0</x:v>
      </x:c>
      <x:c r="E9"/>
      <x:c r="F9"/>
      <x:c r="G9"/>
      <x:c r="H9"/>
    </x:row>
    <x:row r="10" ht="23" customHeight="1">
      <x:c r="A10" s="5" t="str">
        <x:v>Полувыигрыш</x:v>
      </x:c>
      <x:c r="B10" s="124" t="n">
        <x:f>COUNTIFS('Реестр'!$Y$6:$Y$505,"История без разделения",'Реестр'!$U$6:$U$505,"Полувыигрыш")+COUNTIFS('Реестр'!$Y$6:$Y$505,"История без разделения",'Реестр'!$U$6:$U$505,"Полуплюс")</x:f>
        <x:v>4</x:v>
      </x:c>
      <x:c r="C10" s="124" t="n">
        <x:f>COUNTIFS('Реестр'!$Y$6:$Y$505,"Оптимальный",'Реестр'!$U$6:$U$505,"Полувыигрыш")+COUNTIFS('Реестр'!$Y$6:$Y$505,"Оптимальный",'Реестр'!$U$6:$U$505,"Полуплюс")</x:f>
        <x:v>0</x:v>
      </x:c>
      <x:c r="D10" s="124" t="n">
        <x:f>COUNTIFS('Реестр'!$Y$6:$Y$505,"Агрессивный",'Реестр'!$U$6:$U$505,"Полувыигрыш")+COUNTIFS('Реестр'!$Y$6:$Y$505,"Агрессивный",'Реестр'!$U$6:$U$505,"Полуплюс")</x:f>
        <x:v>0</x:v>
      </x:c>
      <x:c r="E10"/>
      <x:c r="F10"/>
      <x:c r="G10"/>
      <x:c r="H10"/>
    </x:row>
    <x:row r="11" ht="23" customHeight="1">
      <x:c r="A11" s="5" t="str">
        <x:v>Возврат</x:v>
      </x:c>
      <x:c r="B11" s="124" t="n">
        <x:f>COUNTIFS('Реестр'!$Y$6:$Y$505,"История без разделения",'Реестр'!$U$6:$U$505,"Возврат")</x:f>
        <x:v>3</x:v>
      </x:c>
      <x:c r="C11" s="124" t="n">
        <x:f>COUNTIFS('Реестр'!$Y$6:$Y$505,"Оптимальный",'Реестр'!$U$6:$U$505,"Возврат")</x:f>
        <x:v>0</x:v>
      </x:c>
      <x:c r="D11" s="124" t="n">
        <x:f>COUNTIFS('Реестр'!$Y$6:$Y$505,"Агрессивный",'Реестр'!$U$6:$U$505,"Возврат")</x:f>
        <x:v>0</x:v>
      </x:c>
      <x:c r="E11"/>
      <x:c r="F11"/>
      <x:c r="G11"/>
      <x:c r="H11"/>
    </x:row>
    <x:row r="12" ht="23" customHeight="1">
      <x:c r="A12" s="5" t="str">
        <x:v>Полупроигрыш</x:v>
      </x:c>
      <x:c r="B12" s="124" t="n">
        <x:f>COUNTIFS('Реестр'!$Y$6:$Y$505,"История без разделения",'Реестр'!$U$6:$U$505,"Полупроигрыш")+COUNTIFS('Реестр'!$Y$6:$Y$505,"История без разделения",'Реестр'!$U$6:$U$505,"Полуминус")</x:f>
        <x:v>5</x:v>
      </x:c>
      <x:c r="C12" s="124" t="n">
        <x:f>COUNTIFS('Реестр'!$Y$6:$Y$505,"Оптимальный",'Реестр'!$U$6:$U$505,"Полупроигрыш")+COUNTIFS('Реестр'!$Y$6:$Y$505,"Оптимальный",'Реестр'!$U$6:$U$505,"Полуминус")</x:f>
        <x:v>0</x:v>
      </x:c>
      <x:c r="D12" s="124" t="n">
        <x:f>COUNTIFS('Реестр'!$Y$6:$Y$505,"Агрессивный",'Реестр'!$U$6:$U$505,"Полупроигрыш")+COUNTIFS('Реестр'!$Y$6:$Y$505,"Агрессивный",'Реестр'!$U$6:$U$505,"Полуминус")</x:f>
        <x:v>0</x:v>
      </x:c>
      <x:c r="E12"/>
      <x:c r="F12"/>
      <x:c r="G12"/>
      <x:c r="H12"/>
    </x:row>
    <x:row r="13" ht="23" customHeight="1">
      <x:c r="A13" s="5" t="str">
        <x:v>Поражение</x:v>
      </x:c>
      <x:c r="B13" s="124" t="n">
        <x:f>COUNTIFS('Реестр'!$Y$6:$Y$505,"История без разделения",'Реестр'!$U$6:$U$505,"Поражение")+COUNTIFS('Реестр'!$Y$6:$Y$505,"История без разделения",'Реестр'!$U$6:$U$505,"Минус")</x:f>
        <x:v>17</x:v>
      </x:c>
      <x:c r="C13" s="124" t="n">
        <x:f>COUNTIFS('Реестр'!$Y$6:$Y$505,"Оптимальный",'Реестр'!$U$6:$U$505,"Поражение")+COUNTIFS('Реестр'!$Y$6:$Y$505,"Оптимальный",'Реестр'!$U$6:$U$505,"Минус")</x:f>
        <x:v>0</x:v>
      </x:c>
      <x:c r="D13" s="124" t="n">
        <x:f>COUNTIFS('Реестр'!$Y$6:$Y$505,"Агрессивный",'Реестр'!$U$6:$U$505,"Поражение")+COUNTIFS('Реестр'!$Y$6:$Y$505,"Агрессивный",'Реестр'!$U$6:$U$505,"Минус")</x:f>
        <x:v>0</x:v>
      </x:c>
      <x:c r="E13"/>
      <x:c r="F13"/>
      <x:c r="G13"/>
      <x:c r="H13"/>
    </x:row>
    <x:row r="14" ht="23" customHeight="1">
      <x:c r="A14" s="127" t="str">
        <x:v>Итог, ед.</x:v>
      </x:c>
      <x:c r="B14" s="128" t="n">
        <x:f>SUMIFS('Реестр'!$V$6:$V$505,'Реестр'!$Y$6:$Y$505,"История без разделения",'Реестр'!$W$6:$W$505,"Рассчитан")</x:f>
        <x:v>3.7</x:v>
      </x:c>
      <x:c r="C14" s="128" t="n">
        <x:f>SUMIFS('Реестр'!$V$6:$V$505,'Реестр'!$Y$6:$Y$505,"Оптимальный",'Реестр'!$W$6:$W$505,"Рассчитан")</x:f>
        <x:v>0</x:v>
      </x:c>
      <x:c r="D14" s="128" t="n">
        <x:f>SUMIFS('Реестр'!$V$6:$V$505,'Реестр'!$Y$6:$Y$505,"Агрессивный",'Реестр'!$W$6:$W$505,"Рассчитан")</x:f>
        <x:v>0</x:v>
      </x:c>
      <x:c r="E14"/>
      <x:c r="F14"/>
      <x:c r="G14"/>
      <x:c r="H14"/>
    </x:row>
    <x:row r="15" ht="23" customHeight="1">
      <x:c r="A15" s="127" t="str">
        <x:v>ROI рассчитанных</x:v>
      </x:c>
      <x:c r="B15" s="129" t="n">
        <x:f>IF(B7=0,"",B14/B7)</x:f>
        <x:v>0.06981132075471698</x:v>
      </x:c>
      <x:c r="C15" s="129" t="str">
        <x:f>IF(C7=0,"",C14/C7)</x:f>
      </x:c>
      <x:c r="D15" s="129" t="str">
        <x:f>IF(D7=0,"",D14/D7)</x:f>
      </x:c>
      <x:c r="E15"/>
      <x:c r="F15"/>
      <x:c r="G15"/>
      <x:c r="H15"/>
    </x:row>
    <x:row r="16" ht="23" customHeight="1">
      <x:c r="A16" s="5" t="str">
        <x:v>Средний коэф. рассчитанных</x:v>
      </x:c>
      <x:c r="B16" s="125" t="n">
        <x:f>IF(B7=0,"",SUMIFS('Реестр'!$J$6:$J$505,'Реестр'!$Y$6:$Y$505,"История без разделения",'Реестр'!$W$6:$W$505,"Рассчитан")/B7)</x:f>
        <x:v>1.9047169811320754</x:v>
      </x:c>
      <x:c r="C16" s="125" t="str">
        <x:f>IF(C7=0,"",SUMIFS('Реестр'!$J$6:$J$505,'Реестр'!$Y$6:$Y$505,"Оптимальный",'Реестр'!$W$6:$W$505,"Рассчитан")/C7)</x:f>
      </x:c>
      <x:c r="D16" s="125" t="str">
        <x:f>IF(D7=0,"",SUMIFS('Реестр'!$J$6:$J$505,'Реестр'!$Y$6:$Y$505,"Агрессивный",'Реестр'!$W$6:$W$505,"Рассчитан")/D7)</x:f>
      </x:c>
      <x:c r="E16"/>
      <x:c r="F16"/>
      <x:c r="G16"/>
      <x:c r="H16"/>
    </x:row>
    <x:row r="17" ht="23" customHeight="1">
      <x:c r="A17" s="5" t="str">
        <x:v>Доля положительных результатов</x:v>
      </x:c>
      <x:c r="B17" s="126" t="n">
        <x:f>IF(B7=0,"",(B9+B10)/B7)</x:f>
        <x:v>0.5283018867924528</x:v>
      </x:c>
      <x:c r="C17" s="126" t="str">
        <x:f>IF(C7=0,"",(C9+C10)/C7)</x:f>
      </x:c>
      <x:c r="D17" s="126" t="str">
        <x:f>IF(D7=0,"",(D9+D10)/D7)</x:f>
      </x:c>
    </x:row>
    <x:row r="18" ht="23" customHeight="1">
      <x:c r="A18" s="5"/>
      <x:c r="B18" s="124"/>
      <x:c r="C18" s="124"/>
      <x:c r="D18" s="124"/>
    </x:row>
    <x:row r="19" ht="23" customHeight="1">
      <x:c r="A19" s="122" t="str">
        <x:v>Сравнение на общих рассчитанных парах</x:v>
      </x:c>
      <x:c r="B19" s="124"/>
      <x:c r="C19" s="124"/>
      <x:c r="D19" s="124"/>
    </x:row>
    <x:row r="20" ht="23" customHeight="1">
      <x:c r="A20" s="5" t="str">
        <x:v>Сопоставимых пар</x:v>
      </x:c>
      <x:c r="B20" s="124"/>
      <x:c r="C20" s="124" t="n">
        <x:f>COUNTIFS('Реестр'!$Y$6:$Y$505,"Оптимальный",'Реестр'!$AE$6:$AE$505,"Да")</x:f>
        <x:v>0</x:v>
      </x:c>
      <x:c r="D20" s="124" t="n">
        <x:f>COUNTIFS('Реестр'!$Y$6:$Y$505,"Агрессивный",'Реестр'!$AE$6:$AE$505,"Да")</x:f>
        <x:v>0</x:v>
      </x:c>
    </x:row>
    <x:row r="21" ht="23" customHeight="1">
      <x:c r="A21" s="127" t="str">
        <x:v>Итог по парам, ед.</x:v>
      </x:c>
      <x:c r="B21" s="128"/>
      <x:c r="C21" s="128" t="n">
        <x:f>SUMIFS('Реестр'!$V$6:$V$505,'Реестр'!$Y$6:$Y$505,"Оптимальный",'Реестр'!$AE$6:$AE$505,"Да")</x:f>
        <x:v>0</x:v>
      </x:c>
      <x:c r="D21" s="128" t="n">
        <x:f>SUMIFS('Реестр'!$V$6:$V$505,'Реестр'!$Y$6:$Y$505,"Агрессивный",'Реестр'!$AE$6:$AE$505,"Да")</x:f>
        <x:v>0</x:v>
      </x:c>
    </x:row>
    <x:row r="22" ht="23" customHeight="1">
      <x:c r="A22" s="127" t="str">
        <x:v>ROI по парам</x:v>
      </x:c>
      <x:c r="B22" s="129"/>
      <x:c r="C22" s="129" t="str">
        <x:f>IF(C20=0,"",C21/C20)</x:f>
      </x:c>
      <x:c r="D22" s="129" t="str">
        <x:f>IF(D20=0,"",D21/D20)</x:f>
      </x:c>
    </x:row>
    <x:row r="23" ht="23" customHeight="1">
      <x:c r="A23" s="5" t="str">
        <x:v>Средний коэф. по парам</x:v>
      </x:c>
      <x:c r="B23" s="125"/>
      <x:c r="C23" s="125" t="str">
        <x:f>IF(C20=0,"",SUMIFS('Реестр'!$J$6:$J$505,'Реестр'!$Y$6:$Y$505,"Оптимальный",'Реестр'!$AE$6:$AE$505,"Да")/C20)</x:f>
      </x:c>
      <x:c r="D23" s="125" t="str">
        <x:f>IF(D20=0,"",SUMIFS('Реестр'!$J$6:$J$505,'Реестр'!$Y$6:$Y$505,"Агрессивный",'Реестр'!$AE$6:$AE$505,"Да")/D20)</x:f>
      </x:c>
    </x:row>
    <x:row r="24">
      <x:c r="A24" s="5"/>
      <x:c r="B24" s="5"/>
      <x:c r="C24" s="5"/>
      <x:c r="D24" s="5"/>
    </x:row>
    <x:row r="25" ht="32" customHeight="1">
      <x:c r="A25" s="131" t="str">
        <x:v>Доля положительных: полные и половинные выигрыши / все рассчитанные, включая возвраты.</x:v>
      </x:c>
      <x:c r="B25" s="131"/>
      <x:c r="C25" s="131"/>
      <x:c r="D25" s="131"/>
    </x:row>
    <x:row r="26" ht="32" customHeight="1">
      <x:c r="A26" s="131" t="str">
        <x:v>История: 53 рассчитанных live-прогноза за 13.10.2026. Старые категории не назначаются задним числом.</x:v>
      </x:c>
      <x:c r="B26" s="131"/>
      <x:c r="C26" s="131"/>
      <x:c r="D26" s="131"/>
    </x:row>
    <x:row r="27" ht="32" customHeight="1">
      <x:c r="A27" s="131" t="str">
        <x:v>Фактические выборы и суммы: отдельный Дневник исходов.xlsx. Обновление Live: 14.10.2026.</x:v>
      </x:c>
      <x:c r="B27" s="131"/>
      <x:c r="C27" s="131"/>
      <x:c r="D27" s="131"/>
    </x:row>
    <x:row r="29">
      <x:c r="A29" s="132" t="str">
        <x:v>История по этапам</x:v>
      </x:c>
      <x:c r="B29" s="132" t="str">
        <x:v>Прогнозов</x:v>
      </x:c>
      <x:c r="C29" s="132" t="str">
        <x:v>Итог, ед.</x:v>
      </x:c>
      <x:c r="D29" s="132" t="str">
        <x:v>ROI</x:v>
      </x:c>
    </x:row>
    <x:row r="30">
      <x:c r="A30" s="5" t="str">
        <x:v>До правила топ-5</x:v>
      </x:c>
      <x:c r="B30" s="5" t="n">
        <x:f>COUNTIFS('Реестр'!$AG$6:$AG$505,A30)</x:f>
        <x:v>43</x:v>
      </x:c>
      <x:c r="C30" s="118" t="n">
        <x:f>SUMIFS('Реестр'!$V$6:$V$505,'Реестр'!$AG$6:$AG$505,A30)</x:f>
        <x:v>0.6000000000000004</x:v>
      </x:c>
      <x:c r="D30" s="123" t="n">
        <x:f>IF(B30=0,"",C30/B30)</x:f>
        <x:v>0.013953488372093033</x:v>
      </x:c>
    </x:row>
    <x:row r="31">
      <x:c r="A31" s="5" t="str">
        <x:v>Топ-5</x:v>
      </x:c>
      <x:c r="B31" s="5" t="n">
        <x:f>COUNTIFS('Реестр'!$AG$6:$AG$505,A31)</x:f>
        <x:v>10</x:v>
      </x:c>
      <x:c r="C31" s="118" t="n">
        <x:f>SUMIFS('Реестр'!$V$6:$V$505,'Реестр'!$AG$6:$AG$505,A31)</x:f>
        <x:v>3.1000000000000005</x:v>
      </x:c>
      <x:c r="D31" s="123" t="n">
        <x:f>IF(B31=0,"",C31/B31)</x:f>
        <x:v>0.31000000000000005</x:v>
      </x:c>
    </x:row>
    <x:row r="32">
      <x:c r="A32" s="5"/>
      <x:c r="B32" s="5"/>
      <x:c r="C32" s="5"/>
      <x:c r="D32" s="5"/>
    </x:row>
    <x:row r="33">
      <x:c r="A33" s="133" t="str">
        <x:v>Источник истории: итоговый отчёт за 13.10.2026. Два прематчевых варианта остаются в исходном архиве и не входят в Live ТБ.</x:v>
      </x:c>
      <x:c r="B33" s="133"/>
      <x:c r="C33" s="133"/>
      <x:c r="D33" s="133"/>
    </x:row>
    <x:row r="34">
      <x:c r="A34" s="133"/>
      <x:c r="B34" s="133"/>
      <x:c r="C34" s="133"/>
      <x:c r="D34" s="133"/>
    </x:row>
  </x:sheetData>
  <x:mergeCells>
    <x:mergeCell ref="A2:D2"/>
    <x:mergeCell ref="A3:D3"/>
    <x:mergeCell ref="A19:D19"/>
    <x:mergeCell ref="A25:D25"/>
    <x:mergeCell ref="A26:D26"/>
    <x:mergeCell ref="A27:D27"/>
    <x:mergeCell ref="A33:D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6" hidden="0" customWidth="1"/>
    <x:col min="2" max="2" width="14" hidden="0" customWidth="1"/>
    <x:col min="3" max="3" width="20" hidden="0" customWidth="1"/>
    <x:col min="4" max="4" width="24" hidden="0" customWidth="1"/>
    <x:col min="5" max="5" width="34" hidden="0" customWidth="1"/>
    <x:col min="6" max="6" width="9" hidden="0" customWidth="1"/>
    <x:col min="7" max="7" width="10" hidden="0" customWidth="1"/>
    <x:col min="8" max="8" width="34" hidden="0" customWidth="1"/>
    <x:col min="9" max="9" width="23" hidden="0" customWidth="1"/>
    <x:col min="10" max="10" width="13" hidden="0" customWidth="1"/>
    <x:col min="11" max="11" width="15" hidden="0" customWidth="1"/>
    <x:col min="12" max="12" width="45" hidden="0" customWidth="1"/>
    <x:col min="13" max="13" width="28" hidden="0" customWidth="1"/>
    <x:col min="14" max="14" width="45" hidden="0" customWidth="1"/>
    <x:col min="15" max="15" width="45" hidden="0" customWidth="1"/>
    <x:col min="16" max="16" width="17" hidden="0" customWidth="1"/>
    <x:col min="17" max="17" width="21" hidden="0" customWidth="1"/>
    <x:col min="18" max="18" width="25" hidden="0" customWidth="1"/>
    <x:col min="19" max="19" width="20" hidden="0" customWidth="1"/>
    <x:col min="20" max="20" width="14" hidden="0" customWidth="1"/>
    <x:col min="21" max="21" width="17" hidden="0" customWidth="1"/>
    <x:col min="22" max="22" width="19" hidden="0" customWidth="1"/>
    <x:col min="23" max="23" width="14" hidden="0" customWidth="1"/>
    <x:col min="24" max="24" width="34" hidden="0" customWidth="1"/>
    <x:col min="32" max="32" width="45" hidden="0" customWidth="1"/>
    <x:col min="33" max="33" width="24" hidden="0" customWidth="1"/>
    <x:col min="25" max="25" width="27" hidden="0" customWidth="1"/>
    <x:col min="26" max="26" width="30" hidden="0" customWidth="1"/>
    <x:col min="27" max="27" width="18" hidden="0" customWidth="1"/>
    <x:col min="28" max="28" width="18" hidden="0" customWidth="1"/>
    <x:col min="29" max="29" width="24" hidden="0" customWidth="1"/>
    <x:col min="30" max="30" width="24" hidden="0" customWidth="1"/>
    <x:col min="31" max="31" width="24" hidden="0" customWidth="1"/>
  </x:cols>
  <x:sheetData>
    <x:row r="2">
      <x:c r="A2" s="2" t="str">
        <x:v>Реестр выбранных матчей Live ТБ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>
      <x:c r="A3" s="3" t="str">
        <x:v>Прогнозы Джарвиса. История сохранена; с 14.10.2026 два варианта на матч. Фактические выборы пользователя ведутся отдельно.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</x:row>
    <x:row r="5" ht="44" customHeight="1">
      <x:c r="A5" s="74" t="str">
        <x:v>№</x:v>
      </x:c>
      <x:c r="B5" s="74" t="str">
        <x:v>ID события</x:v>
      </x:c>
      <x:c r="C5" s="74" t="str">
        <x:v>Дата и время МСК</x:v>
      </x:c>
      <x:c r="D5" s="74" t="str">
        <x:v>Турнир</x:v>
      </x:c>
      <x:c r="E5" s="74" t="str">
        <x:v>Матч</x:v>
      </x:c>
      <x:c r="F5" s="74" t="str">
        <x:v>Минута</x:v>
      </x:c>
      <x:c r="G5" s="74" t="str">
        <x:v>Счёт</x:v>
      </x:c>
      <x:c r="H5" s="74" t="str">
        <x:v>Live-сценарий</x:v>
      </x:c>
      <x:c r="I5" s="74" t="str">
        <x:v>Рынок</x:v>
      </x:c>
      <x:c r="J5" s="74" t="str">
        <x:v>Коэффициент</x:v>
      </x:c>
      <x:c r="K5" s="74" t="str">
        <x:v>Нужно доп. голов</x:v>
      </x:c>
      <x:c r="L5" s="74" t="str">
        <x:v>Статистика при отборе</x:v>
      </x:c>
      <x:c r="M5" s="74" t="str">
        <x:v>Динамика 10-15 мин</x:v>
      </x:c>
      <x:c r="N5" s="74" t="str">
        <x:v>Аргументы за</x:v>
      </x:c>
      <x:c r="O5" s="74" t="str">
        <x:v>Аргументы против</x:v>
      </x:c>
      <x:c r="P5" s="74" t="str">
        <x:v>Полнота данных</x:v>
      </x:c>
      <x:c r="Q5" s="74" t="str">
        <x:v>Решение</x:v>
      </x:c>
      <x:c r="R5" s="74" t="str">
        <x:v>Версия правил</x:v>
      </x:c>
      <x:c r="S5" s="74" t="str">
        <x:v>Источник</x:v>
      </x:c>
      <x:c r="T5" s="74" t="str">
        <x:v>Финальный счёт</x:v>
      </x:c>
      <x:c r="U5" s="74" t="str">
        <x:v>Результат</x:v>
      </x:c>
      <x:c r="V5" s="74" t="str">
        <x:v>Расчётный итог, ед.</x:v>
      </x:c>
      <x:c r="W5" s="74" t="str">
        <x:v>Статус</x:v>
      </x:c>
      <x:c r="X5" s="74" t="str">
        <x:v>Комментарий после матча</x:v>
      </x:c>
      <x:c r="Y5" s="117" t="str">
        <x:v>Контур</x:v>
      </x:c>
      <x:c r="Z5" s="117" t="str">
        <x:v>ID пары</x:v>
      </x:c>
      <x:c r="AA5" s="117" t="str">
        <x:v>Период рынка</x:v>
      </x:c>
      <x:c r="AB5" s="117" t="str">
        <x:v>Линия ТБ</x:v>
      </x:c>
      <x:c r="AC5" s="117" t="str">
        <x:v>Время снимка МСК</x:v>
      </x:c>
      <x:c r="AD5" s="117" t="str">
        <x:v>Время вывода МСК</x:v>
      </x:c>
      <x:c r="AE5" s="117" t="str">
        <x:v>Сопоставимая пара</x:v>
      </x:c>
      <x:c r="AF5" s="116" t="str">
        <x:v>Источник результата</x:v>
      </x:c>
      <x:c r="AG5" s="116" t="str">
        <x:v>Этап правил</x:v>
      </x:c>
    </x:row>
    <x:row r="6" ht="84" customHeight="1">
      <x:c r="A6" s="79" t="n">
        <x:v>1</x:v>
      </x:c>
      <x:c r="B6" s="79" t="str">
        <x:v>12477002</x:v>
      </x:c>
      <x:c r="C6" s="82" t="d">
        <x:v>2026-10-13T13:39:00.000Z</x:v>
      </x:c>
      <x:c r="D6" s="79" t="str">
        <x:v>Уганда - Премьер-лига</x:v>
      </x:c>
      <x:c r="E6" s="79" t="str">
        <x:v>Нтугазазе - КССА</x:v>
      </x:c>
      <x:c r="F6" s="85" t="n">
        <x:v>39</x:v>
      </x:c>
      <x:c r="G6" s="79" t="str">
        <x:v>0:1</x:v>
      </x:c>
      <x:c r="H6" s="91" t="str">
        <x:v>Фаворит ведёт и сохраняет давление</x:v>
      </x:c>
      <x:c r="I6" s="91" t="str">
        <x:v>ТБ 2,5 всего матча</x:v>
      </x:c>
      <x:c r="J6" s="92" t="n">
        <x:v>1.875</x:v>
      </x:c>
      <x:c r="K6" s="93" t="n">
        <x:v>2</x:v>
      </x:c>
      <x:c r="L6" s="94" t="str">
        <x:v>Владение 25:75; удары в створ 0:3; угловые 0:4; опасные атаки 19:35</x:v>
      </x:c>
      <x:c r="M6" s="94" t="str">
        <x:v>Нет отдельных временных снимков</x:v>
      </x:c>
      <x:c r="N6" s="94" t="str">
        <x:v>КССА - явный фаворит; гости контролируют игру и продолжают создавать угрозу</x:v>
      </x:c>
      <x:c r="O6" s="94" t="str">
        <x:v>Только 3 удара в створ; xG недоступен; для полного результата нужны ещё 2 гола</x:v>
      </x:c>
      <x:c r="P6" s="94" t="str">
        <x:v>Средняя</x:v>
      </x:c>
      <x:c r="Q6" s="79" t="str">
        <x:v>ПОДХОДИТ В LIVE</x:v>
      </x:c>
      <x:c r="R6" s="79" t="str">
        <x:v>ТБ live v1 от 13.10.2026</x:v>
      </x:c>
      <x:c r="S6" s="79" t="str">
        <x:v>BetsAPI / Bet365</x:v>
      </x:c>
      <x:c r="T6" s="79" t="str">
        <x:v>0-2</x:v>
      </x:c>
      <x:c r="U6" s="79" t="str">
        <x:v>Поражение</x:v>
      </x:c>
      <x:c r="V6" s="88" t="n">
        <x:f>IF(A6="","",IF(U6="","",IF(U6="Выигрыш",J6-1,IF(U6="Полувыигрыш",(J6-1)/2,IF(U6="Возврат",0,IF(U6="Полупроигрыш",-0.5,IF(U6="Поражение",-1,"Проверить результат")))))))</x:f>
        <x:v>-1</x:v>
      </x:c>
      <x:c r="W6" s="79" t="str">
        <x:f>IF(A6="","",IF(U6="","Открыт",IF(ISNUMBER(V6),"Рассчитан","Проверить результат")))</x:f>
        <x:v>Рассчитан</x:v>
      </x:c>
      <x:c r="X6" s="94" t="str">
        <x:v>Первый тест команды live</x:v>
      </x:c>
      <x:c r="Y6" s="5" t="str">
        <x:v>История без разделения</x:v>
      </x:c>
      <x:c r="Z6" s="5"/>
      <x:c r="AA6" s="5"/>
      <x:c r="AB6" s="118"/>
      <x:c r="AC6" s="119"/>
      <x:c r="AD6" s="119"/>
      <x:c r="AE6" s="5"/>
      <x:c r="AF6" s="5" t="str">
        <x:v>BetsAPI event ID 12477002; итоговый отчёт 13.10.2026, № 3</x:v>
      </x:c>
      <x:c r="AG6" s="5" t="str">
        <x:v>До правила топ-5</x:v>
      </x:c>
    </x:row>
    <x:row r="7" ht="84" customHeight="1">
      <x:c r="A7" s="80" t="n">
        <x:v>2</x:v>
      </x:c>
      <x:c r="B7" s="80" t="str">
        <x:v>12299758</x:v>
      </x:c>
      <x:c r="C7" s="83" t="d">
        <x:v>2026-10-13T13:39:00.000Z</x:v>
      </x:c>
      <x:c r="D7" s="80" t="str">
        <x:v>Таиланд - Дивизион 2</x:v>
      </x:c>
      <x:c r="E7" s="80" t="str">
        <x:v>Накхонратчасима - Муанг Лёй Юнайтед</x:v>
      </x:c>
      <x:c r="F7" s="86" t="n">
        <x:v>73</x:v>
      </x:c>
      <x:c r="G7" s="80" t="str">
        <x:v>3:2</x:v>
      </x:c>
      <x:c r="H7" s="95" t="str">
        <x:v>Продолжение открытого результативного матча</x:v>
      </x:c>
      <x:c r="I7" s="95" t="str">
        <x:v>ТБ 5,5 всего матча</x:v>
      </x:c>
      <x:c r="J7" s="96" t="n">
        <x:v>1.775</x:v>
      </x:c>
      <x:c r="K7" s="97" t="n">
        <x:v>1</x:v>
      </x:c>
      <x:c r="L7" s="98" t="str">
        <x:v>Удары в створ 6:3; опасные атаки 57:70; владение 40:60</x:v>
      </x:c>
      <x:c r="M7" s="98" t="str">
        <x:v>Нет отдельных временных снимков</x:v>
      </x:c>
      <x:c r="N7" s="98" t="str">
        <x:v>Проигрывающая команда вынуждена раскрываться; 9 ударов в створ; высокая активность обеих сторон</x:v>
      </x:c>
      <x:c r="O7" s="98" t="str">
        <x:v>Низкая лига; пять голов могли превысить качество моментов; xG недоступен</x:v>
      </x:c>
      <x:c r="P7" s="98" t="str">
        <x:v>Средняя</x:v>
      </x:c>
      <x:c r="Q7" s="80" t="str">
        <x:v>ПОДХОДИТ В LIVE</x:v>
      </x:c>
      <x:c r="R7" s="80" t="str">
        <x:v>ТБ live v1 от 13.10.2026</x:v>
      </x:c>
      <x:c r="S7" s="80" t="str">
        <x:v>BetsAPI / Bet365</x:v>
      </x:c>
      <x:c r="T7" s="80" t="str">
        <x:v>3-2</x:v>
      </x:c>
      <x:c r="U7" s="80" t="str">
        <x:v>Поражение</x:v>
      </x:c>
      <x:c r="V7" s="89" t="n">
        <x:f>IF(A7="","",IF(U7="","",IF(U7="Выигрыш",J7-1,IF(U7="Полувыигрыш",(J7-1)/2,IF(U7="Возврат",0,IF(U7="Полупроигрыш",-0.5,IF(U7="Поражение",-1,"Проверить результат")))))))</x:f>
        <x:v>-1</x:v>
      </x:c>
      <x:c r="W7" s="80" t="str">
        <x:f>IF(A7="","",IF(U7="","Открыт",IF(ISNUMBER(V7),"Рассчитан","Проверить результат")))</x:f>
        <x:v>Рассчитан</x:v>
      </x:c>
      <x:c r="X7" s="98" t="str">
        <x:v>Агрессивный второй кандидат</x:v>
      </x:c>
      <x:c r="Y7" s="5" t="str">
        <x:v>История без разделения</x:v>
      </x:c>
      <x:c r="Z7" s="5"/>
      <x:c r="AA7" s="5"/>
      <x:c r="AB7" s="118"/>
      <x:c r="AC7" s="119"/>
      <x:c r="AD7" s="119"/>
      <x:c r="AE7" s="5"/>
      <x:c r="AF7" s="5" t="str">
        <x:v>BetsAPI event ID 12299758; итоговый отчёт 13.10.2026, № 4</x:v>
      </x:c>
      <x:c r="AG7" s="5" t="str">
        <x:v>До правила топ-5</x:v>
      </x:c>
    </x:row>
    <x:row r="8">
      <x:c r="A8" s="80" t="n">
        <x:v>3</x:v>
      </x:c>
      <x:c r="B8" s="80" t="str">
        <x:v>13234372</x:v>
      </x:c>
      <x:c r="C8" s="83" t="str">
        <x:v>13.10.2026 18:08</x:v>
      </x:c>
      <x:c r="D8" s="80" t="str">
        <x:v>Алжир - Второй дивизион</x:v>
      </x:c>
      <x:c r="E8" s="80" t="str">
        <x:v>ГК Маскара - ИРБ Сиди Мхамед Бенали</x:v>
      </x:c>
      <x:c r="F8" s="86" t="n">
        <x:v>47</x:v>
      </x:c>
      <x:c r="G8" s="80" t="str">
        <x:v>0:0</x:v>
      </x:c>
      <x:c r="H8" s="95" t="str">
        <x:v>Сильное одностороннее давление хозяев при равном счёте</x:v>
      </x:c>
      <x:c r="I8" s="95" t="str">
        <x:v>ТБ 1,0 всего матча</x:v>
      </x:c>
      <x:c r="J8" s="96" t="n">
        <x:v>1.825</x:v>
      </x:c>
      <x:c r="K8" s="97" t="n">
        <x:v>2</x:v>
      </x:c>
      <x:c r="L8" s="98" t="str">
        <x:v>Владение 72:28; удары в створ 5:1; мимо 7:1; угловые 5:1; опасные атаки 59:19</x:v>
      </x:c>
      <x:c r="M8" s="98" t="str">
        <x:v>Нет отдельного снимка за 10-15 минут</x:v>
      </x:c>
      <x:c r="N8" s="98" t="str">
        <x:v>ГК Маскара постоянно давит и остаётся live-фаворитом; один гол даёт возврат, два - полный плюс</x:v>
      </x:c>
      <x:c r="O8" s="98" t="str">
        <x:v>Низовая лига; xG недоступен; при одном голе будет только возврат</x:v>
      </x:c>
      <x:c r="P8" s="98" t="str">
        <x:v>Высокая</x:v>
      </x:c>
      <x:c r="Q8" s="80" t="str">
        <x:v>ПОДХОДИТ В LIVE</x:v>
      </x:c>
      <x:c r="R8" s="80" t="str">
        <x:v>ТБ live v1 от 13.10.2026</x:v>
      </x:c>
      <x:c r="S8" s="80" t="str">
        <x:v>BetsAPI / Bet365</x:v>
      </x:c>
      <x:c r="T8" s="80" t="str">
        <x:v>2-0</x:v>
      </x:c>
      <x:c r="U8" s="80" t="str">
        <x:v>Выигрыш</x:v>
      </x:c>
      <x:c r="V8" s="89" t="n">
        <x:f>IF(A8="","",IF(U8="","",IF(U8="Выигрыш",J8-1,IF(U8="Полувыигрыш",(J8-1)/2,IF(U8="Возврат",0,IF(U8="Полупроигрыш",-0.5,IF(U8="Поражение",-1,"Проверить результат")))))))</x:f>
        <x:v>0.825</x:v>
      </x:c>
      <x:c r="W8" s="80" t="str">
        <x:f>IF(A8="","",IF(U8="","Открыт",IF(ISNUMBER(V8),"Рассчитан","Проверить результат")))</x:f>
        <x:v>Рассчитан</x:v>
      </x:c>
      <x:c r="X8" s="98" t="str">
        <x:v>Основной кандидат текущего запуска</x:v>
      </x:c>
      <x:c r="Y8" s="5" t="str">
        <x:v>История без разделения</x:v>
      </x:c>
      <x:c r="Z8" s="5"/>
      <x:c r="AA8" s="5"/>
      <x:c r="AB8" s="118"/>
      <x:c r="AC8" s="119"/>
      <x:c r="AD8" s="119"/>
      <x:c r="AE8" s="5"/>
      <x:c r="AF8" s="5" t="str">
        <x:v>BetsAPI event ID 13234372; итоговый отчёт 13.10.2026, № 5</x:v>
      </x:c>
      <x:c r="AG8" s="5" t="str">
        <x:v>До правила топ-5</x:v>
      </x:c>
    </x:row>
    <x:row r="9">
      <x:c r="A9" s="80" t="n">
        <x:v>4</x:v>
      </x:c>
      <x:c r="B9" s="80" t="str">
        <x:v>13285570</x:v>
      </x:c>
      <x:c r="C9" s="83" t="str">
        <x:v>13.10.2026 18:08</x:v>
      </x:c>
      <x:c r="D9" s="80" t="str">
        <x:v>Азия - Лига чемпионов АФК 2</x:v>
      </x:c>
      <x:c r="E9" s="80" t="str">
        <x:v>Ист Бенгал - Аль-Шорта</x:v>
      </x:c>
      <x:c r="F9" s="86" t="n">
        <x:v>59</x:v>
      </x:c>
      <x:c r="G9" s="80" t="str">
        <x:v>2:3</x:v>
      </x:c>
      <x:c r="H9" s="95" t="str">
        <x:v>Открытый матч с взаимными моментами и сохраняющейся атакой</x:v>
      </x:c>
      <x:c r="I9" s="95" t="str">
        <x:v>ТБ 6,25 всего матча</x:v>
      </x:c>
      <x:c r="J9" s="96" t="n">
        <x:v>2.05</x:v>
      </x:c>
      <x:c r="K9" s="97" t="n">
        <x:v>2</x:v>
      </x:c>
      <x:c r="L9" s="98" t="str">
        <x:v>xG 2,32:1,45; удары в створ 7:3; угловые 3:6; опасные атаки 29:44; владение 39:61</x:v>
      </x:c>
      <x:c r="M9" s="98" t="str">
        <x:v>Нет отдельного снимка за 10-15 минут</x:v>
      </x:c>
      <x:c r="N9" s="98" t="str">
        <x:v>Суммарный xG 3,77 и 10 ударов в створ подтверждают открытый сценарий; проигрывающие хозяева вынуждены атаковать</x:v>
      </x:c>
      <x:c r="O9" s="98" t="str">
        <x:v>Для полного плюса нужны ещё два гола; один дополнительный гол даёт полуминус</x:v>
      </x:c>
      <x:c r="P9" s="98" t="str">
        <x:v>Высокая</x:v>
      </x:c>
      <x:c r="Q9" s="80" t="str">
        <x:v>ПОДХОДИТ В LIVE</x:v>
      </x:c>
      <x:c r="R9" s="80" t="str">
        <x:v>ТБ live v1 от 13.10.2026</x:v>
      </x:c>
      <x:c r="S9" s="80" t="str">
        <x:v>BetsAPI / Bet365</x:v>
      </x:c>
      <x:c r="T9" s="80" t="str">
        <x:v>2-3</x:v>
      </x:c>
      <x:c r="U9" s="80" t="str">
        <x:v>Поражение</x:v>
      </x:c>
      <x:c r="V9" s="89" t="n">
        <x:f>IF(A9="","",IF(U9="","",IF(U9="Выигрыш",J9-1,IF(U9="Полувыигрыш",(J9-1)/2,IF(U9="Возврат",0,IF(U9="Полупроигрыш",-0.5,IF(U9="Поражение",-1,"Проверить результат")))))))</x:f>
        <x:v>-1</x:v>
      </x:c>
      <x:c r="W9" s="80" t="str">
        <x:f>IF(A9="","",IF(U9="","Открыт",IF(ISNUMBER(V9),"Рассчитан","Проверить результат")))</x:f>
        <x:v>Рассчитан</x:v>
      </x:c>
      <x:c r="X9" s="98" t="str">
        <x:v>Агрессивный кандидат по открытому сценарию</x:v>
      </x:c>
      <x:c r="Y9" s="5" t="str">
        <x:v>История без разделения</x:v>
      </x:c>
      <x:c r="Z9" s="5"/>
      <x:c r="AA9" s="5"/>
      <x:c r="AB9" s="118"/>
      <x:c r="AC9" s="119"/>
      <x:c r="AD9" s="119"/>
      <x:c r="AE9" s="5"/>
      <x:c r="AF9" s="5" t="str">
        <x:v>BetsAPI event ID 13285570; итоговый отчёт 13.10.2026, № 6</x:v>
      </x:c>
      <x:c r="AG9" s="5" t="str">
        <x:v>До правила топ-5</x:v>
      </x:c>
    </x:row>
    <x:row r="10">
      <x:c r="A10" s="80" t="n">
        <x:v>5</x:v>
      </x:c>
      <x:c r="B10" s="80" t="str">
        <x:v>13234373</x:v>
      </x:c>
      <x:c r="C10" s="83" t="str">
        <x:v>13.10.2026 18:08</x:v>
      </x:c>
      <x:c r="D10" s="80" t="str">
        <x:v>Алжир - Второй дивизион</x:v>
      </x:c>
      <x:c r="E10" s="80" t="str">
        <x:v>ЕСМ Колеа - ЕС Мостаганем</x:v>
      </x:c>
      <x:c r="F10" s="86" t="n">
        <x:v>46</x:v>
      </x:c>
      <x:c r="G10" s="80" t="str">
        <x:v>1:1</x:v>
      </x:c>
      <x:c r="H10" s="95" t="str">
        <x:v>Равный счёт после активного первого тайма</x:v>
      </x:c>
      <x:c r="I10" s="95" t="str">
        <x:v>ТБ 3,0 всего матча</x:v>
      </x:c>
      <x:c r="J10" s="96" t="n">
        <x:v>1.975</x:v>
      </x:c>
      <x:c r="K10" s="97" t="n">
        <x:v>2</x:v>
      </x:c>
      <x:c r="L10" s="98" t="str">
        <x:v>Удары в створ 3:1; мимо 4:5; угловые 2:2; опасные атаки 28:17</x:v>
      </x:c>
      <x:c r="M10" s="98" t="str">
        <x:v>Нет отдельного снимка за 10-15 минут</x:v>
      </x:c>
      <x:c r="N10" s="98" t="str">
        <x:v>Две команды уже забили; 13 ударов суммарно; один гол даёт возврат, два - полный плюс</x:v>
      </x:c>
      <x:c r="O10" s="98" t="str">
        <x:v>Только 4 удара в створ; xG недоступен; Алжир часто замедляется после перерыва</x:v>
      </x:c>
      <x:c r="P10" s="98" t="str">
        <x:v>Средняя</x:v>
      </x:c>
      <x:c r="Q10" s="80" t="str">
        <x:v>ПОДХОДИТ В LIVE</x:v>
      </x:c>
      <x:c r="R10" s="80" t="str">
        <x:v>ТБ live v1 от 13.10.2026</x:v>
      </x:c>
      <x:c r="S10" s="80" t="str">
        <x:v>BetsAPI / Bet365</x:v>
      </x:c>
      <x:c r="T10" s="80" t="str">
        <x:v>2-3</x:v>
      </x:c>
      <x:c r="U10" s="80" t="str">
        <x:v>Выигрыш</x:v>
      </x:c>
      <x:c r="V10" s="89" t="n">
        <x:f>IF(A10="","",IF(U10="","",IF(U10="Выигрыш",J10-1,IF(U10="Полувыигрыш",(J10-1)/2,IF(U10="Возврат",0,IF(U10="Полупроигрыш",-0.5,IF(U10="Поражение",-1,"Проверить результат")))))))</x:f>
        <x:v>0.9750000000000001</x:v>
      </x:c>
      <x:c r="W10" s="80" t="str">
        <x:f>IF(A10="","",IF(U10="","Открыт",IF(ISNUMBER(V10),"Рассчитан","Проверить результат")))</x:f>
        <x:v>Рассчитан</x:v>
      </x:c>
      <x:c r="X10" s="98" t="str">
        <x:v>Линия с возвратом при одном дополнительном голе</x:v>
      </x:c>
      <x:c r="Y10" s="5" t="str">
        <x:v>История без разделения</x:v>
      </x:c>
      <x:c r="Z10" s="5"/>
      <x:c r="AA10" s="5"/>
      <x:c r="AB10" s="118"/>
      <x:c r="AC10" s="119"/>
      <x:c r="AD10" s="119"/>
      <x:c r="AE10" s="5"/>
      <x:c r="AF10" s="5" t="str">
        <x:v>BetsAPI event ID 13234373; итоговый отчёт 13.10.2026, № 7</x:v>
      </x:c>
      <x:c r="AG10" s="5" t="str">
        <x:v>До правила топ-5</x:v>
      </x:c>
    </x:row>
    <x:row r="11">
      <x:c r="A11" s="80" t="n">
        <x:v>6</x:v>
      </x:c>
      <x:c r="B11" s="80" t="str">
        <x:v>12202850</x:v>
      </x:c>
      <x:c r="C11" s="83" t="str">
        <x:v>13.10.2026 18:08</x:v>
      </x:c>
      <x:c r="D11" s="80" t="str">
        <x:v>Турция - Первая лига</x:v>
      </x:c>
      <x:c r="E11" s="80" t="str">
        <x:v>Сарыер - Бодрум ФК</x:v>
      </x:c>
      <x:c r="F11" s="86" t="n">
        <x:v>45</x:v>
      </x:c>
      <x:c r="G11" s="80" t="str">
        <x:v>0:3</x:v>
      </x:c>
      <x:c r="H11" s="95" t="str">
        <x:v>Хозяева вынуждены раскрываться, гости опасны в переходах</x:v>
      </x:c>
      <x:c r="I11" s="95" t="str">
        <x:v>ТБ 4,5 всего матча</x:v>
      </x:c>
      <x:c r="J11" s="96" t="n">
        <x:v>1.85</x:v>
      </x:c>
      <x:c r="K11" s="97" t="n">
        <x:v>2</x:v>
      </x:c>
      <x:c r="L11" s="98" t="str">
        <x:v>Владение 62:38; xG 0,14:0,72; удары в створ 2:7; мимо 3:4; угловые 3:3; опасные атаки 25:25</x:v>
      </x:c>
      <x:c r="M11" s="98" t="str">
        <x:v>Нет отдельного снимка за 10-15 минут</x:v>
      </x:c>
      <x:c r="N11" s="98" t="str">
        <x:v>Девять ударов в створ; 0:3 заставляет хозяев рисковать, а Бодрум сохраняет контратакующий сценарий</x:v>
      </x:c>
      <x:c r="O11" s="98" t="str">
        <x:v>Три гола сильно выше xG; лидер может сознательно снизить темп; нужны ещё два гола</x:v>
      </x:c>
      <x:c r="P11" s="98" t="str">
        <x:v>Средняя</x:v>
      </x:c>
      <x:c r="Q11" s="80" t="str">
        <x:v>ПОДХОДИТ В LIVE</x:v>
      </x:c>
      <x:c r="R11" s="80" t="str">
        <x:v>ТБ live v1 от 13.10.2026</x:v>
      </x:c>
      <x:c r="S11" s="80" t="str">
        <x:v>BetsAPI / Bet365</x:v>
      </x:c>
      <x:c r="T11" s="80" t="str">
        <x:v>1-4</x:v>
      </x:c>
      <x:c r="U11" s="80" t="str">
        <x:v>Выигрыш</x:v>
      </x:c>
      <x:c r="V11" s="89" t="n">
        <x:f>IF(A11="","",IF(U11="","",IF(U11="Выигрыш",J11-1,IF(U11="Полувыигрыш",(J11-1)/2,IF(U11="Возврат",0,IF(U11="Полупроигрыш",-0.5,IF(U11="Поражение",-1,"Проверить результат")))))))</x:f>
        <x:v>0.8500000000000001</x:v>
      </x:c>
      <x:c r="W11" s="80" t="str">
        <x:f>IF(A11="","",IF(U11="","Открыт",IF(ISNUMBER(V11),"Рассчитан","Проверить результат")))</x:f>
        <x:v>Рассчитан</x:v>
      </x:c>
      <x:c r="X11" s="98" t="str">
        <x:v>Высокая дисперсия из-за реализации выше xG</x:v>
      </x:c>
      <x:c r="Y11" s="5" t="str">
        <x:v>История без разделения</x:v>
      </x:c>
      <x:c r="Z11" s="5"/>
      <x:c r="AA11" s="5"/>
      <x:c r="AB11" s="118"/>
      <x:c r="AC11" s="119"/>
      <x:c r="AD11" s="119"/>
      <x:c r="AE11" s="5"/>
      <x:c r="AF11" s="5" t="str">
        <x:v>BetsAPI event ID 12202850; итоговый отчёт 13.10.2026, № 8</x:v>
      </x:c>
      <x:c r="AG11" s="5" t="str">
        <x:v>До правила топ-5</x:v>
      </x:c>
    </x:row>
    <x:row r="12">
      <x:c r="A12" s="80" t="n">
        <x:v>7</x:v>
      </x:c>
      <x:c r="B12" s="80" t="str">
        <x:v>13234392</x:v>
      </x:c>
      <x:c r="C12" s="83" t="str">
        <x:v>13.10.2026 18:08</x:v>
      </x:c>
      <x:c r="D12" s="80" t="str">
        <x:v>Алжир - Второй дивизион</x:v>
      </x:c>
      <x:c r="E12" s="80" t="str">
        <x:v>УС Шауия - Параду</x:v>
      </x:c>
      <x:c r="F12" s="86" t="n">
        <x:v>50</x:v>
      </x:c>
      <x:c r="G12" s="80" t="str">
        <x:v>1:0</x:v>
      </x:c>
      <x:c r="H12" s="95" t="str">
        <x:v>Высокое территориальное давление при минимальном счёте</x:v>
      </x:c>
      <x:c r="I12" s="95" t="str">
        <x:v>ТБ 1,75 всего матча</x:v>
      </x:c>
      <x:c r="J12" s="96" t="n">
        <x:v>1.7</x:v>
      </x:c>
      <x:c r="K12" s="97" t="n">
        <x:v>1</x:v>
      </x:c>
      <x:c r="L12" s="98" t="str">
        <x:v>Удары в створ 1:1; мимо 5:1; угловые 6:4; опасные атаки 60:34</x:v>
      </x:c>
      <x:c r="M12" s="98" t="str">
        <x:v>Нет отдельного снимка за 10-15 минут</x:v>
      </x:c>
      <x:c r="N12" s="98" t="str">
        <x:v>Десять угловых и 94 опасные атаки; ещё один гол уже даёт половину плюса</x:v>
      </x:c>
      <x:c r="O12" s="98" t="str">
        <x:v>Всего 2 удара в створ; хозяева ведут и могут перейти к контролю</x:v>
      </x:c>
      <x:c r="P12" s="98" t="str">
        <x:v>Средняя</x:v>
      </x:c>
      <x:c r="Q12" s="80" t="str">
        <x:v>ПОДХОДИТ В LIVE</x:v>
      </x:c>
      <x:c r="R12" s="80" t="str">
        <x:v>ТБ live v1 от 13.10.2026</x:v>
      </x:c>
      <x:c r="S12" s="80" t="str">
        <x:v>BetsAPI / Bet365</x:v>
      </x:c>
      <x:c r="T12" s="80" t="str">
        <x:v>1-0</x:v>
      </x:c>
      <x:c r="U12" s="80" t="str">
        <x:v>Поражение</x:v>
      </x:c>
      <x:c r="V12" s="89" t="n">
        <x:f>IF(A12="","",IF(U12="","",IF(U12="Выигрыш",J12-1,IF(U12="Полувыигрыш",(J12-1)/2,IF(U12="Возврат",0,IF(U12="Полупроигрыш",-0.5,IF(U12="Поражение",-1,"Проверить результат")))))))</x:f>
        <x:v>-1</x:v>
      </x:c>
      <x:c r="W12" s="80" t="str">
        <x:f>IF(A12="","",IF(U12="","Открыт",IF(ISNUMBER(V12),"Рассчитан","Проверить результат")))</x:f>
        <x:v>Рассчитан</x:v>
      </x:c>
      <x:c r="X12" s="98" t="str">
        <x:v>Защитная азиатская линия: второй гол даёт полуплюс</x:v>
      </x:c>
      <x:c r="Y12" s="5" t="str">
        <x:v>История без разделения</x:v>
      </x:c>
      <x:c r="Z12" s="5"/>
      <x:c r="AA12" s="5"/>
      <x:c r="AB12" s="118"/>
      <x:c r="AC12" s="119"/>
      <x:c r="AD12" s="119"/>
      <x:c r="AE12" s="5"/>
      <x:c r="AF12" s="5" t="str">
        <x:v>BetsAPI event ID 13234392; итоговый отчёт 13.10.2026, № 9</x:v>
      </x:c>
      <x:c r="AG12" s="5" t="str">
        <x:v>До правила топ-5</x:v>
      </x:c>
    </x:row>
    <x:row r="13">
      <x:c r="A13" s="80" t="n">
        <x:v>8</x:v>
      </x:c>
      <x:c r="B13" s="80" t="str">
        <x:v>12325195</x:v>
      </x:c>
      <x:c r="C13" s="83" t="str">
        <x:v>13.10.2026 18:37</x:v>
      </x:c>
      <x:c r="D13" s="80" t="str">
        <x:v>Саудовская Аравия - Первый дивизион</x:v>
      </x:c>
      <x:c r="E13" s="80" t="str">
        <x:v>Аль-Букайрия - Аль-Зульфи</x:v>
      </x:c>
      <x:c r="F13" s="86" t="n">
        <x:v>22</x:v>
      </x:c>
      <x:c r="G13" s="80" t="str">
        <x:v>0:0</x:v>
      </x:c>
      <x:c r="H13" s="95" t="str">
        <x:v>Удаление у хозяев и устойчивое давление фаворита</x:v>
      </x:c>
      <x:c r="I13" s="95" t="str">
        <x:v>ТБ 2,25 всего матча</x:v>
      </x:c>
      <x:c r="J13" s="96" t="n">
        <x:v>2.025</x:v>
      </x:c>
      <x:c r="K13" s="97" t="n">
        <x:v>3</x:v>
      </x:c>
      <x:c r="L13" s="98" t="str">
        <x:v>Владение 50:50; удары в створ 1:3; мимо 0:4; угловые 0:6; опасные атаки 4:18; удаления 1:0</x:v>
      </x:c>
      <x:c r="M13" s="98" t="str">
        <x:v>За 14 минут: удаление у хозяев; удары в створ +1:+2; удары мимо 0:+4; угловые 0:+4; опасные атаки +1:+11</x:v>
      </x:c>
      <x:c r="N13" s="98" t="str">
        <x:v>Аль-Зульфи был фаворитом за 1,44; соперник в меньшинстве; давление и стандарты на стороне гостей</x:v>
      </x:c>
      <x:c r="O13" s="98" t="str">
        <x:v>Счёт 0:0; для полного плюса нужны три гола; большинство может сделать игру односторонней</x:v>
      </x:c>
      <x:c r="P13" s="98" t="str">
        <x:v>Высокая</x:v>
      </x:c>
      <x:c r="Q13" s="80" t="str">
        <x:v>ПОДХОДИТ В LIVE</x:v>
      </x:c>
      <x:c r="R13" s="80" t="str">
        <x:v>ТБ live v1 от 13.10.2026</x:v>
      </x:c>
      <x:c r="S13" s="80" t="str">
        <x:v>BetsAPI / Bet365</x:v>
      </x:c>
      <x:c r="T13" s="80" t="str">
        <x:v>0-2</x:v>
      </x:c>
      <x:c r="U13" s="80" t="str">
        <x:v>Полупроигрыш</x:v>
      </x:c>
      <x:c r="V13" s="89" t="n">
        <x:f>IF(A13="","",IF(U13="","",IF(U13="Выигрыш",J13-1,IF(U13="Полувыигрыш",(J13-1)/2,IF(U13="Возврат",0,IF(U13="Полупроигрыш",-0.5,IF(U13="Поражение",-1,"Проверить результат")))))))</x:f>
        <x:v>-0.5</x:v>
      </x:c>
      <x:c r="W13" s="80" t="str">
        <x:f>IF(A13="","",IF(U13="","Открыт",IF(ISNUMBER(V13),"Рассчитан","Проверить результат")))</x:f>
        <x:v>Рассчитан</x:v>
      </x:c>
      <x:c r="X13" s="98" t="str">
        <x:v>Главный кандидат: фаворит в большинстве и резко нарастил давление</x:v>
      </x:c>
      <x:c r="Y13" s="5" t="str">
        <x:v>История без разделения</x:v>
      </x:c>
      <x:c r="Z13" s="5"/>
      <x:c r="AA13" s="5"/>
      <x:c r="AB13" s="118"/>
      <x:c r="AC13" s="119"/>
      <x:c r="AD13" s="119"/>
      <x:c r="AE13" s="5"/>
      <x:c r="AF13" s="5" t="str">
        <x:v>BetsAPI event ID 12325195; итоговый отчёт 13.10.2026, № 10</x:v>
      </x:c>
      <x:c r="AG13" s="5" t="str">
        <x:v>До правила топ-5</x:v>
      </x:c>
    </x:row>
    <x:row r="14">
      <x:c r="A14" s="80" t="n">
        <x:v>9</x:v>
      </x:c>
      <x:c r="B14" s="80" t="str">
        <x:v>13285445</x:v>
      </x:c>
      <x:c r="C14" s="83" t="str">
        <x:v>13.10.2026 18:37</x:v>
      </x:c>
      <x:c r="D14" s="80" t="str">
        <x:v>Чили - Терсера</x:v>
      </x:c>
      <x:c r="E14" s="80" t="str">
        <x:v>Атлетико Ориенте - Комуналь Кабреро</x:v>
      </x:c>
      <x:c r="F14" s="86" t="n">
        <x:v>35</x:v>
      </x:c>
      <x:c r="G14" s="80" t="str">
        <x:v>1:2</x:v>
      </x:c>
      <x:c r="H14" s="95" t="str">
        <x:v>Открытая игра продолжается после третьего гола</x:v>
      </x:c>
      <x:c r="I14" s="95" t="str">
        <x:v>ТБ 5,25 всего матча</x:v>
      </x:c>
      <x:c r="J14" s="96" t="n">
        <x:v>1.95</x:v>
      </x:c>
      <x:c r="K14" s="97" t="n">
        <x:v>3</x:v>
      </x:c>
      <x:c r="L14" s="98" t="str">
        <x:v>Владение 69:31; удары в створ 2:7; мимо 4:3; угловые 2:2; опасные атаки 11:16</x:v>
      </x:c>
      <x:c r="M14" s="98" t="str">
        <x:v>За 13 минут: гол гостей; удары в створ 0:+4; удары мимо +3:+1; угловые 0:+1; опасные атаки +5:+8</x:v>
      </x:c>
      <x:c r="N14" s="98" t="str">
        <x:v>Девять ударов в створ; четыре свежих попадания гостей; третий гол не остановил атаки</x:v>
      </x:c>
      <x:c r="O14" s="98" t="str">
        <x:v>Нужны ещё три гола; нижняя лига и нет xG; высокая ранняя реализация</x:v>
      </x:c>
      <x:c r="P14" s="98" t="str">
        <x:v>Средняя</x:v>
      </x:c>
      <x:c r="Q14" s="80" t="str">
        <x:v>ПОДХОДИТ В LIVE</x:v>
      </x:c>
      <x:c r="R14" s="80" t="str">
        <x:v>ТБ live v1 от 13.10.2026</x:v>
      </x:c>
      <x:c r="S14" s="80" t="str">
        <x:v>BetsAPI / Bet365</x:v>
      </x:c>
      <x:c r="T14" s="80" t="str">
        <x:v>3-2</x:v>
      </x:c>
      <x:c r="U14" s="80" t="str">
        <x:v>Полупроигрыш</x:v>
      </x:c>
      <x:c r="V14" s="89" t="n">
        <x:f>IF(A14="","",IF(U14="","",IF(U14="Выигрыш",J14-1,IF(U14="Полувыигрыш",(J14-1)/2,IF(U14="Возврат",0,IF(U14="Полупроигрыш",-0.5,IF(U14="Поражение",-1,"Проверить результат")))))))</x:f>
        <x:v>-0.5</x:v>
      </x:c>
      <x:c r="W14" s="80" t="str">
        <x:f>IF(A14="","",IF(U14="","Открыт",IF(ISNUMBER(V14),"Рассчитан","Проверить результат")))</x:f>
        <x:v>Рассчитан</x:v>
      </x:c>
      <x:c r="X14" s="98" t="str">
        <x:v>Сильная атакующая динамика, но очень высокая линия</x:v>
      </x:c>
      <x:c r="Y14" s="5" t="str">
        <x:v>История без разделения</x:v>
      </x:c>
      <x:c r="Z14" s="5"/>
      <x:c r="AA14" s="5"/>
      <x:c r="AB14" s="118"/>
      <x:c r="AC14" s="119"/>
      <x:c r="AD14" s="119"/>
      <x:c r="AE14" s="5"/>
      <x:c r="AF14" s="5" t="str">
        <x:v>BetsAPI event ID 13285445; итоговый отчёт 13.10.2026, № 11</x:v>
      </x:c>
      <x:c r="AG14" s="5" t="str">
        <x:v>До правила топ-5</x:v>
      </x:c>
    </x:row>
    <x:row r="15">
      <x:c r="A15" s="80" t="n">
        <x:v>10</x:v>
      </x:c>
      <x:c r="B15" s="80" t="str">
        <x:v>12062993</x:v>
      </x:c>
      <x:c r="C15" s="83" t="str">
        <x:v>13.10.2026 18:37</x:v>
      </x:c>
      <x:c r="D15" s="80" t="str">
        <x:v>Женщины - Квалификация ЧМ</x:v>
      </x:c>
      <x:c r="E15" s="80" t="str">
        <x:v>Словения - Турция</x:v>
      </x:c>
      <x:c r="F15" s="86" t="n">
        <x:v>35</x:v>
      </x:c>
      <x:c r="G15" s="80" t="str">
        <x:v>0:0</x:v>
      </x:c>
      <x:c r="H15" s="95" t="str">
        <x:v>Фаворит давит на соперника, оставшегося в меньшинстве</x:v>
      </x:c>
      <x:c r="I15" s="95" t="str">
        <x:v>ТБ 2,0 всего матча</x:v>
      </x:c>
      <x:c r="J15" s="96" t="n">
        <x:v>1.85</x:v>
      </x:c>
      <x:c r="K15" s="97" t="n">
        <x:v>3</x:v>
      </x:c>
      <x:c r="L15" s="98" t="str">
        <x:v>Владение 50:50; атаки 61:40; удары в створ 1:1; мимо 3:2; угловые 3:0; опасные атаки 47:24; удаления 0:1</x:v>
      </x:c>
      <x:c r="M15" s="98" t="str">
        <x:v>Нет предыдущего снимка этой категории</x:v>
      </x:c>
      <x:c r="N15" s="98" t="str">
        <x:v>Словения была фаворитом за 1,29; у Турции удаление; территориальное преимущество и угловые хозяев</x:v>
      </x:c>
      <x:c r="O15" s="98" t="str">
        <x:v>Всего два удара в створ; при двух голах будет только возврат; красная карточка может закрыть Турцию</x:v>
      </x:c>
      <x:c r="P15" s="98" t="str">
        <x:v>Высокая</x:v>
      </x:c>
      <x:c r="Q15" s="80" t="str">
        <x:v>ПОДХОДИТ В LIVE</x:v>
      </x:c>
      <x:c r="R15" s="80" t="str">
        <x:v>ТБ live v1 от 13.10.2026</x:v>
      </x:c>
      <x:c r="S15" s="80" t="str">
        <x:v>BetsAPI / Bet365</x:v>
      </x:c>
      <x:c r="T15" s="80" t="str">
        <x:v>2-0</x:v>
      </x:c>
      <x:c r="U15" s="80" t="str">
        <x:v>Возврат</x:v>
      </x:c>
      <x:c r="V15" s="89" t="n">
        <x:f>IF(A15="","",IF(U15="","",IF(U15="Выигрыш",J15-1,IF(U15="Полувыигрыш",(J15-1)/2,IF(U15="Возврат",0,IF(U15="Полупроигрыш",-0.5,IF(U15="Поражение",-1,"Проверить результат")))))))</x:f>
        <x:v>0</x:v>
      </x:c>
      <x:c r="W15" s="80" t="str">
        <x:f>IF(A15="","",IF(U15="","Открыт",IF(ISNUMBER(V15),"Рассчитан","Проверить результат")))</x:f>
        <x:v>Рассчитан</x:v>
      </x:c>
      <x:c r="X15" s="98" t="str">
        <x:v>Кандидат по удалению и территориальному превосходству фаворита</x:v>
      </x:c>
      <x:c r="Y15" s="5" t="str">
        <x:v>История без разделения</x:v>
      </x:c>
      <x:c r="Z15" s="5"/>
      <x:c r="AA15" s="5"/>
      <x:c r="AB15" s="118"/>
      <x:c r="AC15" s="119"/>
      <x:c r="AD15" s="119"/>
      <x:c r="AE15" s="5"/>
      <x:c r="AF15" s="5" t="str">
        <x:v>BetsAPI event ID 12062993; итоговый отчёт 13.10.2026, № 12</x:v>
      </x:c>
      <x:c r="AG15" s="5" t="str">
        <x:v>До правила топ-5</x:v>
      </x:c>
    </x:row>
    <x:row r="16">
      <x:c r="A16" s="80" t="n">
        <x:v>11</x:v>
      </x:c>
      <x:c r="B16" s="80" t="str">
        <x:v>12126208</x:v>
      </x:c>
      <x:c r="C16" s="83" t="str">
        <x:v>13.10.2026 18:37</x:v>
      </x:c>
      <x:c r="D16" s="80" t="str">
        <x:v>Болгария - Вторая лига</x:v>
      </x:c>
      <x:c r="E16" s="80" t="str">
        <x:v>Монтана - Лудогорец II</x:v>
      </x:c>
      <x:c r="F16" s="86" t="n">
        <x:v>36</x:v>
      </x:c>
      <x:c r="G16" s="80" t="str">
        <x:v>2:1</x:v>
      </x:c>
      <x:c r="H16" s="95" t="str">
        <x:v>Результативная игра сохраняет импульс после гола хозяев</x:v>
      </x:c>
      <x:c r="I16" s="95" t="str">
        <x:v>ТБ 4,5 всего матча</x:v>
      </x:c>
      <x:c r="J16" s="96" t="n">
        <x:v>1.775</x:v>
      </x:c>
      <x:c r="K16" s="97" t="n">
        <x:v>2</x:v>
      </x:c>
      <x:c r="L16" s="98" t="str">
        <x:v>Владение 53:47; удары в створ 4:2; мимо 1:0; опасные атаки 17:12</x:v>
      </x:c>
      <x:c r="M16" s="98" t="str">
        <x:v>За 14 минут: гол хозяев; удары в створ +3:+1; удары мимо +1:0; опасные атаки +10:+7</x:v>
      </x:c>
      <x:c r="N16" s="98" t="str">
        <x:v>Свежий гол и четыре новых удара в створ; до конца остаётся больше тайма; гостям нужно отыгрываться</x:v>
      </x:c>
      <x:c r="O16" s="98" t="str">
        <x:v>Три гола реализованы из шести ударов в створ; нет угловых; давление пока не экстремальное</x:v>
      </x:c>
      <x:c r="P16" s="98" t="str">
        <x:v>Средняя</x:v>
      </x:c>
      <x:c r="Q16" s="80" t="str">
        <x:v>ПОДХОДИТ В LIVE</x:v>
      </x:c>
      <x:c r="R16" s="80" t="str">
        <x:v>ТБ live v1 от 13.10.2026</x:v>
      </x:c>
      <x:c r="S16" s="80" t="str">
        <x:v>BetsAPI / Bet365</x:v>
      </x:c>
      <x:c r="T16" s="80" t="str">
        <x:v>2-3</x:v>
      </x:c>
      <x:c r="U16" s="80" t="str">
        <x:v>Выигрыш</x:v>
      </x:c>
      <x:c r="V16" s="89" t="n">
        <x:f>IF(A16="","",IF(U16="","",IF(U16="Выигрыш",J16-1,IF(U16="Полувыигрыш",(J16-1)/2,IF(U16="Возврат",0,IF(U16="Полупроигрыш",-0.5,IF(U16="Поражение",-1,"Проверить результат")))))))</x:f>
        <x:v>0.7749999999999999</x:v>
      </x:c>
      <x:c r="W16" s="80" t="str">
        <x:f>IF(A16="","",IF(U16="","Открыт",IF(ISNUMBER(V16),"Рассчитан","Проверить результат")))</x:f>
        <x:v>Рассчитан</x:v>
      </x:c>
      <x:c r="X16" s="98" t="str">
        <x:v>Продолжение открытого матча после свежего гола</x:v>
      </x:c>
      <x:c r="Y16" s="5" t="str">
        <x:v>История без разделения</x:v>
      </x:c>
      <x:c r="Z16" s="5"/>
      <x:c r="AA16" s="5"/>
      <x:c r="AB16" s="118"/>
      <x:c r="AC16" s="119"/>
      <x:c r="AD16" s="119"/>
      <x:c r="AE16" s="5"/>
      <x:c r="AF16" s="5" t="str">
        <x:v>BetsAPI event ID 12126208; итоговый отчёт 13.10.2026, № 13</x:v>
      </x:c>
      <x:c r="AG16" s="5" t="str">
        <x:v>До правила топ-5</x:v>
      </x:c>
    </x:row>
    <x:row r="17">
      <x:c r="A17" s="80" t="n">
        <x:v>12</x:v>
      </x:c>
      <x:c r="B17" s="80" t="str">
        <x:v>12062983</x:v>
      </x:c>
      <x:c r="C17" s="83" t="str">
        <x:v>13.10.2026 18:37</x:v>
      </x:c>
      <x:c r="D17" s="80" t="str">
        <x:v>Женщины - Квалификация ЧМ</x:v>
      </x:c>
      <x:c r="E17" s="80" t="str">
        <x:v>Сербия - Финляндия</x:v>
      </x:c>
      <x:c r="F17" s="86" t="n">
        <x:v>36</x:v>
      </x:c>
      <x:c r="G17" s="80" t="str">
        <x:v>1:1</x:v>
      </x:c>
      <x:c r="H17" s="95" t="str">
        <x:v>Обе забили, фаворит Финляндия создаёт больше и продолжает давить</x:v>
      </x:c>
      <x:c r="I17" s="95" t="str">
        <x:v>ТБ 3,75 всего матча</x:v>
      </x:c>
      <x:c r="J17" s="96" t="n">
        <x:v>1.925</x:v>
      </x:c>
      <x:c r="K17" s="97" t="n">
        <x:v>2</x:v>
      </x:c>
      <x:c r="L17" s="98" t="str">
        <x:v>Владение 58:42; xG 0,04:0,74; удары в створ 1:3; мимо 1:3; угловые 0:2; опасные атаки 14:26</x:v>
      </x:c>
      <x:c r="M17" s="98" t="str">
        <x:v>Нет предыдущего снимка этой категории</x:v>
      </x:c>
      <x:c r="N17" s="98" t="str">
        <x:v>Финляндия была фаворитом за 1,67; преимущество по xG, ударам и опасным атакам; обе команды уже забили</x:v>
      </x:c>
      <x:c r="O17" s="98" t="str">
        <x:v>Гол Сербии сильно выше её xG; нужны два гола для полуплюса и три для полного плюса</x:v>
      </x:c>
      <x:c r="P17" s="98" t="str">
        <x:v>Высокая</x:v>
      </x:c>
      <x:c r="Q17" s="80" t="str">
        <x:v>ПОДХОДИТ В LIVE</x:v>
      </x:c>
      <x:c r="R17" s="80" t="str">
        <x:v>ТБ live v1 от 13.10.2026</x:v>
      </x:c>
      <x:c r="S17" s="80" t="str">
        <x:v>BetsAPI / Bet365</x:v>
      </x:c>
      <x:c r="T17" s="80" t="str">
        <x:v>1-3</x:v>
      </x:c>
      <x:c r="U17" s="80" t="str">
        <x:v>Полувыигрыш</x:v>
      </x:c>
      <x:c r="V17" s="89" t="n">
        <x:f>IF(A17="","",IF(U17="","",IF(U17="Выигрыш",J17-1,IF(U17="Полувыигрыш",(J17-1)/2,IF(U17="Возврат",0,IF(U17="Полупроигрыш",-0.5,IF(U17="Поражение",-1,"Проверить результат")))))))</x:f>
        <x:v>0.4625</x:v>
      </x:c>
      <x:c r="W17" s="80" t="str">
        <x:f>IF(A17="","",IF(U17="","Открыт",IF(ISNUMBER(V17),"Рассчитан","Проверить результат")))</x:f>
        <x:v>Рассчитан</x:v>
      </x:c>
      <x:c r="X17" s="98" t="str">
        <x:v>Финляндия подтверждает статус фаворита качеством моментов</x:v>
      </x:c>
      <x:c r="Y17" s="5" t="str">
        <x:v>История без разделения</x:v>
      </x:c>
      <x:c r="Z17" s="5"/>
      <x:c r="AA17" s="5"/>
      <x:c r="AB17" s="118"/>
      <x:c r="AC17" s="119"/>
      <x:c r="AD17" s="119"/>
      <x:c r="AE17" s="5"/>
      <x:c r="AF17" s="5" t="str">
        <x:v>BetsAPI event ID 12062983; итоговый отчёт 13.10.2026, № 14</x:v>
      </x:c>
      <x:c r="AG17" s="5" t="str">
        <x:v>До правила топ-5</x:v>
      </x:c>
    </x:row>
    <x:row r="18">
      <x:c r="A18" s="80" t="n">
        <x:v>13</x:v>
      </x:c>
      <x:c r="B18" s="80" t="str">
        <x:v>12063011</x:v>
      </x:c>
      <x:c r="C18" s="83" t="str">
        <x:v>13.10.2026 18:37</x:v>
      </x:c>
      <x:c r="D18" s="80" t="str">
        <x:v>Женщины - Квалификация ЧМ</x:v>
      </x:c>
      <x:c r="E18" s="80" t="str">
        <x:v>Словакия - Украина</x:v>
      </x:c>
      <x:c r="F18" s="86" t="n">
        <x:v>37</x:v>
      </x:c>
      <x:c r="G18" s="80" t="str">
        <x:v>0:0</x:v>
      </x:c>
      <x:c r="H18" s="95" t="str">
        <x:v>Фаворит Украина давит, а обе команды регулярно попадают в створ</x:v>
      </x:c>
      <x:c r="I18" s="95" t="str">
        <x:v>ТБ 1,75 всего матча</x:v>
      </x:c>
      <x:c r="J18" s="96" t="n">
        <x:v>1.9</x:v>
      </x:c>
      <x:c r="K18" s="97" t="n">
        <x:v>2</x:v>
      </x:c>
      <x:c r="L18" s="98" t="str">
        <x:v>Владение 38:62; удары в створ 2:3; мимо 1:2; угловые 0:2; опасные атаки 17:26</x:v>
      </x:c>
      <x:c r="M18" s="98" t="str">
        <x:v>Нет предыдущего снимка этой категории</x:v>
      </x:c>
      <x:c r="N18" s="98" t="str">
        <x:v>Пять ударов в створ; Украина была фаворитом за 1,67 и ведёт по владению, ударам и давлению</x:v>
      </x:c>
      <x:c r="O18" s="98" t="str">
        <x:v>Голов к 37-й минуте нет; два гола дадут только полуплюс; качество моментов без xG неизвестно</x:v>
      </x:c>
      <x:c r="P18" s="98" t="str">
        <x:v>Высокая</x:v>
      </x:c>
      <x:c r="Q18" s="80" t="str">
        <x:v>ПОДХОДИТ В LIVE</x:v>
      </x:c>
      <x:c r="R18" s="80" t="str">
        <x:v>ТБ live v1 от 13.10.2026</x:v>
      </x:c>
      <x:c r="S18" s="80" t="str">
        <x:v>BetsAPI / Bet365</x:v>
      </x:c>
      <x:c r="T18" s="80" t="str">
        <x:v>0-1</x:v>
      </x:c>
      <x:c r="U18" s="80" t="str">
        <x:v>Поражение</x:v>
      </x:c>
      <x:c r="V18" s="89" t="n">
        <x:f>IF(A18="","",IF(U18="","",IF(U18="Выигрыш",J18-1,IF(U18="Полувыигрыш",(J18-1)/2,IF(U18="Возврат",0,IF(U18="Полупроигрыш",-0.5,IF(U18="Поражение",-1,"Проверить результат")))))))</x:f>
        <x:v>-1</x:v>
      </x:c>
      <x:c r="W18" s="80" t="str">
        <x:f>IF(A18="","",IF(U18="","Открыт",IF(ISNUMBER(V18),"Рассчитан","Проверить результат")))</x:f>
        <x:v>Рассчитан</x:v>
      </x:c>
      <x:c r="X18" s="98" t="str">
        <x:v>Низкая линия при пяти ударах в створ</x:v>
      </x:c>
      <x:c r="Y18" s="5" t="str">
        <x:v>История без разделения</x:v>
      </x:c>
      <x:c r="Z18" s="5"/>
      <x:c r="AA18" s="5"/>
      <x:c r="AB18" s="118"/>
      <x:c r="AC18" s="119"/>
      <x:c r="AD18" s="119"/>
      <x:c r="AE18" s="5"/>
      <x:c r="AF18" s="5" t="str">
        <x:v>BetsAPI event ID 12063011; итоговый отчёт 13.10.2026, № 15</x:v>
      </x:c>
      <x:c r="AG18" s="5" t="str">
        <x:v>До правила топ-5</x:v>
      </x:c>
    </x:row>
    <x:row r="19">
      <x:c r="A19" s="80" t="n">
        <x:v>14</x:v>
      </x:c>
      <x:c r="B19" s="80" t="str">
        <x:v>13285678</x:v>
      </x:c>
      <x:c r="C19" s="83" t="str">
        <x:v>13.10.2026 18:37</x:v>
      </x:c>
      <x:c r="D19" s="80" t="str">
        <x:v>Персидский залив - Клубный чемпионат</x:v>
      </x:c>
      <x:c r="E19" s="80" t="str">
        <x:v>Катар СК - Аль-Завра</x:v>
      </x:c>
      <x:c r="F19" s="86" t="n">
        <x:v>51</x:v>
      </x:c>
      <x:c r="G19" s="80" t="str">
        <x:v>1:1</x:v>
      </x:c>
      <x:c r="H19" s="95" t="str">
        <x:v>После свежего ответного гола матч снова открыт для обеих команд</x:v>
      </x:c>
      <x:c r="I19" s="95" t="str">
        <x:v>ТБ 3,0 всего матча</x:v>
      </x:c>
      <x:c r="J19" s="96" t="n">
        <x:v>1.75</x:v>
      </x:c>
      <x:c r="K19" s="97" t="n">
        <x:v>2</x:v>
      </x:c>
      <x:c r="L19" s="98" t="str">
        <x:v>Владение 50:50; удары в створ 1:3; мимо 4:2; угловые 1:3; опасные атаки 11:13</x:v>
      </x:c>
      <x:c r="M19" s="98" t="str">
        <x:v>За 14 минут: гол Катар СК; удары в створ +1:+1; удары мимо +1:0; угловые +1:+1; опасные атаки +2:+2</x:v>
      </x:c>
      <x:c r="N19" s="98" t="str">
        <x:v>Свежий ответный гол; равные предматчевые шансы; обеим командам есть смысл искать победу</x:v>
      </x:c>
      <x:c r="O19" s="98" t="str">
        <x:v>Суммарная угроза умеренная; один дополнительный гол даст только возврат; уже 51-я минута</x:v>
      </x:c>
      <x:c r="P19" s="98" t="str">
        <x:v>Средняя</x:v>
      </x:c>
      <x:c r="Q19" s="80" t="str">
        <x:v>ПОДХОДИТ В LIVE</x:v>
      </x:c>
      <x:c r="R19" s="80" t="str">
        <x:v>ТБ live v1 от 13.10.2026</x:v>
      </x:c>
      <x:c r="S19" s="80" t="str">
        <x:v>BetsAPI / Bet365</x:v>
      </x:c>
      <x:c r="T19" s="80" t="str">
        <x:v>1-1</x:v>
      </x:c>
      <x:c r="U19" s="80" t="str">
        <x:v>Поражение</x:v>
      </x:c>
      <x:c r="V19" s="89" t="n">
        <x:f>IF(A19="","",IF(U19="","",IF(U19="Выигрыш",J19-1,IF(U19="Полувыигрыш",(J19-1)/2,IF(U19="Возврат",0,IF(U19="Полупроигрыш",-0.5,IF(U19="Поражение",-1,"Проверить результат")))))))</x:f>
        <x:v>-1</x:v>
      </x:c>
      <x:c r="W19" s="80" t="str">
        <x:f>IF(A19="","",IF(U19="","Открыт",IF(ISNUMBER(V19),"Рассчитан","Проверить результат")))</x:f>
        <x:v>Рассчитан</x:v>
      </x:c>
      <x:c r="X19" s="98" t="str">
        <x:v>Умеренный кандидат после свежего ответного гола</x:v>
      </x:c>
      <x:c r="Y19" s="5" t="str">
        <x:v>История без разделения</x:v>
      </x:c>
      <x:c r="Z19" s="5"/>
      <x:c r="AA19" s="5"/>
      <x:c r="AB19" s="118"/>
      <x:c r="AC19" s="119"/>
      <x:c r="AD19" s="119"/>
      <x:c r="AE19" s="5"/>
      <x:c r="AF19" s="5" t="str">
        <x:v>BetsAPI event ID 13285678; итоговый отчёт 13.10.2026, № 16</x:v>
      </x:c>
      <x:c r="AG19" s="5" t="str">
        <x:v>До правила топ-5</x:v>
      </x:c>
    </x:row>
    <x:row r="20">
      <x:c r="A20" s="80" t="n">
        <x:v>15</x:v>
      </x:c>
      <x:c r="B20" s="80" t="str">
        <x:v>12325194</x:v>
      </x:c>
      <x:c r="C20" s="83" t="str">
        <x:v>13.10.2026 18:43</x:v>
      </x:c>
      <x:c r="D20" s="80" t="str">
        <x:v>Саудовская Аравия - Первый дивизион</x:v>
      </x:c>
      <x:c r="E20" s="80" t="str">
        <x:v>Аль-Сакр - Аль-Джабалайн</x:v>
      </x:c>
      <x:c r="F20" s="86" t="n">
        <x:v>27</x:v>
      </x:c>
      <x:c r="G20" s="80" t="str">
        <x:v>0:0</x:v>
      </x:c>
      <x:c r="H20" s="95" t="str">
        <x:v>Гости устойчиво давят и подтверждают статус фаворита</x:v>
      </x:c>
      <x:c r="I20" s="95" t="str">
        <x:v>ТБ 1,75 всего матча</x:v>
      </x:c>
      <x:c r="J20" s="96" t="n">
        <x:v>1.9</x:v>
      </x:c>
      <x:c r="K20" s="97" t="n">
        <x:v>2</x:v>
      </x:c>
      <x:c r="L20" s="98" t="str">
        <x:v>Владение 35:65; удары в створ 0:3; мимо 2:7; опасные атаки 11:36</x:v>
      </x:c>
      <x:c r="M20" s="98" t="str">
        <x:v>Свежий снимок без сопоставимого предыдущего отбора</x:v>
      </x:c>
      <x:c r="N20" s="98" t="str">
        <x:v>Аль-Джабалайн ведёт по ударам 10:2 и опасным атакам 36:11; низкая защитная линия тотала</x:v>
      </x:c>
      <x:c r="O20" s="98" t="str">
        <x:v>Голов к 27-й минуте нет; угловых нет; для полного плюса нужны два гола</x:v>
      </x:c>
      <x:c r="P20" s="98" t="str">
        <x:v>Высокая</x:v>
      </x:c>
      <x:c r="Q20" s="80" t="str">
        <x:v>ПОДХОДИТ В LIVE</x:v>
      </x:c>
      <x:c r="R20" s="80" t="str">
        <x:v>ТБ live v1 от 13.10.2026</x:v>
      </x:c>
      <x:c r="S20" s="80" t="str">
        <x:v>BetsAPI / Bet365</x:v>
      </x:c>
      <x:c r="T20" s="80" t="str">
        <x:v>1-3</x:v>
      </x:c>
      <x:c r="U20" s="80" t="str">
        <x:v>Выигрыш</x:v>
      </x:c>
      <x:c r="V20" s="89" t="n">
        <x:f>IF(A20="","",IF(U20="","",IF(U20="Выигрыш",J20-1,IF(U20="Полувыигрыш",(J20-1)/2,IF(U20="Возврат",0,IF(U20="Полупроигрыш",-0.5,IF(U20="Поражение",-1,"Проверить результат")))))))</x:f>
        <x:v>0.8999999999999999</x:v>
      </x:c>
      <x:c r="W20" s="80" t="str">
        <x:f>IF(A20="","",IF(U20="","Открыт",IF(ISNUMBER(V20),"Рассчитан","Проверить результат")))</x:f>
        <x:v>Рассчитан</x:v>
      </x:c>
      <x:c r="X20" s="98" t="str">
        <x:v>Сильное давление фаворита при низкой линии</x:v>
      </x:c>
      <x:c r="Y20" s="5" t="str">
        <x:v>История без разделения</x:v>
      </x:c>
      <x:c r="Z20" s="5"/>
      <x:c r="AA20" s="5"/>
      <x:c r="AB20" s="118"/>
      <x:c r="AC20" s="119"/>
      <x:c r="AD20" s="119"/>
      <x:c r="AE20" s="5"/>
      <x:c r="AF20" s="5" t="str">
        <x:v>BetsAPI event ID 12325194; итоговый отчёт 13.10.2026, № 17</x:v>
      </x:c>
      <x:c r="AG20" s="5" t="str">
        <x:v>До правила топ-5</x:v>
      </x:c>
    </x:row>
    <x:row r="21">
      <x:c r="A21" s="80" t="n">
        <x:v>16</x:v>
      </x:c>
      <x:c r="B21" s="80" t="str">
        <x:v>12471952</x:v>
      </x:c>
      <x:c r="C21" s="83" t="str">
        <x:v>13.10.2026 18:43</x:v>
      </x:c>
      <x:c r="D21" s="80" t="str">
        <x:v>Израиль - Юношеская лига</x:v>
      </x:c>
      <x:c r="E21" s="80" t="str">
        <x:v>Хапоэль Ришон-ле-Цион U19 - Хапоэль Раанана U19</x:v>
      </x:c>
      <x:c r="F21" s="86" t="n">
        <x:v>45</x:v>
      </x:c>
      <x:c r="G21" s="80" t="str">
        <x:v>1:0</x:v>
      </x:c>
      <x:c r="H21" s="95" t="str">
        <x:v>Юношеский матч сохраняет двустороннюю атакующую активность</x:v>
      </x:c>
      <x:c r="I21" s="95" t="str">
        <x:v>ТБ 2,75 всего матча</x:v>
      </x:c>
      <x:c r="J21" s="96" t="n">
        <x:v>1.95</x:v>
      </x:c>
      <x:c r="K21" s="97" t="n">
        <x:v>2</x:v>
      </x:c>
      <x:c r="L21" s="98" t="str">
        <x:v>Владение 46:54; удары в створ 3:1; мимо 0:2; угловые 2:3; опасные атаки 32:22</x:v>
      </x:c>
      <x:c r="M21" s="98" t="str">
        <x:v>Свежий снимок без сопоставимого предыдущего отбора</x:v>
      </x:c>
      <x:c r="N21" s="98" t="str">
        <x:v>Четыре удара в створ и 54 опасные атаки; пять угловых; линия допускает полуплюс при трёх голах</x:v>
      </x:c>
      <x:c r="O21" s="98" t="str">
        <x:v>До перерыва забит один гол; для полного плюса нужны ещё три; качество моментов без xG неизвестно</x:v>
      </x:c>
      <x:c r="P21" s="98" t="str">
        <x:v>Средняя</x:v>
      </x:c>
      <x:c r="Q21" s="80" t="str">
        <x:v>ПОДХОДИТ В LIVE</x:v>
      </x:c>
      <x:c r="R21" s="80" t="str">
        <x:v>ТБ live v1 от 13.10.2026</x:v>
      </x:c>
      <x:c r="S21" s="80" t="str">
        <x:v>BetsAPI / Bet365</x:v>
      </x:c>
      <x:c r="T21" s="80" t="str">
        <x:v>1-1</x:v>
      </x:c>
      <x:c r="U21" s="80" t="str">
        <x:v>Поражение</x:v>
      </x:c>
      <x:c r="V21" s="89" t="n">
        <x:f>IF(A21="","",IF(U21="","",IF(U21="Выигрыш",J21-1,IF(U21="Полувыигрыш",(J21-1)/2,IF(U21="Возврат",0,IF(U21="Полупроигрыш",-0.5,IF(U21="Поражение",-1,"Проверить результат")))))))</x:f>
        <x:v>-1</x:v>
      </x:c>
      <x:c r="W21" s="80" t="str">
        <x:f>IF(A21="","",IF(U21="","Открыт",IF(ISNUMBER(V21),"Рассчитан","Проверить результат")))</x:f>
        <x:v>Рассчитан</x:v>
      </x:c>
      <x:c r="X21" s="98" t="str">
        <x:v>Новый юношеский кандидат текущего снимка</x:v>
      </x:c>
      <x:c r="Y21" s="5" t="str">
        <x:v>История без разделения</x:v>
      </x:c>
      <x:c r="Z21" s="5"/>
      <x:c r="AA21" s="5"/>
      <x:c r="AB21" s="118"/>
      <x:c r="AC21" s="119"/>
      <x:c r="AD21" s="119"/>
      <x:c r="AE21" s="5"/>
      <x:c r="AF21" s="5" t="str">
        <x:v>BetsAPI event ID 12471952; итоговый отчёт 13.10.2026, № 18</x:v>
      </x:c>
      <x:c r="AG21" s="5" t="str">
        <x:v>До правила топ-5</x:v>
      </x:c>
    </x:row>
    <x:row r="22">
      <x:c r="A22" s="80" t="n">
        <x:v>17</x:v>
      </x:c>
      <x:c r="B22" s="80" t="str">
        <x:v>12407691</x:v>
      </x:c>
      <x:c r="C22" s="83" t="str">
        <x:v>13.10.2026 21:27</x:v>
      </x:c>
      <x:c r="D22" s="80" t="str">
        <x:v>Англия - Трофей Английской лиги</x:v>
      </x:c>
      <x:c r="E22" s="80" t="str">
        <x:v>Джиллингем - Брайтон U21</x:v>
      </x:c>
      <x:c r="F22" s="86" t="n">
        <x:v>27</x:v>
      </x:c>
      <x:c r="G22" s="80" t="str">
        <x:v>0:0</x:v>
      </x:c>
      <x:c r="H22" s="95" t="str">
        <x:v>Джиллингем создаёт моменты, а молодёжный Брайтон сохраняет открытый сценарий</x:v>
      </x:c>
      <x:c r="I22" s="95" t="str">
        <x:v>ТБ 2,25 всего матча</x:v>
      </x:c>
      <x:c r="J22" s="96" t="n">
        <x:v>1.85</x:v>
      </x:c>
      <x:c r="K22" s="97" t="n">
        <x:v>3</x:v>
      </x:c>
      <x:c r="L22" s="98" t="str">
        <x:v>Удары 5; в створ 3; угловые 4; xG Джиллингема 0,75</x:v>
      </x:c>
      <x:c r="M22" s="98" t="str">
        <x:v>Один свежий снимок; раздельная динамика за 10–15 минут недоступна</x:v>
      </x:c>
      <x:c r="N22" s="98" t="str">
        <x:v>Три удара в створ и четыре угловых к 27-й минуте; хозяева уже создали 0,75 xG; молодёжный соперник</x:v>
      </x:c>
      <x:c r="O22" s="98" t="str">
        <x:v>Счёт 0:0; xG Брайтона не получен; для полного выигрыша нужны три гола</x:v>
      </x:c>
      <x:c r="P22" s="98" t="str">
        <x:v>Средняя</x:v>
      </x:c>
      <x:c r="Q22" s="80" t="str">
        <x:v>ПОДХОДИТ В LIVE</x:v>
      </x:c>
      <x:c r="R22" s="80" t="str">
        <x:v>ТБ live v1 от 13.10.2026</x:v>
      </x:c>
      <x:c r="S22" s="80" t="str">
        <x:v>BetsAPI / Bet365</x:v>
      </x:c>
      <x:c r="T22" s="80" t="str">
        <x:v>4-3</x:v>
      </x:c>
      <x:c r="U22" s="80" t="str">
        <x:v>Выигрыш</x:v>
      </x:c>
      <x:c r="V22" s="89" t="n">
        <x:f>IF(A22="","",IF(U22="","",IF(U22="Выигрыш",J22-1,IF(U22="Полувыигрыш",(J22-1)/2,IF(U22="Возврат",0,IF(U22="Полупроигрыш",-0.5,IF(U22="Поражение",-1,"Проверить результат")))))))</x:f>
        <x:v>0.8500000000000001</x:v>
      </x:c>
      <x:c r="W22" s="80" t="str">
        <x:f>IF(A22="","",IF(U22="","Открыт",IF(ISNUMBER(V22),"Рассчитан","Проверить результат")))</x:f>
        <x:v>Рассчитан</x:v>
      </x:c>
      <x:c r="X22" s="98" t="str">
        <x:v>Быстрый live-отбор 21:27 МСК; при ровно двух дополнительных голах ТБ 2,25 даёт полуминус</x:v>
      </x:c>
      <x:c r="Y22" s="5" t="str">
        <x:v>История без разделения</x:v>
      </x:c>
      <x:c r="Z22" s="5"/>
      <x:c r="AA22" s="5"/>
      <x:c r="AB22" s="118"/>
      <x:c r="AC22" s="119"/>
      <x:c r="AD22" s="119"/>
      <x:c r="AE22" s="5"/>
      <x:c r="AF22" s="5" t="str">
        <x:v>BetsAPI event ID 12407691; итоговый отчёт 13.10.2026, № 19</x:v>
      </x:c>
      <x:c r="AG22" s="5" t="str">
        <x:v>До правила топ-5</x:v>
      </x:c>
    </x:row>
    <x:row r="23">
      <x:c r="A23" s="80" t="n">
        <x:v>18</x:v>
      </x:c>
      <x:c r="B23" s="80" t="str">
        <x:v>12403135</x:v>
      </x:c>
      <x:c r="C23" s="83" t="str">
        <x:v>13.10.2026 21:27</x:v>
      </x:c>
      <x:c r="D23" s="80" t="str">
        <x:v>Англия - Кубок Национальной лиги</x:v>
      </x:c>
      <x:c r="E23" s="80" t="str">
        <x:v>Гейтсхед - Вулверхэмптон U21</x:v>
      </x:c>
      <x:c r="F23" s="86" t="n">
        <x:v>27</x:v>
      </x:c>
      <x:c r="G23" s="80" t="str">
        <x:v>0:0</x:v>
      </x:c>
      <x:c r="H23" s="95" t="str">
        <x:v>Равная открытая игра с атакующей молодёжной командой гостей</x:v>
      </x:c>
      <x:c r="I23" s="95" t="str">
        <x:v>ТБ 2,5 всего матча</x:v>
      </x:c>
      <x:c r="J23" s="96" t="n">
        <x:v>1.9</x:v>
      </x:c>
      <x:c r="K23" s="97" t="n">
        <x:v>3</x:v>
      </x:c>
      <x:c r="L23" s="98" t="str">
        <x:v>Удары 6; в створ 3; угловые 3; опасные атаки 32:31</x:v>
      </x:c>
      <x:c r="M23" s="98" t="str">
        <x:v>Один свежий снимок; раздельная динамика за 10–15 минут недоступна</x:v>
      </x:c>
      <x:c r="N23" s="98" t="str">
        <x:v>Три удара в створ и равная активность обеих команд; впереди более часа игры</x:v>
      </x:c>
      <x:c r="O23" s="98" t="str">
        <x:v>Голов пока нет; качество моментов и xG недоступны; нужны три гола</x:v>
      </x:c>
      <x:c r="P23" s="98" t="str">
        <x:v>Средняя</x:v>
      </x:c>
      <x:c r="Q23" s="80" t="str">
        <x:v>ПОДХОДИТ В LIVE</x:v>
      </x:c>
      <x:c r="R23" s="80" t="str">
        <x:v>ТБ live v1 от 13.10.2026</x:v>
      </x:c>
      <x:c r="S23" s="80" t="str">
        <x:v>BetsAPI / Bet365</x:v>
      </x:c>
      <x:c r="T23" s="80" t="str">
        <x:v>0-0</x:v>
      </x:c>
      <x:c r="U23" s="80" t="str">
        <x:v>Поражение</x:v>
      </x:c>
      <x:c r="V23" s="89" t="n">
        <x:f>IF(A23="","",IF(U23="","",IF(U23="Выигрыш",J23-1,IF(U23="Полувыигрыш",(J23-1)/2,IF(U23="Возврат",0,IF(U23="Полупроигрыш",-0.5,IF(U23="Поражение",-1,"Проверить результат")))))))</x:f>
        <x:v>-1</x:v>
      </x:c>
      <x:c r="W23" s="80" t="str">
        <x:f>IF(A23="","",IF(U23="","Открыт",IF(ISNUMBER(V23),"Рассчитан","Проверить результат")))</x:f>
        <x:v>Рассчитан</x:v>
      </x:c>
      <x:c r="X23" s="98" t="str">
        <x:v>Быстрый live-отбор 21:27 МСК</x:v>
      </x:c>
      <x:c r="Y23" s="5" t="str">
        <x:v>История без разделения</x:v>
      </x:c>
      <x:c r="Z23" s="5"/>
      <x:c r="AA23" s="5"/>
      <x:c r="AB23" s="118"/>
      <x:c r="AC23" s="119"/>
      <x:c r="AD23" s="119"/>
      <x:c r="AE23" s="5"/>
      <x:c r="AF23" s="5" t="str">
        <x:v>BetsAPI event ID 12403135; итоговый отчёт 13.10.2026, № 20</x:v>
      </x:c>
      <x:c r="AG23" s="5" t="str">
        <x:v>До правила топ-5</x:v>
      </x:c>
    </x:row>
    <x:row r="24">
      <x:c r="A24" s="80" t="n">
        <x:v>19</x:v>
      </x:c>
      <x:c r="B24" s="80" t="str">
        <x:v>12403105</x:v>
      </x:c>
      <x:c r="C24" s="83" t="str">
        <x:v>13.10.2026 21:27</x:v>
      </x:c>
      <x:c r="D24" s="80" t="str">
        <x:v>Англия - Кубок Национальной лиги</x:v>
      </x:c>
      <x:c r="E24" s="80" t="str">
        <x:v>Бостон Юнайтед - Саутгемптон U21</x:v>
      </x:c>
      <x:c r="F24" s="86" t="n">
        <x:v>27</x:v>
      </x:c>
      <x:c r="G24" s="80" t="str">
        <x:v>3:2</x:v>
      </x:c>
      <x:c r="H24" s="95" t="str">
        <x:v>Результативная конкурентная игра продолжается при счёте с разницей в один гол</x:v>
      </x:c>
      <x:c r="I24" s="95" t="str">
        <x:v>ТБ 7,5 всего матча</x:v>
      </x:c>
      <x:c r="J24" s="96" t="n">
        <x:v>1.75</x:v>
      </x:c>
      <x:c r="K24" s="97" t="n">
        <x:v>3</x:v>
      </x:c>
      <x:c r="L24" s="98" t="str">
        <x:v>Удары 10; в створ 6; угловые 5; опасные атаки 30:24</x:v>
      </x:c>
      <x:c r="M24" s="98" t="str">
        <x:v>Один свежий снимок; раздельная динамика за 10–15 минут недоступна</x:v>
      </x:c>
      <x:c r="N24" s="98" t="str">
        <x:v>Пять голов к 27-й минуте; счёт 3:2 не закрывает мотивацию; шесть ударов в створ</x:v>
      </x:c>
      <x:c r="O24" s="98" t="str">
        <x:v>Ранняя реализация может резко снизиться; высокая итоговая линия; нужны ещё три гола</x:v>
      </x:c>
      <x:c r="P24" s="98" t="str">
        <x:v>Средняя</x:v>
      </x:c>
      <x:c r="Q24" s="80" t="str">
        <x:v>ПОДХОДИТ В LIVE</x:v>
      </x:c>
      <x:c r="R24" s="80" t="str">
        <x:v>ТБ live v1 от 13.10.2026</x:v>
      </x:c>
      <x:c r="S24" s="80" t="str">
        <x:v>BetsAPI / Bet365</x:v>
      </x:c>
      <x:c r="T24" s="80" t="str">
        <x:v>5-6</x:v>
      </x:c>
      <x:c r="U24" s="80" t="str">
        <x:v>Выигрыш</x:v>
      </x:c>
      <x:c r="V24" s="89" t="n">
        <x:f>IF(A24="","",IF(U24="","",IF(U24="Выигрыш",J24-1,IF(U24="Полувыигрыш",(J24-1)/2,IF(U24="Возврат",0,IF(U24="Полупроигрыш",-0.5,IF(U24="Поражение",-1,"Проверить результат")))))))</x:f>
        <x:v>0.75</x:v>
      </x:c>
      <x:c r="W24" s="80" t="str">
        <x:f>IF(A24="","",IF(U24="","Открыт",IF(ISNUMBER(V24),"Рассчитан","Проверить результат")))</x:f>
        <x:v>Рассчитан</x:v>
      </x:c>
      <x:c r="X24" s="98" t="str">
        <x:v>Быстрый live-отбор 21:27 МСК; повышенный риск после пяти ранних голов</x:v>
      </x:c>
      <x:c r="Y24" s="5" t="str">
        <x:v>История без разделения</x:v>
      </x:c>
      <x:c r="Z24" s="5"/>
      <x:c r="AA24" s="5"/>
      <x:c r="AB24" s="118"/>
      <x:c r="AC24" s="119"/>
      <x:c r="AD24" s="119"/>
      <x:c r="AE24" s="5"/>
      <x:c r="AF24" s="5" t="str">
        <x:v>BetsAPI event ID 12403105; итоговый отчёт 13.10.2026, № 21</x:v>
      </x:c>
      <x:c r="AG24" s="5" t="str">
        <x:v>До правила топ-5</x:v>
      </x:c>
    </x:row>
    <x:row r="25">
      <x:c r="A25" s="80" t="n">
        <x:v>20</x:v>
      </x:c>
      <x:c r="B25" s="80" t="str">
        <x:v>13217859</x:v>
      </x:c>
      <x:c r="C25" s="83" t="str">
        <x:v>13.10.2026 21:27</x:v>
      </x:c>
      <x:c r="D25" s="80" t="str">
        <x:v>Аргентина - Лига профессиональных резервов</x:v>
      </x:c>
      <x:c r="E25" s="80" t="str">
        <x:v>Банфилд резерв - Химнасия Ла-Плата резерв</x:v>
      </x:c>
      <x:c r="F25" s="86" t="n">
        <x:v>26</x:v>
      </x:c>
      <x:c r="G25" s="80" t="str">
        <x:v>1:0</x:v>
      </x:c>
      <x:c r="H25" s="95" t="str">
        <x:v>Проигрывающая Химнасия контролирует мяч и поддерживает двусторонний сценарий</x:v>
      </x:c>
      <x:c r="I25" s="95" t="str">
        <x:v>ТБ 2,75 всего матча</x:v>
      </x:c>
      <x:c r="J25" s="96" t="n">
        <x:v>1.925</x:v>
      </x:c>
      <x:c r="K25" s="97" t="n">
        <x:v>3</x:v>
      </x:c>
      <x:c r="L25" s="98" t="str">
        <x:v>Владение 33:67; удары 7; в створ 3; опасные атаки 20:22</x:v>
      </x:c>
      <x:c r="M25" s="98" t="str">
        <x:v>Один свежий снимок; раздельная динамика за 10–15 минут недоступна</x:v>
      </x:c>
      <x:c r="N25" s="98" t="str">
        <x:v>Химнасия уступает, но владеет 67% мяча; семь ударов и три в створ к 26-й минуте</x:v>
      </x:c>
      <x:c r="O25" s="98" t="str">
        <x:v>Угловых нет; качество моментов без xG неизвестно; два гола дадут только полувыигрыш</x:v>
      </x:c>
      <x:c r="P25" s="98" t="str">
        <x:v>Средняя</x:v>
      </x:c>
      <x:c r="Q25" s="80" t="str">
        <x:v>ПОДХОДИТ В LIVE</x:v>
      </x:c>
      <x:c r="R25" s="80" t="str">
        <x:v>ТБ live v1 от 13.10.2026</x:v>
      </x:c>
      <x:c r="S25" s="80" t="str">
        <x:v>BetsAPI / Bet365</x:v>
      </x:c>
      <x:c r="T25" s="80" t="str">
        <x:v>1-0</x:v>
      </x:c>
      <x:c r="U25" s="80" t="str">
        <x:v>Поражение</x:v>
      </x:c>
      <x:c r="V25" s="89" t="n">
        <x:f>IF(A25="","",IF(U25="","",IF(U25="Выигрыш",J25-1,IF(U25="Полувыигрыш",(J25-1)/2,IF(U25="Возврат",0,IF(U25="Полупроигрыш",-0.5,IF(U25="Поражение",-1,"Проверить результат")))))))</x:f>
        <x:v>-1</x:v>
      </x:c>
      <x:c r="W25" s="80" t="str">
        <x:f>IF(A25="","",IF(U25="","Открыт",IF(ISNUMBER(V25),"Рассчитан","Проверить результат")))</x:f>
        <x:v>Рассчитан</x:v>
      </x:c>
      <x:c r="X25" s="98" t="str">
        <x:v>Быстрый live-отбор 21:27 МСК; два дополнительных гола дают полувыигрыш</x:v>
      </x:c>
      <x:c r="Y25" s="5" t="str">
        <x:v>История без разделения</x:v>
      </x:c>
      <x:c r="Z25" s="5"/>
      <x:c r="AA25" s="5"/>
      <x:c r="AB25" s="118"/>
      <x:c r="AC25" s="119"/>
      <x:c r="AD25" s="119"/>
      <x:c r="AE25" s="5"/>
      <x:c r="AF25" s="5" t="str">
        <x:v>BetsAPI event ID 13217859; итоговый отчёт 13.10.2026, № 22</x:v>
      </x:c>
      <x:c r="AG25" s="5" t="str">
        <x:v>До правила топ-5</x:v>
      </x:c>
    </x:row>
    <x:row r="26">
      <x:c r="A26" s="80" t="n">
        <x:v>21</x:v>
      </x:c>
      <x:c r="B26" s="80" t="str">
        <x:v>12375322</x:v>
      </x:c>
      <x:c r="C26" s="83" t="str">
        <x:v>13.10.2026 21:27</x:v>
      </x:c>
      <x:c r="D26" s="80" t="str">
        <x:v>Египет - Первый дивизион</x:v>
      </x:c>
      <x:c r="E26" s="80" t="str">
        <x:v>Петроджет - Вади Дегла</x:v>
      </x:c>
      <x:c r="F26" s="86" t="n">
        <x:v>59</x:v>
      </x:c>
      <x:c r="G26" s="80" t="str">
        <x:v>1:2</x:v>
      </x:c>
      <x:c r="H26" s="95" t="str">
        <x:v>Петроджет отыгрывается против ведущего соперника, оставшегося в меньшинстве</x:v>
      </x:c>
      <x:c r="I26" s="95" t="str">
        <x:v>ТБ 4 всего матча</x:v>
      </x:c>
      <x:c r="J26" s="96" t="n">
        <x:v>1.975</x:v>
      </x:c>
      <x:c r="K26" s="97" t="n">
        <x:v>2</x:v>
      </x:c>
      <x:c r="L26" s="98" t="str">
        <x:v>Удары 19; в створ 10; угловые 7; xG 0,76:0,92; удаления 0:1</x:v>
      </x:c>
      <x:c r="M26" s="98" t="str">
        <x:v>Один свежий снимок; раздельная динамика за 10–15 минут недоступна</x:v>
      </x:c>
      <x:c r="N26" s="98" t="str">
        <x:v>Десять ударов в створ и 1,68 суммарного xG; Петроджет сократил счёт и получил численное преимущество</x:v>
      </x:c>
      <x:c r="O26" s="98" t="str">
        <x:v>59-я минута; один дополнительный гол даёт только возврат; удаление может снизить контратакующую угрозу Вади Дегла</x:v>
      </x:c>
      <x:c r="P26" s="98" t="str">
        <x:v>Высокая</x:v>
      </x:c>
      <x:c r="Q26" s="80" t="str">
        <x:v>ПОДХОДИТ В LIVE</x:v>
      </x:c>
      <x:c r="R26" s="80" t="str">
        <x:v>ТБ live v1 от 13.10.2026</x:v>
      </x:c>
      <x:c r="S26" s="80" t="str">
        <x:v>BetsAPI / Bet365</x:v>
      </x:c>
      <x:c r="T26" s="80" t="str">
        <x:v>2-2</x:v>
      </x:c>
      <x:c r="U26" s="80" t="str">
        <x:v>Возврат</x:v>
      </x:c>
      <x:c r="V26" s="89" t="n">
        <x:f>IF(A26="","",IF(U26="","",IF(U26="Выигрыш",J26-1,IF(U26="Полувыигрыш",(J26-1)/2,IF(U26="Возврат",0,IF(U26="Полупроигрыш",-0.5,IF(U26="Поражение",-1,"Проверить результат")))))))</x:f>
        <x:v>0</x:v>
      </x:c>
      <x:c r="W26" s="80" t="str">
        <x:f>IF(A26="","",IF(U26="","Открыт",IF(ISNUMBER(V26),"Рассчитан","Проверить результат")))</x:f>
        <x:v>Рассчитан</x:v>
      </x:c>
      <x:c r="X26" s="98" t="str">
        <x:v>Лучший текущий сценарий снимка; быстрый live-отбор 21:27 МСК</x:v>
      </x:c>
      <x:c r="Y26" s="5" t="str">
        <x:v>История без разделения</x:v>
      </x:c>
      <x:c r="Z26" s="5"/>
      <x:c r="AA26" s="5"/>
      <x:c r="AB26" s="118"/>
      <x:c r="AC26" s="119"/>
      <x:c r="AD26" s="119"/>
      <x:c r="AE26" s="5"/>
      <x:c r="AF26" s="5" t="str">
        <x:v>BetsAPI event ID 12375322; итоговый отчёт 13.10.2026, № 23</x:v>
      </x:c>
      <x:c r="AG26" s="5" t="str">
        <x:v>До правила топ-5</x:v>
      </x:c>
    </x:row>
    <x:row r="27">
      <x:c r="A27" s="80" t="n">
        <x:v>22</x:v>
      </x:c>
      <x:c r="B27" s="80" t="str">
        <x:v>12407688</x:v>
      </x:c>
      <x:c r="C27" s="83" t="str">
        <x:v>13.10.2026 21:37</x:v>
      </x:c>
      <x:c r="D27" s="80" t="str">
        <x:v>Англия - Трофей Английской лиги</x:v>
      </x:c>
      <x:c r="E27" s="80" t="str">
        <x:v>Олдем - Лидс U21</x:v>
      </x:c>
      <x:c r="F27" s="86" t="n">
        <x:v>37</x:v>
      </x:c>
      <x:c r="G27" s="80" t="str">
        <x:v>1:1</x:v>
      </x:c>
      <x:c r="H27" s="95" t="str">
        <x:v>Открытый обмен при высокой фактической угрозе и инициативе молодёжного Лидса</x:v>
      </x:c>
      <x:c r="I27" s="95" t="str">
        <x:v>ТБ 4,25 всего матча</x:v>
      </x:c>
      <x:c r="J27" s="96" t="n">
        <x:v>2</x:v>
      </x:c>
      <x:c r="K27" s="97" t="n">
        <x:v>3</x:v>
      </x:c>
      <x:c r="L27" s="98" t="str">
        <x:v>Владение 36:64; удары 10; в створ 4; угловые 6; xG 1,12:0,83</x:v>
      </x:c>
      <x:c r="M27" s="98" t="str">
        <x:v>Один свежий снимок; раздельная динамика за 10–15 минут недоступна</x:v>
      </x:c>
      <x:c r="N27" s="98" t="str">
        <x:v>Суммарный xG 1,95 и шесть угловых к 37-й минуте; счёт остаётся конкурентным</x:v>
      </x:c>
      <x:c r="O27" s="98" t="str">
        <x:v>Высокая линия; для полного выигрыша нужны ещё три гола</x:v>
      </x:c>
      <x:c r="P27" s="98" t="str">
        <x:v>Высокая</x:v>
      </x:c>
      <x:c r="Q27" s="80" t="str">
        <x:v>ПОДХОДИТ В LIVE</x:v>
      </x:c>
      <x:c r="R27" s="80" t="str">
        <x:v>ТБ live v1 от 13.10.2026</x:v>
      </x:c>
      <x:c r="S27" s="80" t="str">
        <x:v>BetsAPI / Bet365</x:v>
      </x:c>
      <x:c r="T27" s="80" t="str">
        <x:v>4-2</x:v>
      </x:c>
      <x:c r="U27" s="80" t="str">
        <x:v>Выигрыш</x:v>
      </x:c>
      <x:c r="V27" s="89" t="n">
        <x:f>IF(A27="","",IF(U27="","",IF(U27="Выигрыш",J27-1,IF(U27="Полувыигрыш",(J27-1)/2,IF(U27="Возврат",0,IF(U27="Полупроигрыш",-0.5,IF(U27="Поражение",-1,"Проверить результат")))))))</x:f>
        <x:v>1</x:v>
      </x:c>
      <x:c r="W27" s="80" t="str">
        <x:f>IF(A27="","",IF(U27="","Открыт",IF(ISNUMBER(V27),"Рассчитан","Проверить результат")))</x:f>
        <x:v>Рассчитан</x:v>
      </x:c>
      <x:c r="X27" s="98" t="str">
        <x:v>Быстрый live-отбор 21:37 МСК; один из трёх лучших кандидатов снимка</x:v>
      </x:c>
      <x:c r="Y27" s="5" t="str">
        <x:v>История без разделения</x:v>
      </x:c>
      <x:c r="Z27" s="5"/>
      <x:c r="AA27" s="5"/>
      <x:c r="AB27" s="118"/>
      <x:c r="AC27" s="119"/>
      <x:c r="AD27" s="119"/>
      <x:c r="AE27" s="5"/>
      <x:c r="AF27" s="5" t="str">
        <x:v>BetsAPI event ID 12407688; итоговый отчёт 13.10.2026, № 24</x:v>
      </x:c>
      <x:c r="AG27" s="5" t="str">
        <x:v>До правила топ-5</x:v>
      </x:c>
    </x:row>
    <x:row r="28">
      <x:c r="A28" s="80" t="n">
        <x:v>23</x:v>
      </x:c>
      <x:c r="B28" s="80" t="str">
        <x:v>13285866</x:v>
      </x:c>
      <x:c r="C28" s="83" t="str">
        <x:v>13.10.2026 21:37</x:v>
      </x:c>
      <x:c r="D28" s="80" t="str">
        <x:v>Бразилия - Кубок Гояс U20</x:v>
      </x:c>
      <x:c r="E28" s="80" t="str">
        <x:v>Апаресида U20 - Итаусу U20</x:v>
      </x:c>
      <x:c r="F28" s="86" t="n">
        <x:v>38</x:v>
      </x:c>
      <x:c r="G28" s="80" t="str">
        <x:v>0:1</x:v>
      </x:c>
      <x:c r="H28" s="95" t="str">
        <x:v>Двусторонняя активность сохраняется, хозяева вынуждены отыгрываться</x:v>
      </x:c>
      <x:c r="I28" s="95" t="str">
        <x:v>ТБ 2,75 всего матча</x:v>
      </x:c>
      <x:c r="J28" s="96" t="n">
        <x:v>1.825</x:v>
      </x:c>
      <x:c r="K28" s="97" t="n">
        <x:v>3</x:v>
      </x:c>
      <x:c r="L28" s="98" t="str">
        <x:v>Удары 9; в створ 5; угловые 3; опасные атаки 23:24</x:v>
      </x:c>
      <x:c r="M28" s="98" t="str">
        <x:v>Один свежий снимок; раздельная динамика за 10–15 минут недоступна</x:v>
      </x:c>
      <x:c r="N28" s="98" t="str">
        <x:v>Пять ударов в створ и равная атакующая активность; молодёжный турнир</x:v>
      </x:c>
      <x:c r="O28" s="98" t="str">
        <x:v>Два дополнительных гола дают только полувыигрыш; xG недоступен</x:v>
      </x:c>
      <x:c r="P28" s="98" t="str">
        <x:v>Средняя</x:v>
      </x:c>
      <x:c r="Q28" s="80" t="str">
        <x:v>ПОДХОДИТ В LIVE</x:v>
      </x:c>
      <x:c r="R28" s="80" t="str">
        <x:v>ТБ live v1 от 13.10.2026</x:v>
      </x:c>
      <x:c r="S28" s="80" t="str">
        <x:v>BetsAPI / Bet365</x:v>
      </x:c>
      <x:c r="T28" s="80" t="str">
        <x:v>2-3</x:v>
      </x:c>
      <x:c r="U28" s="80" t="str">
        <x:v>Выигрыш</x:v>
      </x:c>
      <x:c r="V28" s="89" t="n">
        <x:f>IF(A28="","",IF(U28="","",IF(U28="Выигрыш",J28-1,IF(U28="Полувыигрыш",(J28-1)/2,IF(U28="Возврат",0,IF(U28="Полупроигрыш",-0.5,IF(U28="Поражение",-1,"Проверить результат")))))))</x:f>
        <x:v>0.825</x:v>
      </x:c>
      <x:c r="W28" s="80" t="str">
        <x:f>IF(A28="","",IF(U28="","Открыт",IF(ISNUMBER(V28),"Рассчитан","Проверить результат")))</x:f>
        <x:v>Рассчитан</x:v>
      </x:c>
      <x:c r="X28" s="98" t="str">
        <x:v>Быстрый live-отбор 21:37 МСК; один из трёх лучших кандидатов снимка</x:v>
      </x:c>
      <x:c r="Y28" s="5" t="str">
        <x:v>История без разделения</x:v>
      </x:c>
      <x:c r="Z28" s="5"/>
      <x:c r="AA28" s="5"/>
      <x:c r="AB28" s="118"/>
      <x:c r="AC28" s="119"/>
      <x:c r="AD28" s="119"/>
      <x:c r="AE28" s="5"/>
      <x:c r="AF28" s="5" t="str">
        <x:v>BetsAPI event ID 13285866; итоговый отчёт 13.10.2026, № 25</x:v>
      </x:c>
      <x:c r="AG28" s="5" t="str">
        <x:v>До правила топ-5</x:v>
      </x:c>
    </x:row>
    <x:row r="29">
      <x:c r="A29" s="80" t="n">
        <x:v>24</x:v>
      </x:c>
      <x:c r="B29" s="80" t="str">
        <x:v>12403337</x:v>
      </x:c>
      <x:c r="C29" s="83" t="str">
        <x:v>13.10.2026 21:37</x:v>
      </x:c>
      <x:c r="D29" s="80" t="str">
        <x:v>Англия - Кубок Национальной лиги</x:v>
      </x:c>
      <x:c r="E29" s="80" t="str">
        <x:v>Хартлпул - Ньюкасл U21</x:v>
      </x:c>
      <x:c r="F29" s="86" t="n">
        <x:v>37</x:v>
      </x:c>
      <x:c r="G29" s="80" t="str">
        <x:v>1:2</x:v>
      </x:c>
      <x:c r="H29" s="95" t="str">
        <x:v>Конкурентный счёт и высокая двусторонняя ударная активность</x:v>
      </x:c>
      <x:c r="I29" s="95" t="str">
        <x:v>ТБ 5,25 всего матча</x:v>
      </x:c>
      <x:c r="J29" s="96" t="n">
        <x:v>1.95</x:v>
      </x:c>
      <x:c r="K29" s="97" t="n">
        <x:v>3</x:v>
      </x:c>
      <x:c r="L29" s="98" t="str">
        <x:v>Удары 12; в створ 6; угловые 5; опасные атаки 18:13</x:v>
      </x:c>
      <x:c r="M29" s="98" t="str">
        <x:v>Один свежий снимок; раздельная динамика за 10–15 минут недоступна</x:v>
      </x:c>
      <x:c r="N29" s="98" t="str">
        <x:v>Шесть ударов в створ и пять угловых; отстающий Хартлпул сохраняет мотивацию</x:v>
      </x:c>
      <x:c r="O29" s="98" t="str">
        <x:v>Линия уже учитывает три ранних гола; нужны ещё три гола</x:v>
      </x:c>
      <x:c r="P29" s="98" t="str">
        <x:v>Средняя</x:v>
      </x:c>
      <x:c r="Q29" s="80" t="str">
        <x:v>ПОДХОДИТ В LIVE</x:v>
      </x:c>
      <x:c r="R29" s="80" t="str">
        <x:v>ТБ live v1 от 13.10.2026</x:v>
      </x:c>
      <x:c r="S29" s="80" t="str">
        <x:v>BetsAPI / Bet365</x:v>
      </x:c>
      <x:c r="T29" s="80" t="str">
        <x:v>1-2</x:v>
      </x:c>
      <x:c r="U29" s="80" t="str">
        <x:v>Поражение</x:v>
      </x:c>
      <x:c r="V29" s="89" t="n">
        <x:f>IF(A29="","",IF(U29="","",IF(U29="Выигрыш",J29-1,IF(U29="Полувыигрыш",(J29-1)/2,IF(U29="Возврат",0,IF(U29="Полупроигрыш",-0.5,IF(U29="Поражение",-1,"Проверить результат")))))))</x:f>
        <x:v>-1</x:v>
      </x:c>
      <x:c r="W29" s="80" t="str">
        <x:f>IF(A29="","",IF(U29="","Открыт",IF(ISNUMBER(V29),"Рассчитан","Проверить результат")))</x:f>
        <x:v>Рассчитан</x:v>
      </x:c>
      <x:c r="X29" s="98" t="str">
        <x:v>Быстрый live-отбор 21:37 МСК; риск высокой линии</x:v>
      </x:c>
      <x:c r="Y29" s="5" t="str">
        <x:v>История без разделения</x:v>
      </x:c>
      <x:c r="Z29" s="5"/>
      <x:c r="AA29" s="5"/>
      <x:c r="AB29" s="118"/>
      <x:c r="AC29" s="119"/>
      <x:c r="AD29" s="119"/>
      <x:c r="AE29" s="5"/>
      <x:c r="AF29" s="5" t="str">
        <x:v>BetsAPI event ID 12403337; итоговый отчёт 13.10.2026, № 26</x:v>
      </x:c>
      <x:c r="AG29" s="5" t="str">
        <x:v>До правила топ-5</x:v>
      </x:c>
    </x:row>
    <x:row r="30">
      <x:c r="A30" s="80" t="n">
        <x:v>25</x:v>
      </x:c>
      <x:c r="B30" s="80" t="str">
        <x:v>12403104</x:v>
      </x:c>
      <x:c r="C30" s="83" t="str">
        <x:v>13.10.2026 21:37</x:v>
      </x:c>
      <x:c r="D30" s="80" t="str">
        <x:v>Англия - Кубок Национальной лиги</x:v>
      </x:c>
      <x:c r="E30" s="80" t="str">
        <x:v>Саттон Юнайтед - Вест Бромвич U21</x:v>
      </x:c>
      <x:c r="F30" s="86" t="n">
        <x:v>37</x:v>
      </x:c>
      <x:c r="G30" s="80" t="str">
        <x:v>2:1</x:v>
      </x:c>
      <x:c r="H30" s="95" t="str">
        <x:v>Саттон продолжает создавать моменты при конкурентном счёте</x:v>
      </x:c>
      <x:c r="I30" s="95" t="str">
        <x:v>ТБ 5,25 всего матча</x:v>
      </x:c>
      <x:c r="J30" s="96" t="n">
        <x:v>1.825</x:v>
      </x:c>
      <x:c r="K30" s="97" t="n">
        <x:v>3</x:v>
      </x:c>
      <x:c r="L30" s="98" t="str">
        <x:v>Удары 9; в створ 6; угловые 6; опасные атаки 29:6</x:v>
      </x:c>
      <x:c r="M30" s="98" t="str">
        <x:v>Один свежий снимок; раздельная динамика за 10–15 минут недоступна</x:v>
      </x:c>
      <x:c r="N30" s="98" t="str">
        <x:v>Шесть ударов в створ и явное территориальное давление Саттона</x:v>
      </x:c>
      <x:c r="O30" s="98" t="str">
        <x:v>Высокая линия; активность гостей слабая; нужны ещё три гола</x:v>
      </x:c>
      <x:c r="P30" s="98" t="str">
        <x:v>Средняя</x:v>
      </x:c>
      <x:c r="Q30" s="80" t="str">
        <x:v>ПОДХОДИТ В LIVE</x:v>
      </x:c>
      <x:c r="R30" s="80" t="str">
        <x:v>ТБ live v1 от 13.10.2026</x:v>
      </x:c>
      <x:c r="S30" s="80" t="str">
        <x:v>BetsAPI / Bet365</x:v>
      </x:c>
      <x:c r="T30" s="80" t="str">
        <x:v>3-2</x:v>
      </x:c>
      <x:c r="U30" s="80" t="str">
        <x:v>Полупроигрыш</x:v>
      </x:c>
      <x:c r="V30" s="89" t="n">
        <x:f>IF(A30="","",IF(U30="","",IF(U30="Выигрыш",J30-1,IF(U30="Полувыигрыш",(J30-1)/2,IF(U30="Возврат",0,IF(U30="Полупроигрыш",-0.5,IF(U30="Поражение",-1,"Проверить результат")))))))</x:f>
        <x:v>-0.5</x:v>
      </x:c>
      <x:c r="W30" s="80" t="str">
        <x:f>IF(A30="","",IF(U30="","Открыт",IF(ISNUMBER(V30),"Рассчитан","Проверить результат")))</x:f>
        <x:v>Рассчитан</x:v>
      </x:c>
      <x:c r="X30" s="98" t="str">
        <x:v>Быстрый live-отбор 21:37 МСК; риск высокой линии</x:v>
      </x:c>
      <x:c r="Y30" s="5" t="str">
        <x:v>История без разделения</x:v>
      </x:c>
      <x:c r="Z30" s="5"/>
      <x:c r="AA30" s="5"/>
      <x:c r="AB30" s="118"/>
      <x:c r="AC30" s="119"/>
      <x:c r="AD30" s="119"/>
      <x:c r="AE30" s="5"/>
      <x:c r="AF30" s="5" t="str">
        <x:v>BetsAPI event ID 12403104; итоговый отчёт 13.10.2026, № 27</x:v>
      </x:c>
      <x:c r="AG30" s="5" t="str">
        <x:v>До правила топ-5</x:v>
      </x:c>
    </x:row>
    <x:row r="31">
      <x:c r="A31" s="80" t="n">
        <x:v>26</x:v>
      </x:c>
      <x:c r="B31" s="80" t="str">
        <x:v>12319683</x:v>
      </x:c>
      <x:c r="C31" s="83" t="str">
        <x:v>13.10.2026 21:37</x:v>
      </x:c>
      <x:c r="D31" s="80" t="str">
        <x:v>ЮАР - Премьер-лига</x:v>
      </x:c>
      <x:c r="E31" s="80" t="str">
        <x:v>Дурбан Сити - Амазулу</x:v>
      </x:c>
      <x:c r="F31" s="86" t="n">
        <x:v>47</x:v>
      </x:c>
      <x:c r="G31" s="80" t="str">
        <x:v>0:2</x:v>
      </x:c>
      <x:c r="H31" s="95" t="str">
        <x:v>Дурбан вынужден раскрываться после двух пропущенных голов</x:v>
      </x:c>
      <x:c r="I31" s="95" t="str">
        <x:v>ТБ 3,25 всего матча</x:v>
      </x:c>
      <x:c r="J31" s="96" t="n">
        <x:v>1.975</x:v>
      </x:c>
      <x:c r="K31" s="97" t="n">
        <x:v>2</x:v>
      </x:c>
      <x:c r="L31" s="98" t="str">
        <x:v>Удары 9; в створ 4; угловые 7; опасные атаки 40:33</x:v>
      </x:c>
      <x:c r="M31" s="98" t="str">
        <x:v>Один свежий снимок; раздельная динамика за 10–15 минут недоступна</x:v>
      </x:c>
      <x:c r="N31" s="98" t="str">
        <x:v>Семь угловых и 73 опасные атаки; два дополнительных гола дают полный выигрыш</x:v>
      </x:c>
      <x:c r="O31" s="98" t="str">
        <x:v>Все четыре удара в створ у Амазулу; атакующая эффективность хозяев пока слабая</x:v>
      </x:c>
      <x:c r="P31" s="98" t="str">
        <x:v>Средняя</x:v>
      </x:c>
      <x:c r="Q31" s="80" t="str">
        <x:v>ПОДХОДИТ В LIVE</x:v>
      </x:c>
      <x:c r="R31" s="80" t="str">
        <x:v>ТБ live v1 от 13.10.2026</x:v>
      </x:c>
      <x:c r="S31" s="80" t="str">
        <x:v>BetsAPI / Bet365</x:v>
      </x:c>
      <x:c r="T31" s="80" t="str">
        <x:v>1-2</x:v>
      </x:c>
      <x:c r="U31" s="80" t="str">
        <x:v>Полупроигрыш</x:v>
      </x:c>
      <x:c r="V31" s="89" t="n">
        <x:f>IF(A31="","",IF(U31="","",IF(U31="Выигрыш",J31-1,IF(U31="Полувыигрыш",(J31-1)/2,IF(U31="Возврат",0,IF(U31="Полупроигрыш",-0.5,IF(U31="Поражение",-1,"Проверить результат")))))))</x:f>
        <x:v>-0.5</x:v>
      </x:c>
      <x:c r="W31" s="80" t="str">
        <x:f>IF(A31="","",IF(U31="","Открыт",IF(ISNUMBER(V31),"Рассчитан","Проверить результат")))</x:f>
        <x:v>Рассчитан</x:v>
      </x:c>
      <x:c r="X31" s="98" t="str">
        <x:v>Быстрый live-отбор 21:37 МСК; один из трёх лучших кандидатов снимка</x:v>
      </x:c>
      <x:c r="Y31" s="5" t="str">
        <x:v>История без разделения</x:v>
      </x:c>
      <x:c r="Z31" s="5"/>
      <x:c r="AA31" s="5"/>
      <x:c r="AB31" s="118"/>
      <x:c r="AC31" s="119"/>
      <x:c r="AD31" s="119"/>
      <x:c r="AE31" s="5"/>
      <x:c r="AF31" s="5" t="str">
        <x:v>BetsAPI event ID 12319683; итоговый отчёт 13.10.2026, № 28</x:v>
      </x:c>
      <x:c r="AG31" s="5" t="str">
        <x:v>До правила топ-5</x:v>
      </x:c>
    </x:row>
    <x:row r="32">
      <x:c r="A32" s="80" t="n">
        <x:v>27</x:v>
      </x:c>
      <x:c r="B32" s="80" t="str">
        <x:v>12319678</x:v>
      </x:c>
      <x:c r="C32" s="83" t="str">
        <x:v>13.10.2026 21:37</x:v>
      </x:c>
      <x:c r="D32" s="80" t="str">
        <x:v>ЮАР - Премьер-лига</x:v>
      </x:c>
      <x:c r="E32" s="80" t="str">
        <x:v>Ричардс-Бей - Мамелоди Сандаунс</x:v>
      </x:c>
      <x:c r="F32" s="86" t="n">
        <x:v>47</x:v>
      </x:c>
      <x:c r="G32" s="80" t="str">
        <x:v>1:2</x:v>
      </x:c>
      <x:c r="H32" s="95" t="str">
        <x:v>Доминирующий Мамелоди сохраняет давление при незакрытом счёте</x:v>
      </x:c>
      <x:c r="I32" s="95" t="str">
        <x:v>ТБ 4,5 всего матча</x:v>
      </x:c>
      <x:c r="J32" s="96" t="n">
        <x:v>1.9</x:v>
      </x:c>
      <x:c r="K32" s="97" t="n">
        <x:v>2</x:v>
      </x:c>
      <x:c r="L32" s="98" t="str">
        <x:v>Владение 23:77; в створ 2:3; угловые 1:5; xG 0,32:1,07; ключевые передачи 1:13</x:v>
      </x:c>
      <x:c r="M32" s="98" t="str">
        <x:v>Один свежий снимок; раздельная динамика за 10–15 минут недоступна</x:v>
      </x:c>
      <x:c r="N32" s="98" t="str">
        <x:v>Мамелоди полностью контролирует игру; для выигрыша нужны ещё два гола</x:v>
      </x:c>
      <x:c r="O32" s="98" t="str">
        <x:v>Линия требует пять итоговых голов; хозяева почти не создают</x:v>
      </x:c>
      <x:c r="P32" s="98" t="str">
        <x:v>Высокая</x:v>
      </x:c>
      <x:c r="Q32" s="80" t="str">
        <x:v>ПОДХОДИТ В LIVE</x:v>
      </x:c>
      <x:c r="R32" s="80" t="str">
        <x:v>ТБ live v1 от 13.10.2026</x:v>
      </x:c>
      <x:c r="S32" s="80" t="str">
        <x:v>BetsAPI / Bet365</x:v>
      </x:c>
      <x:c r="T32" s="80" t="str">
        <x:v>1-4</x:v>
      </x:c>
      <x:c r="U32" s="80" t="str">
        <x:v>Выигрыш</x:v>
      </x:c>
      <x:c r="V32" s="89" t="n">
        <x:f>IF(A32="","",IF(U32="","",IF(U32="Выигрыш",J32-1,IF(U32="Полувыигрыш",(J32-1)/2,IF(U32="Возврат",0,IF(U32="Полупроигрыш",-0.5,IF(U32="Поражение",-1,"Проверить результат")))))))</x:f>
        <x:v>0.8999999999999999</x:v>
      </x:c>
      <x:c r="W32" s="80" t="str">
        <x:f>IF(A32="","",IF(U32="","Открыт",IF(ISNUMBER(V32),"Рассчитан","Проверить результат")))</x:f>
        <x:v>Рассчитан</x:v>
      </x:c>
      <x:c r="X32" s="98" t="str">
        <x:v>Быстрый live-отбор 21:37 МСК</x:v>
      </x:c>
      <x:c r="Y32" s="5" t="str">
        <x:v>История без разделения</x:v>
      </x:c>
      <x:c r="Z32" s="5"/>
      <x:c r="AA32" s="5"/>
      <x:c r="AB32" s="118"/>
      <x:c r="AC32" s="119"/>
      <x:c r="AD32" s="119"/>
      <x:c r="AE32" s="5"/>
      <x:c r="AF32" s="5" t="str">
        <x:v>BetsAPI event ID 12319678; итоговый отчёт 13.10.2026, № 29</x:v>
      </x:c>
      <x:c r="AG32" s="5" t="str">
        <x:v>До правила топ-5</x:v>
      </x:c>
    </x:row>
    <x:row r="33">
      <x:c r="A33" s="80" t="n">
        <x:v>28</x:v>
      </x:c>
      <x:c r="B33" s="80" t="str">
        <x:v>13246864</x:v>
      </x:c>
      <x:c r="C33" s="83" t="str">
        <x:v>13.10.2026 21:37</x:v>
      </x:c>
      <x:c r="D33" s="80" t="str">
        <x:v>Марокко - Ботола</x:v>
      </x:c>
      <x:c r="E33" s="80" t="str">
        <x:v>РСБ Беркан - Ренессанс Земамра</x:v>
      </x:c>
      <x:c r="F33" s="86" t="n">
        <x:v>37</x:v>
      </x:c>
      <x:c r="G33" s="80" t="str">
        <x:v>0:2</x:v>
      </x:c>
      <x:c r="H33" s="95" t="str">
        <x:v>Беркан уступает два мяча, но продолжает владеть инициативой</x:v>
      </x:c>
      <x:c r="I33" s="95" t="str">
        <x:v>ТБ 3,75 всего матча</x:v>
      </x:c>
      <x:c r="J33" s="96" t="n">
        <x:v>1.975</x:v>
      </x:c>
      <x:c r="K33" s="97" t="n">
        <x:v>3</x:v>
      </x:c>
      <x:c r="L33" s="98" t="str">
        <x:v>Владение 68:32; удары 9; в створ 3; угловые 3; опасные атаки 31:9</x:v>
      </x:c>
      <x:c r="M33" s="98" t="str">
        <x:v>Один свежий снимок; раздельная динамика за 10–15 минут недоступна</x:v>
      </x:c>
      <x:c r="N33" s="98" t="str">
        <x:v>Проигрывающий фаворит давит и вынужден раскрываться</x:v>
      </x:c>
      <x:c r="O33" s="98" t="str">
        <x:v>Реализация моментов невысокая; два дополнительных гола дают только полувыигрыш</x:v>
      </x:c>
      <x:c r="P33" s="98" t="str">
        <x:v>Средняя</x:v>
      </x:c>
      <x:c r="Q33" s="80" t="str">
        <x:v>ПОДХОДИТ В LIVE</x:v>
      </x:c>
      <x:c r="R33" s="80" t="str">
        <x:v>ТБ live v1 от 13.10.2026</x:v>
      </x:c>
      <x:c r="S33" s="80" t="str">
        <x:v>BetsAPI / Bet365</x:v>
      </x:c>
      <x:c r="T33" s="80" t="str">
        <x:v>2-2</x:v>
      </x:c>
      <x:c r="U33" s="80" t="str">
        <x:v>Полувыигрыш</x:v>
      </x:c>
      <x:c r="V33" s="89" t="n">
        <x:f>IF(A33="","",IF(U33="","",IF(U33="Выигрыш",J33-1,IF(U33="Полувыигрыш",(J33-1)/2,IF(U33="Возврат",0,IF(U33="Полупроигрыш",-0.5,IF(U33="Поражение",-1,"Проверить результат")))))))</x:f>
        <x:v>0.48750000000000004</x:v>
      </x:c>
      <x:c r="W33" s="80" t="str">
        <x:f>IF(A33="","",IF(U33="","Открыт",IF(ISNUMBER(V33),"Рассчитан","Проверить результат")))</x:f>
        <x:v>Рассчитан</x:v>
      </x:c>
      <x:c r="X33" s="98" t="str">
        <x:v>Быстрый live-отбор 21:37 МСК</x:v>
      </x:c>
      <x:c r="Y33" s="5" t="str">
        <x:v>История без разделения</x:v>
      </x:c>
      <x:c r="Z33" s="5"/>
      <x:c r="AA33" s="5"/>
      <x:c r="AB33" s="118"/>
      <x:c r="AC33" s="119"/>
      <x:c r="AD33" s="119"/>
      <x:c r="AE33" s="5"/>
      <x:c r="AF33" s="5" t="str">
        <x:v>BetsAPI event ID 13246864; итоговый отчёт 13.10.2026, № 30</x:v>
      </x:c>
      <x:c r="AG33" s="5" t="str">
        <x:v>До правила топ-5</x:v>
      </x:c>
    </x:row>
    <x:row r="34">
      <x:c r="A34" s="80" t="n">
        <x:v>29</x:v>
      </x:c>
      <x:c r="B34" s="80" t="str">
        <x:v>13267993</x:v>
      </x:c>
      <x:c r="C34" s="83" t="str">
        <x:v>13.10.2026 21:37</x:v>
      </x:c>
      <x:c r="D34" s="80" t="str">
        <x:v>Бразилия - Чемпионат Пернамбуку U20</x:v>
      </x:c>
      <x:c r="E34" s="80" t="str">
        <x:v>Америка ПЕ U20 - Ретро U20</x:v>
      </x:c>
      <x:c r="F34" s="86" t="n">
        <x:v>40</x:v>
      </x:c>
      <x:c r="G34" s="80" t="str">
        <x:v>0:0</x:v>
      </x:c>
      <x:c r="H34" s="95" t="str">
        <x:v>Высокий объём атак при низкой линии тотала</x:v>
      </x:c>
      <x:c r="I34" s="95" t="str">
        <x:v>ТБ 1,75 всего матча</x:v>
      </x:c>
      <x:c r="J34" s="96" t="n">
        <x:v>1.775</x:v>
      </x:c>
      <x:c r="K34" s="97" t="n">
        <x:v>3</x:v>
      </x:c>
      <x:c r="L34" s="98" t="str">
        <x:v>Удары 12; в створ 2; опасные атаки 31:42; владение 47:53</x:v>
      </x:c>
      <x:c r="M34" s="98" t="str">
        <x:v>Один свежий снимок; раздельная динамика за 10–15 минут недоступна</x:v>
      </x:c>
      <x:c r="N34" s="98" t="str">
        <x:v>Двенадцать ударов и 73 опасные атаки; молодёжный матч; низкая линия</x:v>
      </x:c>
      <x:c r="O34" s="98" t="str">
        <x:v>Только два удара в створ; при двух итоговых голах будет лишь полувыигрыш</x:v>
      </x:c>
      <x:c r="P34" s="98" t="str">
        <x:v>Средняя</x:v>
      </x:c>
      <x:c r="Q34" s="80" t="str">
        <x:v>ПОДХОДИТ В LIVE</x:v>
      </x:c>
      <x:c r="R34" s="80" t="str">
        <x:v>ТБ live v1 от 13.10.2026</x:v>
      </x:c>
      <x:c r="S34" s="80" t="str">
        <x:v>BetsAPI / Bet365</x:v>
      </x:c>
      <x:c r="T34" s="80" t="str">
        <x:v>0-4</x:v>
      </x:c>
      <x:c r="U34" s="80" t="str">
        <x:v>Выигрыш</x:v>
      </x:c>
      <x:c r="V34" s="89" t="n">
        <x:f>IF(A34="","",IF(U34="","",IF(U34="Выигрыш",J34-1,IF(U34="Полувыигрыш",(J34-1)/2,IF(U34="Возврат",0,IF(U34="Полупроигрыш",-0.5,IF(U34="Поражение",-1,"Проверить результат")))))))</x:f>
        <x:v>0.7749999999999999</x:v>
      </x:c>
      <x:c r="W34" s="80" t="str">
        <x:f>IF(A34="","",IF(U34="","Открыт",IF(ISNUMBER(V34),"Рассчитан","Проверить результат")))</x:f>
        <x:v>Рассчитан</x:v>
      </x:c>
      <x:c r="X34" s="98" t="str">
        <x:v>Быстрый live-отбор 21:37 МСК; низкая точность ударов</x:v>
      </x:c>
      <x:c r="Y34" s="5" t="str">
        <x:v>История без разделения</x:v>
      </x:c>
      <x:c r="Z34" s="5"/>
      <x:c r="AA34" s="5"/>
      <x:c r="AB34" s="118"/>
      <x:c r="AC34" s="119"/>
      <x:c r="AD34" s="119"/>
      <x:c r="AE34" s="5"/>
      <x:c r="AF34" s="5" t="str">
        <x:v>BetsAPI event ID 13267993; итоговый отчёт 13.10.2026, № 31</x:v>
      </x:c>
      <x:c r="AG34" s="5" t="str">
        <x:v>До правила топ-5</x:v>
      </x:c>
    </x:row>
    <x:row r="35">
      <x:c r="A35" s="80" t="n">
        <x:v>30</x:v>
      </x:c>
      <x:c r="B35" s="80" t="str">
        <x:v>12159729</x:v>
      </x:c>
      <x:c r="C35" s="83" t="str">
        <x:v>13.10.2026 21:37</x:v>
      </x:c>
      <x:c r="D35" s="80" t="str">
        <x:v>Австрия - Земельная лига</x:v>
      </x:c>
      <x:c r="E35" s="80" t="str">
        <x:v>Лебринг - Шладминг</x:v>
      </x:c>
      <x:c r="F35" s="86" t="n">
        <x:v>49</x:v>
      </x:c>
      <x:c r="G35" s="80" t="str">
        <x:v>1:0</x:v>
      </x:c>
      <x:c r="H35" s="95" t="str">
        <x:v>Лебринг сохраняет преимущество по моментам, гости должны раскрываться</x:v>
      </x:c>
      <x:c r="I35" s="95" t="str">
        <x:v>ТБ 2,5 всего матча</x:v>
      </x:c>
      <x:c r="J35" s="96" t="n">
        <x:v>1.875</x:v>
      </x:c>
      <x:c r="K35" s="97" t="n">
        <x:v>2</x:v>
      </x:c>
      <x:c r="L35" s="98" t="str">
        <x:v>Владение 59:41; удары 13; в створ 3; угловые 3; опасные атаки 20:5</x:v>
      </x:c>
      <x:c r="M35" s="98" t="str">
        <x:v>Один свежий снимок; раздельная динамика за 10–15 минут недоступна</x:v>
      </x:c>
      <x:c r="N35" s="98" t="str">
        <x:v>Высокий объём ударов; ещё два гола дают полный выигрыш</x:v>
      </x:c>
      <x:c r="O35" s="98" t="str">
        <x:v>Только три удара в створ; Шладминг создаёт мало опасных атак</x:v>
      </x:c>
      <x:c r="P35" s="98" t="str">
        <x:v>Средняя</x:v>
      </x:c>
      <x:c r="Q35" s="80" t="str">
        <x:v>ПОДХОДИТ В LIVE</x:v>
      </x:c>
      <x:c r="R35" s="80" t="str">
        <x:v>ТБ live v1 от 13.10.2026</x:v>
      </x:c>
      <x:c r="S35" s="80" t="str">
        <x:v>BetsAPI / Bet365</x:v>
      </x:c>
      <x:c r="T35" s="80" t="str">
        <x:v>4-0</x:v>
      </x:c>
      <x:c r="U35" s="80" t="str">
        <x:v>Выигрыш</x:v>
      </x:c>
      <x:c r="V35" s="89" t="n">
        <x:f>IF(A35="","",IF(U35="","",IF(U35="Выигрыш",J35-1,IF(U35="Полувыигрыш",(J35-1)/2,IF(U35="Возврат",0,IF(U35="Полупроигрыш",-0.5,IF(U35="Поражение",-1,"Проверить результат")))))))</x:f>
        <x:v>0.875</x:v>
      </x:c>
      <x:c r="W35" s="80" t="str">
        <x:f>IF(A35="","",IF(U35="","Открыт",IF(ISNUMBER(V35),"Рассчитан","Проверить результат")))</x:f>
        <x:v>Рассчитан</x:v>
      </x:c>
      <x:c r="X35" s="98" t="str">
        <x:v>Быстрый live-отбор 21:37 МСК</x:v>
      </x:c>
      <x:c r="Y35" s="5" t="str">
        <x:v>История без разделения</x:v>
      </x:c>
      <x:c r="Z35" s="5"/>
      <x:c r="AA35" s="5"/>
      <x:c r="AB35" s="118"/>
      <x:c r="AC35" s="119"/>
      <x:c r="AD35" s="119"/>
      <x:c r="AE35" s="5"/>
      <x:c r="AF35" s="5" t="str">
        <x:v>BetsAPI event ID 12159729; итоговый отчёт 13.10.2026, № 32</x:v>
      </x:c>
      <x:c r="AG35" s="5" t="str">
        <x:v>До правила топ-5</x:v>
      </x:c>
    </x:row>
    <x:row r="36">
      <x:c r="A36" s="80" t="n">
        <x:v>31</x:v>
      </x:c>
      <x:c r="B36" s="80" t="str">
        <x:v>12063004</x:v>
      </x:c>
      <x:c r="C36" s="83" t="str">
        <x:v>13.10.2026 21:37</x:v>
      </x:c>
      <x:c r="D36" s="80" t="str">
        <x:v>Женщины - квалификация чемпионата мира</x:v>
      </x:c>
      <x:c r="E36" s="80" t="str">
        <x:v>Исландия - Хорватия</x:v>
      </x:c>
      <x:c r="F36" s="86" t="n">
        <x:v>51</x:v>
      </x:c>
      <x:c r="G36" s="80" t="str">
        <x:v>2:0</x:v>
      </x:c>
      <x:c r="H36" s="95" t="str">
        <x:v>Исландия полностью доминирует и продолжает создавать моменты</x:v>
      </x:c>
      <x:c r="I36" s="95" t="str">
        <x:v>ТБ 3,75 всего матча</x:v>
      </x:c>
      <x:c r="J36" s="96" t="n">
        <x:v>1.95</x:v>
      </x:c>
      <x:c r="K36" s="97" t="n">
        <x:v>3</x:v>
      </x:c>
      <x:c r="L36" s="98" t="str">
        <x:v>Владение 71:29; удары 12:0; в створ 5:0; угловые 7:0; опасные атаки 66:19</x:v>
      </x:c>
      <x:c r="M36" s="98" t="str">
        <x:v>Один свежий снимок; раздельная динамика за 10–15 минут недоступна</x:v>
      </x:c>
      <x:c r="N36" s="98" t="str">
        <x:v>Полное статистическое превосходство Исландии; семь угловых и пять ударов в створ</x:v>
      </x:c>
      <x:c r="O36" s="98" t="str">
        <x:v>Сценарий односторонний; два дополнительных гола дают только полувыигрыш; 51-я минута</x:v>
      </x:c>
      <x:c r="P36" s="98" t="str">
        <x:v>Высокая</x:v>
      </x:c>
      <x:c r="Q36" s="80" t="str">
        <x:v>ПОДХОДИТ В LIVE</x:v>
      </x:c>
      <x:c r="R36" s="80" t="str">
        <x:v>ТБ live v1 от 13.10.2026</x:v>
      </x:c>
      <x:c r="S36" s="80" t="str">
        <x:v>BetsAPI / Bet365</x:v>
      </x:c>
      <x:c r="T36" s="80" t="str">
        <x:v>5-0</x:v>
      </x:c>
      <x:c r="U36" s="80" t="str">
        <x:v>Выигрыш</x:v>
      </x:c>
      <x:c r="V36" s="89" t="n">
        <x:f>IF(A36="","",IF(U36="","",IF(U36="Выигрыш",J36-1,IF(U36="Полувыигрыш",(J36-1)/2,IF(U36="Возврат",0,IF(U36="Полупроигрыш",-0.5,IF(U36="Поражение",-1,"Проверить результат")))))))</x:f>
        <x:v>0.95</x:v>
      </x:c>
      <x:c r="W36" s="80" t="str">
        <x:f>IF(A36="","",IF(U36="","Открыт",IF(ISNUMBER(V36),"Рассчитан","Проверить результат")))</x:f>
        <x:v>Рассчитан</x:v>
      </x:c>
      <x:c r="X36" s="98" t="str">
        <x:v>Быстрый live-отбор 21:37 МСК; односторонний сценарий</x:v>
      </x:c>
      <x:c r="Y36" s="5" t="str">
        <x:v>История без разделения</x:v>
      </x:c>
      <x:c r="Z36" s="5"/>
      <x:c r="AA36" s="5"/>
      <x:c r="AB36" s="118"/>
      <x:c r="AC36" s="119"/>
      <x:c r="AD36" s="119"/>
      <x:c r="AE36" s="5"/>
      <x:c r="AF36" s="5" t="str">
        <x:v>BetsAPI event ID 12063004; итоговый отчёт 13.10.2026, № 33</x:v>
      </x:c>
      <x:c r="AG36" s="5" t="str">
        <x:v>До правила топ-5</x:v>
      </x:c>
    </x:row>
    <x:row r="37">
      <x:c r="A37" s="80" t="n">
        <x:v>32</x:v>
      </x:c>
      <x:c r="B37" s="80" t="str">
        <x:v>13288669</x:v>
      </x:c>
      <x:c r="C37" s="83" t="str">
        <x:v>13.10.2026 21:50</x:v>
      </x:c>
      <x:c r="D37" s="80" t="str">
        <x:v>Польша - IV лига</x:v>
      </x:c>
      <x:c r="E37" s="80" t="str">
        <x:v>Полония Лазиска-Гурне - Пшемша-Севеж</x:v>
      </x:c>
      <x:c r="F37" s="86" t="n">
        <x:v>55</x:v>
      </x:c>
      <x:c r="G37" s="80" t="str">
        <x:v>0:0</x:v>
      </x:c>
      <x:c r="H37" s="95" t="str">
        <x:v>Высокая плотность ударов в створ при низкой линии</x:v>
      </x:c>
      <x:c r="I37" s="95" t="str">
        <x:v>ТБ 1,25 всего матча</x:v>
      </x:c>
      <x:c r="J37" s="96" t="n">
        <x:v>1.875</x:v>
      </x:c>
      <x:c r="K37" s="97" t="n">
        <x:v>2</x:v>
      </x:c>
      <x:c r="L37" s="98" t="str">
        <x:v>Удары 5:11; в створ 3:6; опасные атаки 41:35; угловые 3:2; владение 45:55</x:v>
      </x:c>
      <x:c r="M37" s="98" t="str">
        <x:v>Один свежий снимок; раздельная динамика за 10–15 минут недоступна</x:v>
      </x:c>
      <x:c r="N37" s="98" t="str">
        <x:v>Девять ударов в створ при нулевом счёте; низкая линия</x:v>
      </x:c>
      <x:c r="O37" s="98" t="str">
        <x:v>Осталось около 35 минут; один гол даёт полупроигрыш</x:v>
      </x:c>
      <x:c r="P37" s="98" t="str">
        <x:v>Средняя</x:v>
      </x:c>
      <x:c r="Q37" s="80" t="str">
        <x:v>ПОДХОДИТ В LIVE</x:v>
      </x:c>
      <x:c r="R37" s="80" t="str">
        <x:v>ТБ live v1 от 13.10.2026</x:v>
      </x:c>
      <x:c r="S37" s="80" t="str">
        <x:v>BetsAPI / Bet365</x:v>
      </x:c>
      <x:c r="T37" s="80" t="str">
        <x:v>0-0</x:v>
      </x:c>
      <x:c r="U37" s="80" t="str">
        <x:v>Поражение</x:v>
      </x:c>
      <x:c r="V37" s="89" t="n">
        <x:f>IF(A37="","",IF(U37="","",IF(U37="Выигрыш",J37-1,IF(U37="Полувыигрыш",(J37-1)/2,IF(U37="Возврат",0,IF(U37="Полупроигрыш",-0.5,IF(U37="Поражение",-1,"Проверить результат")))))))</x:f>
        <x:v>-1</x:v>
      </x:c>
      <x:c r="W37" s="80" t="str">
        <x:f>IF(A37="","",IF(U37="","Открыт",IF(ISNUMBER(V37),"Рассчитан","Проверить результат")))</x:f>
        <x:v>Рассчитан</x:v>
      </x:c>
      <x:c r="X37" s="98" t="str">
        <x:v>Быстрый live-отбор 21:50 МСК; лучший кандидат снимка по плотности ударов в створ</x:v>
      </x:c>
      <x:c r="Y37" s="5" t="str">
        <x:v>История без разделения</x:v>
      </x:c>
      <x:c r="Z37" s="5"/>
      <x:c r="AA37" s="5"/>
      <x:c r="AB37" s="118"/>
      <x:c r="AC37" s="119"/>
      <x:c r="AD37" s="119"/>
      <x:c r="AE37" s="5"/>
      <x:c r="AF37" s="5" t="str">
        <x:v>BetsAPI event ID 13288669; итоговый отчёт 13.10.2026, № 34</x:v>
      </x:c>
      <x:c r="AG37" s="5" t="str">
        <x:v>До правила топ-5</x:v>
      </x:c>
    </x:row>
    <x:row r="38">
      <x:c r="A38" s="80" t="n">
        <x:v>33</x:v>
      </x:c>
      <x:c r="B38" s="80" t="str">
        <x:v>12407699</x:v>
      </x:c>
      <x:c r="C38" s="83" t="str">
        <x:v>13.10.2026 21:50</x:v>
      </x:c>
      <x:c r="D38" s="80" t="str">
        <x:v>Англия - Трофей Английской лиги</x:v>
      </x:c>
      <x:c r="E38" s="80" t="str">
        <x:v>Челтнем - Тоттенхэм U21</x:v>
      </x:c>
      <x:c r="F38" s="86" t="n">
        <x:v>45</x:v>
      </x:c>
      <x:c r="G38" s="80" t="str">
        <x:v>1:0</x:v>
      </x:c>
      <x:c r="H38" s="95" t="str">
        <x:v>Тоттенхэм U21 уступает и должен раскрываться после перерыва</x:v>
      </x:c>
      <x:c r="I38" s="95" t="str">
        <x:v>ТБ 3 всего матча</x:v>
      </x:c>
      <x:c r="J38" s="96" t="n">
        <x:v>1.85</x:v>
      </x:c>
      <x:c r="K38" s="97" t="n">
        <x:v>3</x:v>
      </x:c>
      <x:c r="L38" s="98" t="str">
        <x:v>Удары 7:4; в створ 3:1; опасные атаки 26:20; угловые 4:4; владение 45:55; xG 1,27:0,68</x:v>
      </x:c>
      <x:c r="M38" s="98" t="str">
        <x:v>Один свежий снимок; раздельная динамика за 10–15 минут недоступна</x:v>
      </x:c>
      <x:c r="N38" s="98" t="str">
        <x:v>Суммарный xG 1,95; одиннадцать ударов и восемь угловых</x:v>
      </x:c>
      <x:c r="O38" s="98" t="str">
        <x:v>У гостей только один удар в створ; два новых гола дают лишь возврат</x:v>
      </x:c>
      <x:c r="P38" s="98" t="str">
        <x:v>Высокая</x:v>
      </x:c>
      <x:c r="Q38" s="80" t="str">
        <x:v>ПОДХОДИТ В LIVE</x:v>
      </x:c>
      <x:c r="R38" s="80" t="str">
        <x:v>ТБ live v1 от 13.10.2026</x:v>
      </x:c>
      <x:c r="S38" s="80" t="str">
        <x:v>BetsAPI / Bet365</x:v>
      </x:c>
      <x:c r="T38" s="80" t="str">
        <x:v>2-2</x:v>
      </x:c>
      <x:c r="U38" s="80" t="str">
        <x:v>Выигрыш</x:v>
      </x:c>
      <x:c r="V38" s="89" t="n">
        <x:f>IF(A38="","",IF(U38="","",IF(U38="Выигрыш",J38-1,IF(U38="Полувыигрыш",(J38-1)/2,IF(U38="Возврат",0,IF(U38="Полупроигрыш",-0.5,IF(U38="Поражение",-1,"Проверить результат")))))))</x:f>
        <x:v>0.8500000000000001</x:v>
      </x:c>
      <x:c r="W38" s="80" t="str">
        <x:f>IF(A38="","",IF(U38="","Открыт",IF(ISNUMBER(V38),"Рассчитан","Проверить результат")))</x:f>
        <x:v>Рассчитан</x:v>
      </x:c>
      <x:c r="X38" s="98" t="str">
        <x:v>Быстрый live-отбор 21:50 МСК</x:v>
      </x:c>
      <x:c r="Y38" s="5" t="str">
        <x:v>История без разделения</x:v>
      </x:c>
      <x:c r="Z38" s="5"/>
      <x:c r="AA38" s="5"/>
      <x:c r="AB38" s="118"/>
      <x:c r="AC38" s="119"/>
      <x:c r="AD38" s="119"/>
      <x:c r="AE38" s="5"/>
      <x:c r="AF38" s="5" t="str">
        <x:v>BetsAPI event ID 12407699; итоговый отчёт 13.10.2026, № 35</x:v>
      </x:c>
      <x:c r="AG38" s="5" t="str">
        <x:v>До правила топ-5</x:v>
      </x:c>
    </x:row>
    <x:row r="39">
      <x:c r="A39" s="80" t="n">
        <x:v>34</x:v>
      </x:c>
      <x:c r="B39" s="80" t="str">
        <x:v>12457698</x:v>
      </x:c>
      <x:c r="C39" s="83" t="str">
        <x:v>13.10.2026 21:50</x:v>
      </x:c>
      <x:c r="D39" s="80" t="str">
        <x:v>Азия - Лига чемпионов АФК</x:v>
      </x:c>
      <x:c r="E39" s="80" t="str">
        <x:v>Аль-Иттихад Джидда - Шабаб Аль-Ахли</x:v>
      </x:c>
      <x:c r="F39" s="86" t="n">
        <x:v>35</x:v>
      </x:c>
      <x:c r="G39" s="80" t="str">
        <x:v>0:2</x:v>
      </x:c>
      <x:c r="H39" s="95" t="str">
        <x:v>Аль-Иттихад проигрывает два мяча и продолжает территориальное давление</x:v>
      </x:c>
      <x:c r="I39" s="95" t="str">
        <x:v>ТБ 4,25 всего матча</x:v>
      </x:c>
      <x:c r="J39" s="96" t="n">
        <x:v>2.025</x:v>
      </x:c>
      <x:c r="K39" s="97" t="n">
        <x:v>3</x:v>
      </x:c>
      <x:c r="L39" s="98" t="str">
        <x:v>Удары 8:5; в створ 4:2; опасные атаки 25:6; угловые 3:0; владение 68:32; xG 0,25:1,19</x:v>
      </x:c>
      <x:c r="M39" s="98" t="str">
        <x:v>Один свежий снимок; раздельная динамика за 10–15 минут недоступна</x:v>
      </x:c>
      <x:c r="N39" s="98" t="str">
        <x:v>Тринадцать ударов и шесть в створ; проигрывающая команда владеет инициативой</x:v>
      </x:c>
      <x:c r="O39" s="98" t="str">
        <x:v>xG хозяев только 0,25; два дополнительных гола дают полупроигрыш</x:v>
      </x:c>
      <x:c r="P39" s="98" t="str">
        <x:v>Высокая</x:v>
      </x:c>
      <x:c r="Q39" s="80" t="str">
        <x:v>ПОДХОДИТ В LIVE</x:v>
      </x:c>
      <x:c r="R39" s="80" t="str">
        <x:v>ТБ live v1 от 13.10.2026</x:v>
      </x:c>
      <x:c r="S39" s="80" t="str">
        <x:v>BetsAPI / Bet365</x:v>
      </x:c>
      <x:c r="T39" s="80" t="str">
        <x:v>1-2</x:v>
      </x:c>
      <x:c r="U39" s="80" t="str">
        <x:v>Поражение</x:v>
      </x:c>
      <x:c r="V39" s="89" t="n">
        <x:f>IF(A39="","",IF(U39="","",IF(U39="Выигрыш",J39-1,IF(U39="Полувыигрыш",(J39-1)/2,IF(U39="Возврат",0,IF(U39="Полупроигрыш",-0.5,IF(U39="Поражение",-1,"Проверить результат")))))))</x:f>
        <x:v>-1</x:v>
      </x:c>
      <x:c r="W39" s="80" t="str">
        <x:f>IF(A39="","",IF(U39="","Открыт",IF(ISNUMBER(V39),"Рассчитан","Проверить результат")))</x:f>
        <x:v>Рассчитан</x:v>
      </x:c>
      <x:c r="X39" s="98" t="str">
        <x:v>Быстрый live-отбор 21:50 МСК</x:v>
      </x:c>
      <x:c r="Y39" s="5" t="str">
        <x:v>История без разделения</x:v>
      </x:c>
      <x:c r="Z39" s="5"/>
      <x:c r="AA39" s="5"/>
      <x:c r="AB39" s="118"/>
      <x:c r="AC39" s="119"/>
      <x:c r="AD39" s="119"/>
      <x:c r="AE39" s="5"/>
      <x:c r="AF39" s="5" t="str">
        <x:v>BetsAPI event ID 12457698; итоговый отчёт 13.10.2026, № 36</x:v>
      </x:c>
      <x:c r="AG39" s="5" t="str">
        <x:v>До правила топ-5</x:v>
      </x:c>
    </x:row>
    <x:row r="40">
      <x:c r="A40" s="80" t="n">
        <x:v>35</x:v>
      </x:c>
      <x:c r="B40" s="80" t="str">
        <x:v>13285299</x:v>
      </x:c>
      <x:c r="C40" s="83" t="str">
        <x:v>13.10.2026 21:50</x:v>
      </x:c>
      <x:c r="D40" s="80" t="str">
        <x:v>Аргентина - Лига резервов</x:v>
      </x:c>
      <x:c r="E40" s="80" t="str">
        <x:v>Док-Суд резерв - Дефенсорес Унидос резерв</x:v>
      </x:c>
      <x:c r="F40" s="86" t="n">
        <x:v>45</x:v>
      </x:c>
      <x:c r="G40" s="80" t="str">
        <x:v>2:1</x:v>
      </x:c>
      <x:c r="H40" s="95" t="str">
        <x:v>Конкурентный счёт и сохраняющееся преимущество хозяев по активности</x:v>
      </x:c>
      <x:c r="I40" s="95" t="str">
        <x:v>ТБ 4,5 всего матча</x:v>
      </x:c>
      <x:c r="J40" s="96" t="n">
        <x:v>1.9</x:v>
      </x:c>
      <x:c r="K40" s="97" t="n">
        <x:v>2</x:v>
      </x:c>
      <x:c r="L40" s="98" t="str">
        <x:v>Удары 7:3; в створ 4:2; опасные атаки 43:26; угловые 0:1; владение 52:48</x:v>
      </x:c>
      <x:c r="M40" s="98" t="str">
        <x:v>Один свежий снимок; раздельная динамика за 10–15 минут недоступна</x:v>
      </x:c>
      <x:c r="N40" s="98" t="str">
        <x:v>Три гола и шесть ударов в створ за первый тайм</x:v>
      </x:c>
      <x:c r="O40" s="98" t="str">
        <x:v>Только один угловой; гости создают заметно меньше</x:v>
      </x:c>
      <x:c r="P40" s="98" t="str">
        <x:v>Средняя</x:v>
      </x:c>
      <x:c r="Q40" s="80" t="str">
        <x:v>ПОДХОДИТ В LIVE</x:v>
      </x:c>
      <x:c r="R40" s="80" t="str">
        <x:v>ТБ live v1 от 13.10.2026</x:v>
      </x:c>
      <x:c r="S40" s="80" t="str">
        <x:v>BetsAPI / Bet365</x:v>
      </x:c>
      <x:c r="T40" s="80" t="str">
        <x:v>4-1</x:v>
      </x:c>
      <x:c r="U40" s="80" t="str">
        <x:v>Выигрыш</x:v>
      </x:c>
      <x:c r="V40" s="89" t="n">
        <x:f>IF(A40="","",IF(U40="","",IF(U40="Выигрыш",J40-1,IF(U40="Полувыигрыш",(J40-1)/2,IF(U40="Возврат",0,IF(U40="Полупроигрыш",-0.5,IF(U40="Поражение",-1,"Проверить результат")))))))</x:f>
        <x:v>0.8999999999999999</x:v>
      </x:c>
      <x:c r="W40" s="80" t="str">
        <x:f>IF(A40="","",IF(U40="","Открыт",IF(ISNUMBER(V40),"Рассчитан","Проверить результат")))</x:f>
        <x:v>Рассчитан</x:v>
      </x:c>
      <x:c r="X40" s="98" t="str">
        <x:v>Быстрый live-отбор 21:50 МСК</x:v>
      </x:c>
      <x:c r="Y40" s="5" t="str">
        <x:v>История без разделения</x:v>
      </x:c>
      <x:c r="Z40" s="5"/>
      <x:c r="AA40" s="5"/>
      <x:c r="AB40" s="118"/>
      <x:c r="AC40" s="119"/>
      <x:c r="AD40" s="119"/>
      <x:c r="AE40" s="5"/>
      <x:c r="AF40" s="5" t="str">
        <x:v>BetsAPI event ID 13285299; итоговый отчёт 13.10.2026, № 37</x:v>
      </x:c>
      <x:c r="AG40" s="5" t="str">
        <x:v>До правила топ-5</x:v>
      </x:c>
    </x:row>
    <x:row r="41">
      <x:c r="A41" s="80" t="n">
        <x:v>36</x:v>
      </x:c>
      <x:c r="B41" s="80" t="str">
        <x:v>12319680</x:v>
      </x:c>
      <x:c r="C41" s="83" t="str">
        <x:v>13.10.2026 21:50</x:v>
      </x:c>
      <x:c r="D41" s="80" t="str">
        <x:v>ЮАР - Премьер-лига</x:v>
      </x:c>
      <x:c r="E41" s="80" t="str">
        <x:v>Кайзер Чифс - Стелленбос</x:v>
      </x:c>
      <x:c r="F41" s="86" t="n">
        <x:v>60</x:v>
      </x:c>
      <x:c r="G41" s="80" t="str">
        <x:v>1:1</x:v>
      </x:c>
      <x:c r="H41" s="95" t="str">
        <x:v>Ничья при территориальном преимуществе Кайзер Чифс и активности обеих команд</x:v>
      </x:c>
      <x:c r="I41" s="95" t="str">
        <x:v>ТБ 2,75 всего матча</x:v>
      </x:c>
      <x:c r="J41" s="96" t="n">
        <x:v>1.95</x:v>
      </x:c>
      <x:c r="K41" s="97" t="n">
        <x:v>2</x:v>
      </x:c>
      <x:c r="L41" s="98" t="str">
        <x:v>Удары 5:5; в створ 1:1; опасные атаки 42:30; угловые 3:3; владение 66:34; xG 0,67:0,55</x:v>
      </x:c>
      <x:c r="M41" s="98" t="str">
        <x:v>Один свежий снимок; раздельная динамика за 10–15 минут недоступна</x:v>
      </x:c>
      <x:c r="N41" s="98" t="str">
        <x:v>Суммарный xG 1,22; обе команды забили; один гол даёт полувыигрыш</x:v>
      </x:c>
      <x:c r="O41" s="98" t="str">
        <x:v>Только два удара в створ; верхняя граница рабочего окна</x:v>
      </x:c>
      <x:c r="P41" s="98" t="str">
        <x:v>Высокая</x:v>
      </x:c>
      <x:c r="Q41" s="80" t="str">
        <x:v>ПОДХОДИТ В LIVE</x:v>
      </x:c>
      <x:c r="R41" s="80" t="str">
        <x:v>ТБ live v1 от 13.10.2026</x:v>
      </x:c>
      <x:c r="S41" s="80" t="str">
        <x:v>BetsAPI / Bet365</x:v>
      </x:c>
      <x:c r="T41" s="80" t="str">
        <x:v>1-1</x:v>
      </x:c>
      <x:c r="U41" s="80" t="str">
        <x:v>Поражение</x:v>
      </x:c>
      <x:c r="V41" s="89" t="n">
        <x:f>IF(A41="","",IF(U41="","",IF(U41="Выигрыш",J41-1,IF(U41="Полувыигрыш",(J41-1)/2,IF(U41="Возврат",0,IF(U41="Полупроигрыш",-0.5,IF(U41="Поражение",-1,"Проверить результат")))))))</x:f>
        <x:v>-1</x:v>
      </x:c>
      <x:c r="W41" s="80" t="str">
        <x:f>IF(A41="","",IF(U41="","Открыт",IF(ISNUMBER(V41),"Рассчитан","Проверить результат")))</x:f>
        <x:v>Рассчитан</x:v>
      </x:c>
      <x:c r="X41" s="98" t="str">
        <x:v>Быстрый live-отбор 21:50 МСК; повышенный временной риск</x:v>
      </x:c>
      <x:c r="Y41" s="5" t="str">
        <x:v>История без разделения</x:v>
      </x:c>
      <x:c r="Z41" s="5"/>
      <x:c r="AA41" s="5"/>
      <x:c r="AB41" s="118"/>
      <x:c r="AC41" s="119"/>
      <x:c r="AD41" s="119"/>
      <x:c r="AE41" s="5"/>
      <x:c r="AF41" s="5" t="str">
        <x:v>BetsAPI event ID 12319680; итоговый отчёт 13.10.2026, № 38</x:v>
      </x:c>
      <x:c r="AG41" s="5" t="str">
        <x:v>До правила топ-5</x:v>
      </x:c>
    </x:row>
    <x:row r="42">
      <x:c r="A42" s="80" t="n">
        <x:v>37</x:v>
      </x:c>
      <x:c r="B42" s="80" t="str">
        <x:v>13217858</x:v>
      </x:c>
      <x:c r="C42" s="83" t="str">
        <x:v>13.10.2026 21:50</x:v>
      </x:c>
      <x:c r="D42" s="80" t="str">
        <x:v>Аргентина - Лига профессиональных резервов</x:v>
      </x:c>
      <x:c r="E42" s="80" t="str">
        <x:v>Атлетико Рафаэла резерв - Эстудиантес Рио-Куарто резерв</x:v>
      </x:c>
      <x:c r="F42" s="86" t="n">
        <x:v>30</x:v>
      </x:c>
      <x:c r="G42" s="80" t="str">
        <x:v>0:0</x:v>
      </x:c>
      <x:c r="H42" s="95" t="str">
        <x:v>Равная активная игра при низкой линии тотала</x:v>
      </x:c>
      <x:c r="I42" s="95" t="str">
        <x:v>ТБ 1,5 всего матча</x:v>
      </x:c>
      <x:c r="J42" s="96" t="n">
        <x:v>1.9</x:v>
      </x:c>
      <x:c r="K42" s="97" t="n">
        <x:v>2</x:v>
      </x:c>
      <x:c r="L42" s="98" t="str">
        <x:v>Удары 4:5; в створ 1:2; опасные атаки 21:33; угловые 1:2; владение 54:46</x:v>
      </x:c>
      <x:c r="M42" s="98" t="str">
        <x:v>Один свежий снимок; раздельная динамика за 10–15 минут недоступна</x:v>
      </x:c>
      <x:c r="N42" s="98" t="str">
        <x:v>Девять ударов, три в створ и около часа игрового времени</x:v>
      </x:c>
      <x:c r="O42" s="98" t="str">
        <x:v>Нет явного доминирующего источника моментов; xG недоступен</x:v>
      </x:c>
      <x:c r="P42" s="98" t="str">
        <x:v>Средняя</x:v>
      </x:c>
      <x:c r="Q42" s="80" t="str">
        <x:v>ПОДХОДИТ В LIVE</x:v>
      </x:c>
      <x:c r="R42" s="80" t="str">
        <x:v>ТБ live v1 от 13.10.2026</x:v>
      </x:c>
      <x:c r="S42" s="80" t="str">
        <x:v>BetsAPI / Bet365</x:v>
      </x:c>
      <x:c r="T42" s="80" t="str">
        <x:v>1-1</x:v>
      </x:c>
      <x:c r="U42" s="80" t="str">
        <x:v>Выигрыш</x:v>
      </x:c>
      <x:c r="V42" s="89" t="n">
        <x:f>IF(A42="","",IF(U42="","",IF(U42="Выигрыш",J42-1,IF(U42="Полувыигрыш",(J42-1)/2,IF(U42="Возврат",0,IF(U42="Полупроигрыш",-0.5,IF(U42="Поражение",-1,"Проверить результат")))))))</x:f>
        <x:v>0.8999999999999999</x:v>
      </x:c>
      <x:c r="W42" s="80" t="str">
        <x:f>IF(A42="","",IF(U42="","Открыт",IF(ISNUMBER(V42),"Рассчитан","Проверить результат")))</x:f>
        <x:v>Рассчитан</x:v>
      </x:c>
      <x:c r="X42" s="98" t="str">
        <x:v>Быстрый live-отбор 21:50 МСК</x:v>
      </x:c>
      <x:c r="Y42" s="5" t="str">
        <x:v>История без разделения</x:v>
      </x:c>
      <x:c r="Z42" s="5"/>
      <x:c r="AA42" s="5"/>
      <x:c r="AB42" s="118"/>
      <x:c r="AC42" s="119"/>
      <x:c r="AD42" s="119"/>
      <x:c r="AE42" s="5"/>
      <x:c r="AF42" s="5" t="str">
        <x:v>BetsAPI event ID 13217858; итоговый отчёт 13.10.2026, № 39</x:v>
      </x:c>
      <x:c r="AG42" s="5" t="str">
        <x:v>До правила топ-5</x:v>
      </x:c>
    </x:row>
    <x:row r="43">
      <x:c r="A43" s="80" t="n">
        <x:v>38</x:v>
      </x:c>
      <x:c r="B43" s="80" t="str">
        <x:v>13285298</x:v>
      </x:c>
      <x:c r="C43" s="83" t="str">
        <x:v>13.10.2026 21:50</x:v>
      </x:c>
      <x:c r="D43" s="80" t="str">
        <x:v>Аргентина - Лига резервов</x:v>
      </x:c>
      <x:c r="E43" s="80" t="str">
        <x:v>Кильмес резерв - Депортиво Арменио резерв</x:v>
      </x:c>
      <x:c r="F43" s="86" t="n">
        <x:v>40</x:v>
      </x:c>
      <x:c r="G43" s="80" t="str">
        <x:v>1:0</x:v>
      </x:c>
      <x:c r="H43" s="95" t="str">
        <x:v>Гости уступают, владеют мячом и должны менять игру</x:v>
      </x:c>
      <x:c r="I43" s="95" t="str">
        <x:v>ТБ 2,5 всего матча</x:v>
      </x:c>
      <x:c r="J43" s="96" t="n">
        <x:v>2</x:v>
      </x:c>
      <x:c r="K43" s="97" t="n">
        <x:v>2</x:v>
      </x:c>
      <x:c r="L43" s="98" t="str">
        <x:v>Удары 5:1; в створ 2:1; опасные атаки 33:26; угловые 3:1; владение 47:53; пенальти 1:0</x:v>
      </x:c>
      <x:c r="M43" s="98" t="str">
        <x:v>Один свежий снимок; раздельная динамика за 10–15 минут недоступна</x:v>
      </x:c>
      <x:c r="N43" s="98" t="str">
        <x:v>Проигрывающая команда сохраняет владение; конкурентный счёт</x:v>
      </x:c>
      <x:c r="O43" s="98" t="str">
        <x:v>Только шесть ударов; первый гол забит с пенальти; xG недоступен</x:v>
      </x:c>
      <x:c r="P43" s="98" t="str">
        <x:v>Средняя</x:v>
      </x:c>
      <x:c r="Q43" s="80" t="str">
        <x:v>ПОДХОДИТ В LIVE</x:v>
      </x:c>
      <x:c r="R43" s="80" t="str">
        <x:v>ТБ live v1 от 13.10.2026</x:v>
      </x:c>
      <x:c r="S43" s="80" t="str">
        <x:v>BetsAPI / Bet365</x:v>
      </x:c>
      <x:c r="T43" s="80" t="str">
        <x:v>3-0</x:v>
      </x:c>
      <x:c r="U43" s="80" t="str">
        <x:v>Выигрыш</x:v>
      </x:c>
      <x:c r="V43" s="89" t="n">
        <x:f>IF(A43="","",IF(U43="","",IF(U43="Выигрыш",J43-1,IF(U43="Полувыигрыш",(J43-1)/2,IF(U43="Возврат",0,IF(U43="Полупроигрыш",-0.5,IF(U43="Поражение",-1,"Проверить результат")))))))</x:f>
        <x:v>1</x:v>
      </x:c>
      <x:c r="W43" s="80" t="str">
        <x:f>IF(A43="","",IF(U43="","Открыт",IF(ISNUMBER(V43),"Рассчитан","Проверить результат")))</x:f>
        <x:v>Рассчитан</x:v>
      </x:c>
      <x:c r="X43" s="98" t="str">
        <x:v>Быстрый live-отбор 21:50 МСК; пограничный кандидат</x:v>
      </x:c>
      <x:c r="Y43" s="5" t="str">
        <x:v>История без разделения</x:v>
      </x:c>
      <x:c r="Z43" s="5"/>
      <x:c r="AA43" s="5"/>
      <x:c r="AB43" s="118"/>
      <x:c r="AC43" s="119"/>
      <x:c r="AD43" s="119"/>
      <x:c r="AE43" s="5"/>
      <x:c r="AF43" s="5" t="str">
        <x:v>BetsAPI event ID 13285298; итоговый отчёт 13.10.2026, № 40</x:v>
      </x:c>
      <x:c r="AG43" s="5" t="str">
        <x:v>До правила топ-5</x:v>
      </x:c>
    </x:row>
    <x:row r="44">
      <x:c r="A44" s="80" t="n">
        <x:v>39</x:v>
      </x:c>
      <x:c r="B44" s="80" t="str">
        <x:v>12062985</x:v>
      </x:c>
      <x:c r="C44" s="83" t="str">
        <x:v>13.10.2026 21:50</x:v>
      </x:c>
      <x:c r="D44" s="80" t="str">
        <x:v>Женщины - квалификация чемпионата мира</x:v>
      </x:c>
      <x:c r="E44" s="80" t="str">
        <x:v>Португалия - Северная Ирландия</x:v>
      </x:c>
      <x:c r="F44" s="86" t="n">
        <x:v>35</x:v>
      </x:c>
      <x:c r="G44" s="80" t="str">
        <x:v>0:1</x:v>
      </x:c>
      <x:c r="H44" s="95" t="str">
        <x:v>Явный фаворит неожиданно уступает и вынужден усиливать давление</x:v>
      </x:c>
      <x:c r="I44" s="95" t="str">
        <x:v>ТБ 3 всего матча</x:v>
      </x:c>
      <x:c r="J44" s="96" t="n">
        <x:v>1.8</x:v>
      </x:c>
      <x:c r="K44" s="97" t="n">
        <x:v>3</x:v>
      </x:c>
      <x:c r="L44" s="98" t="str">
        <x:v>Удары 5:3; в створ 1:2; опасные атаки 19:8; угловые 3:1; владение 81:19; xG 0,48:0,23</x:v>
      </x:c>
      <x:c r="M44" s="98" t="str">
        <x:v>Один свежий снимок; раздельная динамика за 10–15 минут недоступна</x:v>
      </x:c>
      <x:c r="N44" s="98" t="str">
        <x:v>Огромное владение Португалии; более 55 минут игрового времени</x:v>
      </x:c>
      <x:c r="O44" s="98" t="str">
        <x:v>Суммарный xG только 0,71; два новых гола дают лишь возврат</x:v>
      </x:c>
      <x:c r="P44" s="98" t="str">
        <x:v>Высокая</x:v>
      </x:c>
      <x:c r="Q44" s="80" t="str">
        <x:v>ПОДХОДИТ В LIVE</x:v>
      </x:c>
      <x:c r="R44" s="80" t="str">
        <x:v>ТБ live v1 от 13.10.2026</x:v>
      </x:c>
      <x:c r="S44" s="80" t="str">
        <x:v>BetsAPI / Bet365</x:v>
      </x:c>
      <x:c r="T44" s="80" t="str">
        <x:v>3-1</x:v>
      </x:c>
      <x:c r="U44" s="80" t="str">
        <x:v>Выигрыш</x:v>
      </x:c>
      <x:c r="V44" s="89" t="n">
        <x:f>IF(A44="","",IF(U44="","",IF(U44="Выигрыш",J44-1,IF(U44="Полувыигрыш",(J44-1)/2,IF(U44="Возврат",0,IF(U44="Полупроигрыш",-0.5,IF(U44="Поражение",-1,"Проверить результат")))))))</x:f>
        <x:v>0.8</x:v>
      </x:c>
      <x:c r="W44" s="80" t="str">
        <x:f>IF(A44="","",IF(U44="","Открыт",IF(ISNUMBER(V44),"Рассчитан","Проверить результат")))</x:f>
        <x:v>Рассчитан</x:v>
      </x:c>
      <x:c r="X44" s="98" t="str">
        <x:v>Быстрый live-отбор 21:50 МСК</x:v>
      </x:c>
      <x:c r="Y44" s="5" t="str">
        <x:v>История без разделения</x:v>
      </x:c>
      <x:c r="Z44" s="5"/>
      <x:c r="AA44" s="5"/>
      <x:c r="AB44" s="118"/>
      <x:c r="AC44" s="119"/>
      <x:c r="AD44" s="119"/>
      <x:c r="AE44" s="5"/>
      <x:c r="AF44" s="5" t="str">
        <x:v>BetsAPI event ID 12062985; итоговый отчёт 13.10.2026, № 41</x:v>
      </x:c>
      <x:c r="AG44" s="5" t="str">
        <x:v>До правила топ-5</x:v>
      </x:c>
    </x:row>
    <x:row r="45">
      <x:c r="A45" s="80" t="n">
        <x:v>40</x:v>
      </x:c>
      <x:c r="B45" s="80" t="str">
        <x:v>13217800</x:v>
      </x:c>
      <x:c r="C45" s="83" t="str">
        <x:v>13.10.2026 21:50</x:v>
      </x:c>
      <x:c r="D45" s="80" t="str">
        <x:v>Аргентина - Лига профессиональных резервов</x:v>
      </x:c>
      <x:c r="E45" s="80" t="str">
        <x:v>Индепендьенте резерв - Уракан резерв</x:v>
      </x:c>
      <x:c r="F45" s="86" t="n">
        <x:v>45</x:v>
      </x:c>
      <x:c r="G45" s="80" t="str">
        <x:v>2:0</x:v>
      </x:c>
      <x:c r="H45" s="95" t="str">
        <x:v>Уракан должен раскрываться после перерыва при двухголовом отставании</x:v>
      </x:c>
      <x:c r="I45" s="95" t="str">
        <x:v>ТБ 3,5 всего матча</x:v>
      </x:c>
      <x:c r="J45" s="96" t="n">
        <x:v>2</x:v>
      </x:c>
      <x:c r="K45" s="97" t="n">
        <x:v>2</x:v>
      </x:c>
      <x:c r="L45" s="98" t="str">
        <x:v>Удары 4:3; в створ 3:1; опасные атаки 16:12; угловые 4:4; владение 55:45; пенальти 1:0</x:v>
      </x:c>
      <x:c r="M45" s="98" t="str">
        <x:v>Один свежий снимок; раздельная динамика за 10–15 минут недоступна</x:v>
      </x:c>
      <x:c r="N45" s="98" t="str">
        <x:v>Восемь угловых и четыре удара в створ; впереди второй тайм</x:v>
      </x:c>
      <x:c r="O45" s="98" t="str">
        <x:v>Общий темп ударов невысок; один гол забит с пенальти</x:v>
      </x:c>
      <x:c r="P45" s="98" t="str">
        <x:v>Средняя</x:v>
      </x:c>
      <x:c r="Q45" s="80" t="str">
        <x:v>ПОДХОДИТ В LIVE</x:v>
      </x:c>
      <x:c r="R45" s="80" t="str">
        <x:v>ТБ live v1 от 13.10.2026</x:v>
      </x:c>
      <x:c r="S45" s="80" t="str">
        <x:v>BetsAPI / Bet365</x:v>
      </x:c>
      <x:c r="T45" s="80" t="str">
        <x:v>3-0</x:v>
      </x:c>
      <x:c r="U45" s="80" t="str">
        <x:v>Поражение</x:v>
      </x:c>
      <x:c r="V45" s="89" t="n">
        <x:f>IF(A45="","",IF(U45="","",IF(U45="Выигрыш",J45-1,IF(U45="Полувыигрыш",(J45-1)/2,IF(U45="Возврат",0,IF(U45="Полупроигрыш",-0.5,IF(U45="Поражение",-1,"Проверить результат")))))))</x:f>
        <x:v>-1</x:v>
      </x:c>
      <x:c r="W45" s="80" t="str">
        <x:f>IF(A45="","",IF(U45="","Открыт",IF(ISNUMBER(V45),"Рассчитан","Проверить результат")))</x:f>
        <x:v>Рассчитан</x:v>
      </x:c>
      <x:c r="X45" s="98" t="str">
        <x:v>Быстрый live-отбор 21:50 МСК; пограничный кандидат</x:v>
      </x:c>
      <x:c r="Y45" s="5" t="str">
        <x:v>История без разделения</x:v>
      </x:c>
      <x:c r="Z45" s="5"/>
      <x:c r="AA45" s="5"/>
      <x:c r="AB45" s="118"/>
      <x:c r="AC45" s="119"/>
      <x:c r="AD45" s="119"/>
      <x:c r="AE45" s="5"/>
      <x:c r="AF45" s="5" t="str">
        <x:v>BetsAPI event ID 13217800; итоговый отчёт 13.10.2026, № 42</x:v>
      </x:c>
      <x:c r="AG45" s="5" t="str">
        <x:v>До правила топ-5</x:v>
      </x:c>
    </x:row>
    <x:row r="46">
      <x:c r="A46" s="80" t="n">
        <x:v>41</x:v>
      </x:c>
      <x:c r="B46" s="80" t="str">
        <x:v>12407276</x:v>
      </x:c>
      <x:c r="C46" s="83" t="str">
        <x:v>13.10.2026 21:50</x:v>
      </x:c>
      <x:c r="D46" s="80" t="str">
        <x:v>Англия - Трофей Английской лиги</x:v>
      </x:c>
      <x:c r="E46" s="80" t="str">
        <x:v>Рединг - Челси U21</x:v>
      </x:c>
      <x:c r="F46" s="86" t="n">
        <x:v>45</x:v>
      </x:c>
      <x:c r="G46" s="80" t="str">
        <x:v>0:2</x:v>
      </x:c>
      <x:c r="H46" s="95" t="str">
        <x:v>Рединг должен отыгрываться, а Челси U21 получает пространство для атак</x:v>
      </x:c>
      <x:c r="I46" s="95" t="str">
        <x:v>ТБ 4 всего матча</x:v>
      </x:c>
      <x:c r="J46" s="96" t="n">
        <x:v>1.8</x:v>
      </x:c>
      <x:c r="K46" s="97" t="n">
        <x:v>3</x:v>
      </x:c>
      <x:c r="L46" s="98" t="str">
        <x:v>Удары 8:5; в створ 3:2; опасные атаки 20:20; угловые 4:2; владение 49:51; xG 0,46:1,28</x:v>
      </x:c>
      <x:c r="M46" s="98" t="str">
        <x:v>Один свежий снимок; раздельная динамика за 10–15 минут недоступна</x:v>
      </x:c>
      <x:c r="N46" s="98" t="str">
        <x:v>Тринадцать ударов, пять в створ и суммарный xG 1,74</x:v>
      </x:c>
      <x:c r="O46" s="98" t="str">
        <x:v>Для полного выигрыша нужны ещё три гола; два дают возврат</x:v>
      </x:c>
      <x:c r="P46" s="98" t="str">
        <x:v>Высокая</x:v>
      </x:c>
      <x:c r="Q46" s="80" t="str">
        <x:v>ПОДХОДИТ В LIVE</x:v>
      </x:c>
      <x:c r="R46" s="80" t="str">
        <x:v>ТБ live v1 от 13.10.2026</x:v>
      </x:c>
      <x:c r="S46" s="80" t="str">
        <x:v>BetsAPI / Bet365</x:v>
      </x:c>
      <x:c r="T46" s="80" t="str">
        <x:v>0-2</x:v>
      </x:c>
      <x:c r="U46" s="80" t="str">
        <x:v>Поражение</x:v>
      </x:c>
      <x:c r="V46" s="89" t="n">
        <x:f>IF(A46="","",IF(U46="","",IF(U46="Выигрыш",J46-1,IF(U46="Полувыигрыш",(J46-1)/2,IF(U46="Возврат",0,IF(U46="Полупроигрыш",-0.5,IF(U46="Поражение",-1,"Проверить результат")))))))</x:f>
        <x:v>-1</x:v>
      </x:c>
      <x:c r="W46" s="80" t="str">
        <x:f>IF(A46="","",IF(U46="","Открыт",IF(ISNUMBER(V46),"Рассчитан","Проверить результат")))</x:f>
        <x:v>Рассчитан</x:v>
      </x:c>
      <x:c r="X46" s="98" t="str">
        <x:v>Быстрый live-отбор 21:50 МСК</x:v>
      </x:c>
      <x:c r="Y46" s="5" t="str">
        <x:v>История без разделения</x:v>
      </x:c>
      <x:c r="Z46" s="5"/>
      <x:c r="AA46" s="5"/>
      <x:c r="AB46" s="118"/>
      <x:c r="AC46" s="119"/>
      <x:c r="AD46" s="119"/>
      <x:c r="AE46" s="5"/>
      <x:c r="AF46" s="5" t="str">
        <x:v>BetsAPI event ID 12407276; итоговый отчёт 13.10.2026, № 43</x:v>
      </x:c>
      <x:c r="AG46" s="5" t="str">
        <x:v>До правила топ-5</x:v>
      </x:c>
    </x:row>
    <x:row r="47">
      <x:c r="A47" s="80" t="n">
        <x:v>42</x:v>
      </x:c>
      <x:c r="B47" s="80" t="str">
        <x:v>12403134</x:v>
      </x:c>
      <x:c r="C47" s="83" t="str">
        <x:v>13.10.2026 21:50</x:v>
      </x:c>
      <x:c r="D47" s="80" t="str">
        <x:v>Англия - Кубок Национальной лиги</x:v>
      </x:c>
      <x:c r="E47" s="80" t="str">
        <x:v>Сканторп - Дерби U21</x:v>
      </x:c>
      <x:c r="F47" s="86" t="n">
        <x:v>45</x:v>
      </x:c>
      <x:c r="G47" s="80" t="str">
        <x:v>2:0</x:v>
      </x:c>
      <x:c r="H47" s="95" t="str">
        <x:v>Дерби U21 должен раскрываться, Сканторп сохраняет территориальное преимущество</x:v>
      </x:c>
      <x:c r="I47" s="95" t="str">
        <x:v>ТБ 3,75 всего матча</x:v>
      </x:c>
      <x:c r="J47" s="96" t="n">
        <x:v>1.925</x:v>
      </x:c>
      <x:c r="K47" s="97" t="n">
        <x:v>3</x:v>
      </x:c>
      <x:c r="L47" s="98" t="str">
        <x:v>Удары 6:3; в створ 3:2; опасные атаки 26:10; угловые 5:0; владение 50:50</x:v>
      </x:c>
      <x:c r="M47" s="98" t="str">
        <x:v>Один свежий снимок; раздельная динамика за 10–15 минут недоступна</x:v>
      </x:c>
      <x:c r="N47" s="98" t="str">
        <x:v>Пять ударов в створ и пять угловых; впереди второй тайм</x:v>
      </x:c>
      <x:c r="O47" s="98" t="str">
        <x:v>Активность гостей невысока; два новых гола дают только полувыигрыш</x:v>
      </x:c>
      <x:c r="P47" s="98" t="str">
        <x:v>Средняя</x:v>
      </x:c>
      <x:c r="Q47" s="80" t="str">
        <x:v>ПОДХОДИТ В LIVE</x:v>
      </x:c>
      <x:c r="R47" s="80" t="str">
        <x:v>ТБ live v1 от 13.10.2026</x:v>
      </x:c>
      <x:c r="S47" s="80" t="str">
        <x:v>BetsAPI / Bet365</x:v>
      </x:c>
      <x:c r="T47" s="80" t="str">
        <x:v>2-2</x:v>
      </x:c>
      <x:c r="U47" s="80" t="str">
        <x:v>Полувыигрыш</x:v>
      </x:c>
      <x:c r="V47" s="89" t="n">
        <x:f>IF(A47="","",IF(U47="","",IF(U47="Выигрыш",J47-1,IF(U47="Полувыигрыш",(J47-1)/2,IF(U47="Возврат",0,IF(U47="Полупроигрыш",-0.5,IF(U47="Поражение",-1,"Проверить результат")))))))</x:f>
        <x:v>0.4625</x:v>
      </x:c>
      <x:c r="W47" s="80" t="str">
        <x:f>IF(A47="","",IF(U47="","Открыт",IF(ISNUMBER(V47),"Рассчитан","Проверить результат")))</x:f>
        <x:v>Рассчитан</x:v>
      </x:c>
      <x:c r="X47" s="98" t="str">
        <x:v>Быстрый live-отбор 21:50 МСК</x:v>
      </x:c>
      <x:c r="Y47" s="5" t="str">
        <x:v>История без разделения</x:v>
      </x:c>
      <x:c r="Z47" s="5"/>
      <x:c r="AA47" s="5"/>
      <x:c r="AB47" s="118"/>
      <x:c r="AC47" s="119"/>
      <x:c r="AD47" s="119"/>
      <x:c r="AE47" s="5"/>
      <x:c r="AF47" s="5" t="str">
        <x:v>BetsAPI event ID 12403134; итоговый отчёт 13.10.2026, № 44</x:v>
      </x:c>
      <x:c r="AG47" s="5" t="str">
        <x:v>До правила топ-5</x:v>
      </x:c>
    </x:row>
    <x:row r="48">
      <x:c r="A48" s="80" t="n">
        <x:v>43</x:v>
      </x:c>
      <x:c r="B48" s="80" t="str">
        <x:v>12411994</x:v>
      </x:c>
      <x:c r="C48" s="83" t="str">
        <x:v>13.10.2026 21:50</x:v>
      </x:c>
      <x:c r="D48" s="80" t="str">
        <x:v>Англия - Кубок Премьер-лиги U21</x:v>
      </x:c>
      <x:c r="E48" s="80" t="str">
        <x:v>Бромли U21 - Ковентри U21</x:v>
      </x:c>
      <x:c r="F48" s="86" t="n">
        <x:v>45</x:v>
      </x:c>
      <x:c r="G48" s="80" t="str">
        <x:v>1:0</x:v>
      </x:c>
      <x:c r="H48" s="95" t="str">
        <x:v>Ковентри уступает, но превосходит соперника по владению и активности</x:v>
      </x:c>
      <x:c r="I48" s="95" t="str">
        <x:v>ТБ 2,75 всего матча</x:v>
      </x:c>
      <x:c r="J48" s="96" t="n">
        <x:v>1.975</x:v>
      </x:c>
      <x:c r="K48" s="97" t="n">
        <x:v>3</x:v>
      </x:c>
      <x:c r="L48" s="98" t="str">
        <x:v>Удары 2:6; в створ 1:2; опасные атаки 18:30; угловые 2:2; владение 41:59</x:v>
      </x:c>
      <x:c r="M48" s="98" t="str">
        <x:v>Один свежий снимок; раздельная динамика за 10–15 минут недоступна</x:v>
      </x:c>
      <x:c r="N48" s="98" t="str">
        <x:v>Проигрывающая команда ведёт по ударам и опасным атакам; молодёжный турнир</x:v>
      </x:c>
      <x:c r="O48" s="98" t="str">
        <x:v>Только три удара в створ; два новых гола дают лишь полувыигрыш</x:v>
      </x:c>
      <x:c r="P48" s="98" t="str">
        <x:v>Средняя</x:v>
      </x:c>
      <x:c r="Q48" s="80" t="str">
        <x:v>ПОДХОДИТ В LIVE</x:v>
      </x:c>
      <x:c r="R48" s="80" t="str">
        <x:v>ТБ live v1 от 13.10.2026</x:v>
      </x:c>
      <x:c r="S48" s="80" t="str">
        <x:v>BetsAPI / Bet365</x:v>
      </x:c>
      <x:c r="T48" s="80" t="str">
        <x:v>1-2</x:v>
      </x:c>
      <x:c r="U48" s="80" t="str">
        <x:v>Полувыигрыш</x:v>
      </x:c>
      <x:c r="V48" s="89" t="n">
        <x:f>IF(A48="","",IF(U48="","",IF(U48="Выигрыш",J48-1,IF(U48="Полувыигрыш",(J48-1)/2,IF(U48="Возврат",0,IF(U48="Полупроигрыш",-0.5,IF(U48="Поражение",-1,"Проверить результат")))))))</x:f>
        <x:v>0.48750000000000004</x:v>
      </x:c>
      <x:c r="W48" s="80" t="str">
        <x:f>IF(A48="","",IF(U48="","Открыт",IF(ISNUMBER(V48),"Рассчитан","Проверить результат")))</x:f>
        <x:v>Рассчитан</x:v>
      </x:c>
      <x:c r="X48" s="98" t="str">
        <x:v>Быстрый live-отбор 21:50 МСК</x:v>
      </x:c>
      <x:c r="Y48" s="5" t="str">
        <x:v>История без разделения</x:v>
      </x:c>
      <x:c r="Z48" s="5"/>
      <x:c r="AA48" s="5"/>
      <x:c r="AB48" s="118"/>
      <x:c r="AC48" s="119"/>
      <x:c r="AD48" s="119"/>
      <x:c r="AE48" s="5"/>
      <x:c r="AF48" s="5" t="str">
        <x:v>BetsAPI event ID 12411994; итоговый отчёт 13.10.2026, № 45</x:v>
      </x:c>
      <x:c r="AG48" s="5" t="str">
        <x:v>До правила топ-5</x:v>
      </x:c>
    </x:row>
    <x:row r="49">
      <x:c r="A49" s="80" t="n">
        <x:v>44</x:v>
      </x:c>
      <x:c r="B49" s="80" t="str">
        <x:v>13284855</x:v>
      </x:c>
      <x:c r="C49" s="83" t="str">
        <x:v>13.10.2026 22:18</x:v>
      </x:c>
      <x:c r="D49" s="80" t="str">
        <x:v>Англия - Северная лига, дивизион 1</x:v>
      </x:c>
      <x:c r="E49" s="80" t="str">
        <x:v>Вест Окленд - Беверли Таун</x:v>
      </x:c>
      <x:c r="F49" s="86" t="n">
        <x:v>32</x:v>
      </x:c>
      <x:c r="G49" s="80" t="str">
        <x:v>0:0</x:v>
      </x:c>
      <x:c r="H49" s="95" t="str">
        <x:v>Высокая плотность ударов в створ при нулевом счёте</x:v>
      </x:c>
      <x:c r="I49" s="95" t="str">
        <x:v>ТБ 2,25 всего матча</x:v>
      </x:c>
      <x:c r="J49" s="96" t="n">
        <x:v>2.025</x:v>
      </x:c>
      <x:c r="K49" s="97" t="n">
        <x:v>3</x:v>
      </x:c>
      <x:c r="L49" s="98" t="str">
        <x:v>Удары 9:4; в створ 6:3; опасные атаки 24:20; угловые 3:2; владение 51:49</x:v>
      </x:c>
      <x:c r="M49" s="98" t="str">
        <x:v>Один свежий снимок; раздельная динамика за 10-15 минут недоступна</x:v>
      </x:c>
      <x:c r="N49" s="98" t="str">
        <x:v>Девять ударов в створ без гола; активность распределена между командами</x:v>
      </x:c>
      <x:c r="O49" s="98" t="str">
        <x:v>Два дополнительных гола дают полупроигрыш; xG недоступен</x:v>
      </x:c>
      <x:c r="P49" s="98" t="str">
        <x:v>Средняя</x:v>
      </x:c>
      <x:c r="Q49" s="80" t="str">
        <x:v>ПОДХОДИТ В LIVE</x:v>
      </x:c>
      <x:c r="R49" s="80" t="str">
        <x:v>ТБ live v1 от 13.10.2026</x:v>
      </x:c>
      <x:c r="S49" s="80" t="str">
        <x:v>BetsAPI / Bet365</x:v>
      </x:c>
      <x:c r="T49" s="80" t="str">
        <x:v>2-0</x:v>
      </x:c>
      <x:c r="U49" s="80" t="str">
        <x:v>Полупроигрыш</x:v>
      </x:c>
      <x:c r="V49" s="89" t="n">
        <x:f>IF(A49="","",IF(U49="","",IF(U49="Выигрыш",J49-1,IF(U49="Полувыигрыш",(J49-1)/2,IF(U49="Возврат",0,IF(U49="Полупроигрыш",-0.5,IF(U49="Поражение",-1,"Проверить результат")))))))</x:f>
        <x:v>-0.5</x:v>
      </x:c>
      <x:c r="W49" s="80" t="str">
        <x:f>IF(A49="","",IF(U49="","Открыт",IF(ISNUMBER(V49),"Рассчитан","Проверить результат")))</x:f>
        <x:v>Рассчитан</x:v>
      </x:c>
      <x:c r="X49" s="98" t="str">
        <x:v>Быстрый live-отбор 22:18 МСК; топ-1 прохода</x:v>
      </x:c>
      <x:c r="Y49" s="5" t="str">
        <x:v>История без разделения</x:v>
      </x:c>
      <x:c r="Z49" s="5"/>
      <x:c r="AA49" s="5"/>
      <x:c r="AB49" s="118"/>
      <x:c r="AC49" s="119"/>
      <x:c r="AD49" s="119"/>
      <x:c r="AE49" s="5"/>
      <x:c r="AF49" s="5" t="str">
        <x:v>BetsAPI event ID 13284855; итоговый отчёт 13.10.2026, № 46</x:v>
      </x:c>
      <x:c r="AG49" s="5" t="str">
        <x:v>Топ-5</x:v>
      </x:c>
    </x:row>
    <x:row r="50">
      <x:c r="A50" s="80" t="n">
        <x:v>45</x:v>
      </x:c>
      <x:c r="B50" s="80" t="str">
        <x:v>12273461</x:v>
      </x:c>
      <x:c r="C50" s="83" t="str">
        <x:v>13.10.2026 22:18</x:v>
      </x:c>
      <x:c r="D50" s="80" t="str">
        <x:v>Англия - Северная Премьер-лига</x:v>
      </x:c>
      <x:c r="E50" s="80" t="str">
        <x:v>Юнайтед оф Манчестер - Эмли</x:v>
      </x:c>
      <x:c r="F50" s="86" t="n">
        <x:v>31</x:v>
      </x:c>
      <x:c r="G50" s="80" t="str">
        <x:v>0:0</x:v>
      </x:c>
      <x:c r="H50" s="95" t="str">
        <x:v>Эмли создаёт явное преимущество по ударам и ударам в створ</x:v>
      </x:c>
      <x:c r="I50" s="95" t="str">
        <x:v>ТБ 2 всего матча</x:v>
      </x:c>
      <x:c r="J50" s="96" t="n">
        <x:v>1.775</x:v>
      </x:c>
      <x:c r="K50" s="97" t="n">
        <x:v>3</x:v>
      </x:c>
      <x:c r="L50" s="98" t="str">
        <x:v>Удары 5:10; в створ 2:6; опасные атаки 13:25; угловые 0:1; владение 36:64</x:v>
      </x:c>
      <x:c r="M50" s="98" t="str">
        <x:v>Один свежий снимок; раздельная динамика за 10-15 минут недоступна</x:v>
      </x:c>
      <x:c r="N50" s="98" t="str">
        <x:v>Пятнадцать ударов и восемь в створ; гости заметно активнее</x:v>
      </x:c>
      <x:c r="O50" s="98" t="str">
        <x:v>Два гола дают только возврат; мало угловых; xG недоступен</x:v>
      </x:c>
      <x:c r="P50" s="98" t="str">
        <x:v>Средняя</x:v>
      </x:c>
      <x:c r="Q50" s="80" t="str">
        <x:v>ПОДХОДИТ В LIVE</x:v>
      </x:c>
      <x:c r="R50" s="80" t="str">
        <x:v>ТБ live v1 от 13.10.2026</x:v>
      </x:c>
      <x:c r="S50" s="80" t="str">
        <x:v>BetsAPI / Bet365</x:v>
      </x:c>
      <x:c r="T50" s="80" t="str">
        <x:v>1-1</x:v>
      </x:c>
      <x:c r="U50" s="80" t="str">
        <x:v>Возврат</x:v>
      </x:c>
      <x:c r="V50" s="89" t="n">
        <x:f>IF(A50="","",IF(U50="","",IF(U50="Выигрыш",J50-1,IF(U50="Полувыигрыш",(J50-1)/2,IF(U50="Возврат",0,IF(U50="Полупроигрыш",-0.5,IF(U50="Поражение",-1,"Проверить результат")))))))</x:f>
        <x:v>0</x:v>
      </x:c>
      <x:c r="W50" s="80" t="str">
        <x:f>IF(A50="","",IF(U50="","Открыт",IF(ISNUMBER(V50),"Рассчитан","Проверить результат")))</x:f>
        <x:v>Рассчитан</x:v>
      </x:c>
      <x:c r="X50" s="98" t="str">
        <x:v>Быстрый live-отбор 22:18 МСК; топ-2 прохода</x:v>
      </x:c>
      <x:c r="Y50" s="5" t="str">
        <x:v>История без разделения</x:v>
      </x:c>
      <x:c r="Z50" s="5"/>
      <x:c r="AA50" s="5"/>
      <x:c r="AB50" s="118"/>
      <x:c r="AC50" s="119"/>
      <x:c r="AD50" s="119"/>
      <x:c r="AE50" s="5"/>
      <x:c r="AF50" s="5" t="str">
        <x:v>BetsAPI event ID 12273461; итоговый отчёт 13.10.2026, № 47</x:v>
      </x:c>
      <x:c r="AG50" s="5" t="str">
        <x:v>Топ-5</x:v>
      </x:c>
    </x:row>
    <x:row r="51">
      <x:c r="A51" s="80" t="n">
        <x:v>46</x:v>
      </x:c>
      <x:c r="B51" s="80" t="str">
        <x:v>12261910</x:v>
      </x:c>
      <x:c r="C51" s="83" t="str">
        <x:v>13.10.2026 22:18</x:v>
      </x:c>
      <x:c r="D51" s="80" t="str">
        <x:v>Шотландия - Кубок вызова</x:v>
      </x:c>
      <x:c r="E51" s="80" t="str">
        <x:v>Эдинбург - Сент-Миррен B</x:v>
      </x:c>
      <x:c r="F51" s="86" t="n">
        <x:v>32</x:v>
      </x:c>
      <x:c r="G51" s="80" t="str">
        <x:v>0:1</x:v>
      </x:c>
      <x:c r="H51" s="95" t="str">
        <x:v>Конкурентная игра с преимуществом гостей по качеству атак</x:v>
      </x:c>
      <x:c r="I51" s="95" t="str">
        <x:v>ТБ 3,5 всего матча</x:v>
      </x:c>
      <x:c r="J51" s="96" t="n">
        <x:v>1.95</x:v>
      </x:c>
      <x:c r="K51" s="97" t="n">
        <x:v>3</x:v>
      </x:c>
      <x:c r="L51" s="98" t="str">
        <x:v>Удары 7:7; в створ 3:5; угловые 1:4; опасные атаки 13:25; владение 50:50</x:v>
      </x:c>
      <x:c r="M51" s="98" t="str">
        <x:v>Один свежий снимок; раздельная динамика за 10-15 минут недоступна</x:v>
      </x:c>
      <x:c r="N51" s="98" t="str">
        <x:v>Четырнадцать ударов и восемь в створ; обе команды участвуют в игре</x:v>
      </x:c>
      <x:c r="O51" s="98" t="str">
        <x:v>Для выигрыша нужны ещё три гола; xG недоступен</x:v>
      </x:c>
      <x:c r="P51" s="98" t="str">
        <x:v>Средняя</x:v>
      </x:c>
      <x:c r="Q51" s="80" t="str">
        <x:v>ПОДХОДИТ В LIVE</x:v>
      </x:c>
      <x:c r="R51" s="80" t="str">
        <x:v>ТБ live v1 от 13.10.2026</x:v>
      </x:c>
      <x:c r="S51" s="80" t="str">
        <x:v>BetsAPI / Bet365</x:v>
      </x:c>
      <x:c r="T51" s="80" t="str">
        <x:v>0-5</x:v>
      </x:c>
      <x:c r="U51" s="80" t="str">
        <x:v>Выигрыш</x:v>
      </x:c>
      <x:c r="V51" s="89" t="n">
        <x:f>IF(A51="","",IF(U51="","",IF(U51="Выигрыш",J51-1,IF(U51="Полувыигрыш",(J51-1)/2,IF(U51="Возврат",0,IF(U51="Полупроигрыш",-0.5,IF(U51="Поражение",-1,"Проверить результат")))))))</x:f>
        <x:v>0.95</x:v>
      </x:c>
      <x:c r="W51" s="80" t="str">
        <x:f>IF(A51="","",IF(U51="","Открыт",IF(ISNUMBER(V51),"Рассчитан","Проверить результат")))</x:f>
        <x:v>Рассчитан</x:v>
      </x:c>
      <x:c r="X51" s="98" t="str">
        <x:v>Быстрый live-отбор 22:18 МСК; топ-3 прохода</x:v>
      </x:c>
      <x:c r="Y51" s="5" t="str">
        <x:v>История без разделения</x:v>
      </x:c>
      <x:c r="Z51" s="5"/>
      <x:c r="AA51" s="5"/>
      <x:c r="AB51" s="118"/>
      <x:c r="AC51" s="119"/>
      <x:c r="AD51" s="119"/>
      <x:c r="AE51" s="5"/>
      <x:c r="AF51" s="5" t="str">
        <x:v>BetsAPI event ID 12261910; итоговый отчёт 13.10.2026, № 48</x:v>
      </x:c>
      <x:c r="AG51" s="5" t="str">
        <x:v>Топ-5</x:v>
      </x:c>
    </x:row>
    <x:row r="52">
      <x:c r="A52" s="80" t="n">
        <x:v>47</x:v>
      </x:c>
      <x:c r="B52" s="80" t="str">
        <x:v>13041499</x:v>
      </x:c>
      <x:c r="C52" s="83" t="str">
        <x:v>13.10.2026 22:18</x:v>
      </x:c>
      <x:c r="D52" s="80" t="str">
        <x:v>Лига чемпионов УЕФА</x:v>
      </x:c>
      <x:c r="E52" s="80" t="str">
        <x:v>Викинг - Бавария</x:v>
      </x:c>
      <x:c r="F52" s="86" t="n">
        <x:v>16</x:v>
      </x:c>
      <x:c r="G52" s="80" t="str">
        <x:v>1:0</x:v>
      </x:c>
      <x:c r="H52" s="95" t="str">
        <x:v>Бавария проигрывает и полностью доминирует</x:v>
      </x:c>
      <x:c r="I52" s="95" t="str">
        <x:v>ТБ 4,75 всего матча</x:v>
      </x:c>
      <x:c r="J52" s="96" t="n">
        <x:v>1.925</x:v>
      </x:c>
      <x:c r="K52" s="97" t="n">
        <x:v>5</x:v>
      </x:c>
      <x:c r="L52" s="98" t="str">
        <x:v>Удары 1:6; в створ 1:2; угловые 1:5; опасные атаки 3:18; владение 23:77; xG 0,16:0,21</x:v>
      </x:c>
      <x:c r="M52" s="98" t="str">
        <x:v>Один свежий снимок; раздельная динамика за 10-15 минут недоступна</x:v>
      </x:c>
      <x:c r="N52" s="98" t="str">
        <x:v>Бавария проигрывает, владеет 77% и ведёт по ударам 6:1 и угловым 5:1</x:v>
      </x:c>
      <x:c r="O52" s="98" t="str">
        <x:v>Суммарный xG только 0,37; четыре дополнительных гола дают лишь полувыигрыш</x:v>
      </x:c>
      <x:c r="P52" s="98" t="str">
        <x:v>Высокая</x:v>
      </x:c>
      <x:c r="Q52" s="80" t="str">
        <x:v>ПОДХОДИТ В LIVE</x:v>
      </x:c>
      <x:c r="R52" s="80" t="str">
        <x:v>ТБ live v1 от 13.10.2026</x:v>
      </x:c>
      <x:c r="S52" s="80" t="str">
        <x:v>BetsAPI / Bet365</x:v>
      </x:c>
      <x:c r="T52" s="80" t="str">
        <x:v>3-3</x:v>
      </x:c>
      <x:c r="U52" s="80" t="str">
        <x:v>Выигрыш</x:v>
      </x:c>
      <x:c r="V52" s="89" t="n">
        <x:f>IF(A52="","",IF(U52="","",IF(U52="Выигрыш",J52-1,IF(U52="Полувыигрыш",(J52-1)/2,IF(U52="Возврат",0,IF(U52="Полупроигрыш",-0.5,IF(U52="Поражение",-1,"Проверить результат")))))))</x:f>
        <x:v>0.925</x:v>
      </x:c>
      <x:c r="W52" s="80" t="str">
        <x:f>IF(A52="","",IF(U52="","Открыт",IF(ISNUMBER(V52),"Рассчитан","Проверить результат")))</x:f>
        <x:v>Рассчитан</x:v>
      </x:c>
      <x:c r="X52" s="98" t="str">
        <x:v>Быстрый live-отбор 22:18 МСК; топ-4; агрессивный выбор; подтверждение прематчевого кандидата</x:v>
      </x:c>
      <x:c r="Y52" s="5" t="str">
        <x:v>История без разделения</x:v>
      </x:c>
      <x:c r="Z52" s="5"/>
      <x:c r="AA52" s="5"/>
      <x:c r="AB52" s="118"/>
      <x:c r="AC52" s="119"/>
      <x:c r="AD52" s="119"/>
      <x:c r="AE52" s="5"/>
      <x:c r="AF52" s="5" t="str">
        <x:v>BetsAPI event ID 13041499; итоговый отчёт 13.10.2026, № 49</x:v>
      </x:c>
      <x:c r="AG52" s="5" t="str">
        <x:v>Топ-5</x:v>
      </x:c>
    </x:row>
    <x:row r="53">
      <x:c r="A53" s="80" t="n">
        <x:v>48</x:v>
      </x:c>
      <x:c r="B53" s="80" t="str">
        <x:v>13041972</x:v>
      </x:c>
      <x:c r="C53" s="83" t="str">
        <x:v>13.10.2026 22:18</x:v>
      </x:c>
      <x:c r="D53" s="80" t="str">
        <x:v>Лига чемпионов УЕФА</x:v>
      </x:c>
      <x:c r="E53" s="80" t="str">
        <x:v>Вильярреал - Наполи</x:v>
      </x:c>
      <x:c r="F53" s="86" t="n">
        <x:v>17</x:v>
      </x:c>
      <x:c r="G53" s="80" t="str">
        <x:v>0:1</x:v>
      </x:c>
      <x:c r="H53" s="95" t="str">
        <x:v>Проигрывающий хозяин должен раскрываться</x:v>
      </x:c>
      <x:c r="I53" s="95" t="str">
        <x:v>ТБ 3,25 всего матча</x:v>
      </x:c>
      <x:c r="J53" s="96" t="n">
        <x:v>1.85</x:v>
      </x:c>
      <x:c r="K53" s="97" t="n">
        <x:v>3</x:v>
      </x:c>
      <x:c r="L53" s="98" t="str">
        <x:v>Удары 4:2; в створ 0:2; угловые 3:1; опасные атаки 10:8; владение 58:42; xG 0,44:0,77</x:v>
      </x:c>
      <x:c r="M53" s="98" t="str">
        <x:v>Один свежий снимок; раздельная динамика за 10-15 минут недоступна</x:v>
      </x:c>
      <x:c r="N53" s="98" t="str">
        <x:v>Ранний гол; суммарный xG 1,21; Вильярреал уже подаёт и атакует</x:v>
      </x:c>
      <x:c r="O53" s="98" t="str">
        <x:v>Два дополнительных гола дают полупроигрыш; у хозяев нет ударов в створ</x:v>
      </x:c>
      <x:c r="P53" s="98" t="str">
        <x:v>Высокая</x:v>
      </x:c>
      <x:c r="Q53" s="80" t="str">
        <x:v>ПОДХОДИТ В LIVE</x:v>
      </x:c>
      <x:c r="R53" s="80" t="str">
        <x:v>ТБ live v1 от 13.10.2026</x:v>
      </x:c>
      <x:c r="S53" s="80" t="str">
        <x:v>BetsAPI / Bet365</x:v>
      </x:c>
      <x:c r="T53" s="80" t="str">
        <x:v>3-1</x:v>
      </x:c>
      <x:c r="U53" s="80" t="str">
        <x:v>Выигрыш</x:v>
      </x:c>
      <x:c r="V53" s="89" t="n">
        <x:f>IF(A53="","",IF(U53="","",IF(U53="Выигрыш",J53-1,IF(U53="Полувыигрыш",(J53-1)/2,IF(U53="Возврат",0,IF(U53="Полупроигрыш",-0.5,IF(U53="Поражение",-1,"Проверить результат")))))))</x:f>
        <x:v>0.8500000000000001</x:v>
      </x:c>
      <x:c r="W53" s="80" t="str">
        <x:f>IF(A53="","",IF(U53="","Открыт",IF(ISNUMBER(V53),"Рассчитан","Проверить результат")))</x:f>
        <x:v>Рассчитан</x:v>
      </x:c>
      <x:c r="X53" s="98" t="str">
        <x:v>Быстрый live-отбор 22:18 МСК; топ-5 прохода</x:v>
      </x:c>
      <x:c r="Y53" s="5" t="str">
        <x:v>История без разделения</x:v>
      </x:c>
      <x:c r="Z53" s="5"/>
      <x:c r="AA53" s="5"/>
      <x:c r="AB53" s="118"/>
      <x:c r="AC53" s="119"/>
      <x:c r="AD53" s="119"/>
      <x:c r="AE53" s="5"/>
      <x:c r="AF53" s="5" t="str">
        <x:v>BetsAPI event ID 13041972; итоговый отчёт 13.10.2026, № 50</x:v>
      </x:c>
      <x:c r="AG53" s="5" t="str">
        <x:v>Топ-5</x:v>
      </x:c>
    </x:row>
    <x:row r="54">
      <x:c r="A54" s="80" t="n">
        <x:v>49</x:v>
      </x:c>
      <x:c r="B54" s="80"/>
      <x:c r="C54" s="83" t="str">
        <x:v>13.10.2026 23:09</x:v>
      </x:c>
      <x:c r="D54" s="80" t="str">
        <x:v>Европа - Лига чемпионов УЕФА</x:v>
      </x:c>
      <x:c r="E54" s="80" t="str">
        <x:v>Интер - Брюгге</x:v>
      </x:c>
      <x:c r="F54" s="86" t="n">
        <x:v>49</x:v>
      </x:c>
      <x:c r="G54" s="80" t="str">
        <x:v>1:1</x:v>
      </x:c>
      <x:c r="H54" s="95"/>
      <x:c r="I54" s="95" t="str">
        <x:v>ТБ 4 всего матча</x:v>
      </x:c>
      <x:c r="J54" s="96" t="n">
        <x:v>1.925</x:v>
      </x:c>
      <x:c r="K54" s="97" t="n">
        <x:v>3</x:v>
      </x:c>
      <x:c r="L54" s="98"/>
      <x:c r="M54" s="98"/>
      <x:c r="N54" s="98"/>
      <x:c r="O54" s="98"/>
      <x:c r="P54" s="98" t="str">
        <x:v>В итоговом отчёте нет исходной статистики</x:v>
      </x:c>
      <x:c r="Q54" s="80" t="str">
        <x:v>ПОДХОДИТ В LIVE</x:v>
      </x:c>
      <x:c r="R54" s="80" t="str">
        <x:v>ТБ live v1 от 13.10.2026</x:v>
      </x:c>
      <x:c r="S54" s="80" t="str">
        <x:v>The Times / итог матча</x:v>
      </x:c>
      <x:c r="T54" s="80" t="str">
        <x:v>3-4</x:v>
      </x:c>
      <x:c r="U54" s="80" t="str">
        <x:v>Выигрыш</x:v>
      </x:c>
      <x:c r="V54" s="89" t="n">
        <x:f>IF(A54="","",IF(U54="","",IF(U54="Выигрыш",J54-1,IF(U54="Полувыигрыш",(J54-1)/2,IF(U54="Возврат",0,IF(U54="Полупроигрыш",-0.5,IF(U54="Поражение",-1,"Проверить результат")))))))</x:f>
        <x:v>0.925</x:v>
      </x:c>
      <x:c r="W54" s="80" t="str">
        <x:f>IF(A54="","",IF(U54="","Открыт",IF(ISNUMBER(V54),"Рассчитан","Проверить результат")))</x:f>
        <x:v>Рассчитан</x:v>
      </x:c>
      <x:c r="X54" s="98" t="str">
        <x:v>Восстановлено из итогового отчёта, № 51</x:v>
      </x:c>
      <x:c r="Y54" s="5" t="str">
        <x:v>История без разделения</x:v>
      </x:c>
      <x:c r="Z54" s="5"/>
      <x:c r="AA54" s="5"/>
      <x:c r="AB54" s="118"/>
      <x:c r="AC54" s="119"/>
      <x:c r="AD54" s="119"/>
      <x:c r="AE54" s="5"/>
      <x:c r="AF54" s="5" t="str">
        <x:v>The Times / итог матча; итоговый отчёт 13.10.2026, № 51</x:v>
      </x:c>
      <x:c r="AG54" s="5" t="str">
        <x:v>Топ-5</x:v>
      </x:c>
    </x:row>
    <x:row r="55">
      <x:c r="A55" s="80" t="n">
        <x:v>50</x:v>
      </x:c>
      <x:c r="B55" s="80"/>
      <x:c r="C55" s="83" t="str">
        <x:v>13.10.2026 23:09</x:v>
      </x:c>
      <x:c r="D55" s="80" t="str">
        <x:v>Европа - Лига чемпионов УЕФА</x:v>
      </x:c>
      <x:c r="E55" s="80" t="str">
        <x:v>Лейпциг - ПСВ</x:v>
      </x:c>
      <x:c r="F55" s="86" t="n">
        <x:v>48</x:v>
      </x:c>
      <x:c r="G55" s="80" t="str">
        <x:v>0:0</x:v>
      </x:c>
      <x:c r="H55" s="95"/>
      <x:c r="I55" s="95" t="str">
        <x:v>ТБ 2 всего матча</x:v>
      </x:c>
      <x:c r="J55" s="96" t="n">
        <x:v>2.05</x:v>
      </x:c>
      <x:c r="K55" s="97" t="n">
        <x:v>3</x:v>
      </x:c>
      <x:c r="L55" s="98"/>
      <x:c r="M55" s="98"/>
      <x:c r="N55" s="98"/>
      <x:c r="O55" s="98"/>
      <x:c r="P55" s="98" t="str">
        <x:v>В итоговом отчёте нет исходной статистики</x:v>
      </x:c>
      <x:c r="Q55" s="80" t="str">
        <x:v>ПОДХОДИТ В LIVE</x:v>
      </x:c>
      <x:c r="R55" s="80" t="str">
        <x:v>ТБ live v1 от 13.10.2026</x:v>
      </x:c>
      <x:c r="S55" s="80" t="str">
        <x:v>Sofascore / итог матча</x:v>
      </x:c>
      <x:c r="T55" s="80" t="str">
        <x:v>1-0</x:v>
      </x:c>
      <x:c r="U55" s="80" t="str">
        <x:v>Поражение</x:v>
      </x:c>
      <x:c r="V55" s="89" t="n">
        <x:f>IF(A55="","",IF(U55="","",IF(U55="Выигрыш",J55-1,IF(U55="Полувыигрыш",(J55-1)/2,IF(U55="Возврат",0,IF(U55="Полупроигрыш",-0.5,IF(U55="Поражение",-1,"Проверить результат")))))))</x:f>
        <x:v>-1</x:v>
      </x:c>
      <x:c r="W55" s="80" t="str">
        <x:f>IF(A55="","",IF(U55="","Открыт",IF(ISNUMBER(V55),"Рассчитан","Проверить результат")))</x:f>
        <x:v>Рассчитан</x:v>
      </x:c>
      <x:c r="X55" s="98" t="str">
        <x:v>Восстановлено из итогового отчёта, № 52</x:v>
      </x:c>
      <x:c r="Y55" s="5" t="str">
        <x:v>История без разделения</x:v>
      </x:c>
      <x:c r="Z55" s="5"/>
      <x:c r="AA55" s="5"/>
      <x:c r="AB55" s="118"/>
      <x:c r="AC55" s="119"/>
      <x:c r="AD55" s="119"/>
      <x:c r="AE55" s="5"/>
      <x:c r="AF55" s="5" t="str">
        <x:v>Sofascore / итог матча; итоговый отчёт 13.10.2026, № 52</x:v>
      </x:c>
      <x:c r="AG55" s="5" t="str">
        <x:v>Топ-5</x:v>
      </x:c>
    </x:row>
    <x:row r="56">
      <x:c r="A56" s="80" t="n">
        <x:v>51</x:v>
      </x:c>
      <x:c r="B56" s="80"/>
      <x:c r="C56" s="83" t="str">
        <x:v>13.10.2026 23:09</x:v>
      </x:c>
      <x:c r="D56" s="80" t="str">
        <x:v>Европа - Лига чемпионов УЕФА</x:v>
      </x:c>
      <x:c r="E56" s="80" t="str">
        <x:v>Арсенал - Лилль</x:v>
      </x:c>
      <x:c r="F56" s="86" t="n">
        <x:v>50</x:v>
      </x:c>
      <x:c r="G56" s="80" t="str">
        <x:v>0:0</x:v>
      </x:c>
      <x:c r="H56" s="95"/>
      <x:c r="I56" s="95" t="str">
        <x:v>ТБ 1,5 всего матча</x:v>
      </x:c>
      <x:c r="J56" s="96" t="n">
        <x:v>2.025</x:v>
      </x:c>
      <x:c r="K56" s="97" t="n">
        <x:v>2</x:v>
      </x:c>
      <x:c r="L56" s="98"/>
      <x:c r="M56" s="98"/>
      <x:c r="N56" s="98"/>
      <x:c r="O56" s="98"/>
      <x:c r="P56" s="98" t="str">
        <x:v>В итоговом отчёте нет исходной статистики</x:v>
      </x:c>
      <x:c r="Q56" s="80" t="str">
        <x:v>ПОДХОДИТ В LIVE</x:v>
      </x:c>
      <x:c r="R56" s="80" t="str">
        <x:v>ТБ live v1 от 13.10.2026</x:v>
      </x:c>
      <x:c r="S56" s="80" t="str">
        <x:v>Sky Sports / итог матча</x:v>
      </x:c>
      <x:c r="T56" s="80" t="str">
        <x:v>3-0</x:v>
      </x:c>
      <x:c r="U56" s="80" t="str">
        <x:v>Выигрыш</x:v>
      </x:c>
      <x:c r="V56" s="89" t="n">
        <x:f>IF(A56="","",IF(U56="","",IF(U56="Выигрыш",J56-1,IF(U56="Полувыигрыш",(J56-1)/2,IF(U56="Возврат",0,IF(U56="Полупроигрыш",-0.5,IF(U56="Поражение",-1,"Проверить результат")))))))</x:f>
        <x:v>1.025</x:v>
      </x:c>
      <x:c r="W56" s="80" t="str">
        <x:f>IF(A56="","",IF(U56="","Открыт",IF(ISNUMBER(V56),"Рассчитан","Проверить результат")))</x:f>
        <x:v>Рассчитан</x:v>
      </x:c>
      <x:c r="X56" s="98" t="str">
        <x:v>Восстановлено из итогового отчёта, № 53</x:v>
      </x:c>
      <x:c r="Y56" s="5" t="str">
        <x:v>История без разделения</x:v>
      </x:c>
      <x:c r="Z56" s="5"/>
      <x:c r="AA56" s="5"/>
      <x:c r="AB56" s="118"/>
      <x:c r="AC56" s="119"/>
      <x:c r="AD56" s="119"/>
      <x:c r="AE56" s="5"/>
      <x:c r="AF56" s="5" t="str">
        <x:v>Sky Sports / итог матча; итоговый отчёт 13.10.2026, № 53</x:v>
      </x:c>
      <x:c r="AG56" s="5" t="str">
        <x:v>Топ-5</x:v>
      </x:c>
    </x:row>
    <x:row r="57">
      <x:c r="A57" s="80" t="n">
        <x:v>52</x:v>
      </x:c>
      <x:c r="B57" s="80" t="str">
        <x:v>13041499</x:v>
      </x:c>
      <x:c r="C57" s="83" t="str">
        <x:v>13.10.2026 23:09</x:v>
      </x:c>
      <x:c r="D57" s="80" t="str">
        <x:v>Европа - Лига чемпионов УЕФА</x:v>
      </x:c>
      <x:c r="E57" s="80" t="str">
        <x:v>Викинг - Бавария</x:v>
      </x:c>
      <x:c r="F57" s="86" t="n">
        <x:v>49</x:v>
      </x:c>
      <x:c r="G57" s="80" t="str">
        <x:v>2:0</x:v>
      </x:c>
      <x:c r="H57" s="95"/>
      <x:c r="I57" s="95" t="str">
        <x:v>ТБ 4,5 всего матча</x:v>
      </x:c>
      <x:c r="J57" s="96" t="n">
        <x:v>1.925</x:v>
      </x:c>
      <x:c r="K57" s="97" t="n">
        <x:v>3</x:v>
      </x:c>
      <x:c r="L57" s="98"/>
      <x:c r="M57" s="98"/>
      <x:c r="N57" s="98"/>
      <x:c r="O57" s="98"/>
      <x:c r="P57" s="98" t="str">
        <x:v>В итоговом отчёте нет исходной статистики</x:v>
      </x:c>
      <x:c r="Q57" s="80" t="str">
        <x:v>ПОДХОДИТ В LIVE</x:v>
      </x:c>
      <x:c r="R57" s="80" t="str">
        <x:v>ТБ live v1 от 13.10.2026</x:v>
      </x:c>
      <x:c r="S57" s="80" t="str">
        <x:v>BetsAPI event ID 13041499</x:v>
      </x:c>
      <x:c r="T57" s="80" t="str">
        <x:v>3-3</x:v>
      </x:c>
      <x:c r="U57" s="80" t="str">
        <x:v>Выигрыш</x:v>
      </x:c>
      <x:c r="V57" s="89" t="n">
        <x:f>IF(A57="","",IF(U57="","",IF(U57="Выигрыш",J57-1,IF(U57="Полувыигрыш",(J57-1)/2,IF(U57="Возврат",0,IF(U57="Полупроигрыш",-0.5,IF(U57="Поражение",-1,"Проверить результат")))))))</x:f>
        <x:v>0.925</x:v>
      </x:c>
      <x:c r="W57" s="80" t="str">
        <x:f>IF(A57="","",IF(U57="","Открыт",IF(ISNUMBER(V57),"Рассчитан","Проверить результат")))</x:f>
        <x:v>Рассчитан</x:v>
      </x:c>
      <x:c r="X57" s="98" t="str">
        <x:v>Восстановлено из итогового отчёта, № 54</x:v>
      </x:c>
      <x:c r="Y57" s="5" t="str">
        <x:v>История без разделения</x:v>
      </x:c>
      <x:c r="Z57" s="5"/>
      <x:c r="AA57" s="5"/>
      <x:c r="AB57" s="118"/>
      <x:c r="AC57" s="119"/>
      <x:c r="AD57" s="119"/>
      <x:c r="AE57" s="5"/>
      <x:c r="AF57" s="5" t="str">
        <x:v>BetsAPI event ID 13041499; итоговый отчёт 13.10.2026, № 54</x:v>
      </x:c>
      <x:c r="AG57" s="5" t="str">
        <x:v>Топ-5</x:v>
      </x:c>
    </x:row>
    <x:row r="58">
      <x:c r="A58" s="80" t="n">
        <x:v>53</x:v>
      </x:c>
      <x:c r="B58" s="80" t="str">
        <x:v>13041972</x:v>
      </x:c>
      <x:c r="C58" s="83" t="str">
        <x:v>13.10.2026 23:09</x:v>
      </x:c>
      <x:c r="D58" s="80" t="str">
        <x:v>Европа - Лига чемпионов УЕФА</x:v>
      </x:c>
      <x:c r="E58" s="80" t="str">
        <x:v>Вильярреал - Наполи</x:v>
      </x:c>
      <x:c r="F58" s="86" t="n">
        <x:v>50</x:v>
      </x:c>
      <x:c r="G58" s="80" t="str">
        <x:v>2:1</x:v>
      </x:c>
      <x:c r="H58" s="95"/>
      <x:c r="I58" s="95" t="str">
        <x:v>ТБ 4,5 всего матча</x:v>
      </x:c>
      <x:c r="J58" s="96" t="n">
        <x:v>1.975</x:v>
      </x:c>
      <x:c r="K58" s="97" t="n">
        <x:v>2</x:v>
      </x:c>
      <x:c r="L58" s="98"/>
      <x:c r="M58" s="98"/>
      <x:c r="N58" s="98"/>
      <x:c r="O58" s="98"/>
      <x:c r="P58" s="98" t="str">
        <x:v>В итоговом отчёте нет исходной статистики</x:v>
      </x:c>
      <x:c r="Q58" s="80" t="str">
        <x:v>ПОДХОДИТ В LIVE</x:v>
      </x:c>
      <x:c r="R58" s="80" t="str">
        <x:v>ТБ live v1 от 13.10.2026</x:v>
      </x:c>
      <x:c r="S58" s="80" t="str">
        <x:v>BetsAPI event ID 13041972</x:v>
      </x:c>
      <x:c r="T58" s="80" t="str">
        <x:v>3-1</x:v>
      </x:c>
      <x:c r="U58" s="80" t="str">
        <x:v>Поражение</x:v>
      </x:c>
      <x:c r="V58" s="89" t="n">
        <x:f>IF(A58="","",IF(U58="","",IF(U58="Выигрыш",J58-1,IF(U58="Полувыигрыш",(J58-1)/2,IF(U58="Возврат",0,IF(U58="Полупроигрыш",-0.5,IF(U58="Поражение",-1,"Проверить результат")))))))</x:f>
        <x:v>-1</x:v>
      </x:c>
      <x:c r="W58" s="80" t="str">
        <x:f>IF(A58="","",IF(U58="","Открыт",IF(ISNUMBER(V58),"Рассчитан","Проверить результат")))</x:f>
        <x:v>Рассчитан</x:v>
      </x:c>
      <x:c r="X58" s="98" t="str">
        <x:v>Восстановлено из итогового отчёта, № 55</x:v>
      </x:c>
      <x:c r="Y58" s="5" t="str">
        <x:v>История без разделения</x:v>
      </x:c>
      <x:c r="Z58" s="5"/>
      <x:c r="AA58" s="5"/>
      <x:c r="AB58" s="118"/>
      <x:c r="AC58" s="119"/>
      <x:c r="AD58" s="119"/>
      <x:c r="AE58" s="5"/>
      <x:c r="AF58" s="5" t="str">
        <x:v>BetsAPI event ID 13041972; итоговый отчёт 13.10.2026, № 55</x:v>
      </x:c>
      <x:c r="AG58" s="5" t="str">
        <x:v>Топ-5</x:v>
      </x:c>
    </x:row>
    <x:row r="59">
      <x:c r="A59" s="80" t="n">
        <x:v>54</x:v>
      </x:c>
      <x:c r="B59" s="80" t="str">
        <x:v>13224347</x:v>
      </x:c>
      <x:c r="C59" s="83" t="str">
        <x:v>14.10.2026 15:58:23</x:v>
      </x:c>
      <x:c r="D59" s="80" t="str">
        <x:v>Греция - Суперлига 2</x:v>
      </x:c>
      <x:c r="E59" s="80" t="str">
        <x:v>Олимпиакос Б - Афины Каллитея</x:v>
      </x:c>
      <x:c r="F59" s="86" t="n">
        <x:v>47</x:v>
      </x:c>
      <x:c r="G59" s="80" t="str">
        <x:v>0:1</x:v>
      </x:c>
      <x:c r="H59" s="95" t="str">
        <x:v>Гости создают угрозу; хозяевам нужно отыгрываться</x:v>
      </x:c>
      <x:c r="I59" s="95" t="str">
        <x:v>ТБ 2 (Матч)</x:v>
      </x:c>
      <x:c r="J59" s="96" t="n">
        <x:v>1.525</x:v>
      </x:c>
      <x:c r="K59" s="97" t="n">
        <x:v>2</x:v>
      </x:c>
      <x:c r="L59" s="98" t="str">
        <x:v>corners 2:1; dangerous_attacks 20:46; off_target 3:4; on_target 3:9; possession_rt 46:54; redcards 0:0</x:v>
      </x:c>
      <x:c r="M59" s="98" t="str">
        <x:v>Нет отдельных снимков за 10-15 минут</x:v>
      </x:c>
      <x:c r="N59" s="98" t="str">
        <x:v>Гости создают угрозу; хозяевам нужно отыгрываться</x:v>
      </x:c>
      <x:c r="O59" s="98" t="str">
        <x:v>Лидер может снизить темп; удары и сейвы источника не полностью согласованы</x:v>
      </x:c>
      <x:c r="P59" s="98" t="str">
        <x:v>Один снимок; xG и свежая динамика недоступны; внешней проверки нет</x:v>
      </x:c>
      <x:c r="Q59" s="80" t="str">
        <x:v>ПОДХОДИТ В LIVE</x:v>
      </x:c>
      <x:c r="R59" s="80" t="str">
        <x:v>ТБ live v2 от 14.10.2026</x:v>
      </x:c>
      <x:c r="S59" s="80" t="str">
        <x:v>BetsAPI / Bet365 full markets; Резервная команда против взрослой; run 38538525336 attempt 2</x:v>
      </x:c>
      <x:c r="T59" s="80"/>
      <x:c r="U59" s="80"/>
      <x:c r="V59" s="89" t="str">
        <x:f>IF(A59="","",IF(U59="","",IF(U59="Выигрыш",J59-1,IF(U59="Полувыигрыш",(J59-1)/2,IF(U59="Возврат",0,IF(U59="Полупроигрыш",-0.5,IF(U59="Поражение",-1,"Проверить результат")))))))</x:f>
      </x:c>
      <x:c r="W59" s="80" t="str">
        <x:f>IF(A59="","",IF(U59="","Открыт",IF(ISNUMBER(V59),"Рассчитан","Проверить результат")))</x:f>
        <x:v>Открыт</x:v>
      </x:c>
      <x:c r="X59" s="98" t="str">
        <x:v>Ещё 1 гол - возврат; исходные условия первичного ответа</x:v>
      </x:c>
      <x:c r="Y59" s="5" t="str">
        <x:v>Оптимальный</x:v>
      </x:c>
      <x:c r="Z59" s="5" t="str">
        <x:v>20261014T155823-13224347</x:v>
      </x:c>
      <x:c r="AA59" s="5" t="str">
        <x:v>Матч</x:v>
      </x:c>
      <x:c r="AB59" s="118" t="n">
        <x:v>2</x:v>
      </x:c>
      <x:c r="AC59" s="119" t="str">
        <x:v>14.10.2026 15:58:23</x:v>
      </x:c>
      <x:c r="AD59" s="119" t="str">
        <x:v>14.10.2026 15:59</x:v>
      </x:c>
      <x:c r="AE59" s="5" t="str">
        <x:f>IF(A59="","",IF(Z59="","Нет ID пары",IF(AND(COUNTIFS($Z$59:$Z$505,Z59,$Y$59:$Y$505,"Оптимальный",$W$59:$W$505,"Рассчитан")=1,COUNTIFS($Z$59:$Z$505,Z59,$Y$59:$Y$505,"Агрессивный",$W$59:$W$505,"Рассчитан")=1),"Да","Нет")))</x:f>
        <x:v>Нет</x:v>
      </x:c>
      <x:c r="AF59" s="5"/>
      <x:c r="AG59" s="5" t="str">
        <x:v>Два контура v2</x:v>
      </x:c>
    </x:row>
    <x:row r="60">
      <x:c r="A60" s="80" t="n">
        <x:v>55</x:v>
      </x:c>
      <x:c r="B60" s="80" t="str">
        <x:v>13224347</x:v>
      </x:c>
      <x:c r="C60" s="83" t="str">
        <x:v>14.10.2026 15:58:23</x:v>
      </x:c>
      <x:c r="D60" s="80" t="str">
        <x:v>Греция - Суперлига 2</x:v>
      </x:c>
      <x:c r="E60" s="80" t="str">
        <x:v>Олимпиакос Б - Афины Каллитея</x:v>
      </x:c>
      <x:c r="F60" s="86" t="n">
        <x:v>47</x:v>
      </x:c>
      <x:c r="G60" s="80" t="str">
        <x:v>0:1</x:v>
      </x:c>
      <x:c r="H60" s="95" t="str">
        <x:v>Гости создают угрозу; хозяевам нужно отыгрываться</x:v>
      </x:c>
      <x:c r="I60" s="95" t="str">
        <x:v>ТБ 2.5 (Матч)</x:v>
      </x:c>
      <x:c r="J60" s="96" t="n">
        <x:v>2.25</x:v>
      </x:c>
      <x:c r="K60" s="97" t="n">
        <x:v>2</x:v>
      </x:c>
      <x:c r="L60" s="98" t="str">
        <x:v>corners 2:1; dangerous_attacks 20:46; off_target 3:4; on_target 3:9; possession_rt 46:54; redcards 0:0</x:v>
      </x:c>
      <x:c r="M60" s="98" t="str">
        <x:v>Нет отдельных снимков за 10-15 минут</x:v>
      </x:c>
      <x:c r="N60" s="98" t="str">
        <x:v>Гости создают угрозу; хозяевам нужно отыгрываться</x:v>
      </x:c>
      <x:c r="O60" s="98" t="str">
        <x:v>Лидер может снизить темп; удары и сейвы источника не полностью согласованы</x:v>
      </x:c>
      <x:c r="P60" s="98" t="str">
        <x:v>Один снимок; xG и свежая динамика недоступны; внешней проверки нет</x:v>
      </x:c>
      <x:c r="Q60" s="80" t="str">
        <x:v>ПОДХОДИТ В LIVE</x:v>
      </x:c>
      <x:c r="R60" s="80" t="str">
        <x:v>ТБ live v2 от 14.10.2026</x:v>
      </x:c>
      <x:c r="S60" s="80" t="str">
        <x:v>BetsAPI / Bet365 full markets; Резервная команда против взрослой; run 38538525336 attempt 2</x:v>
      </x:c>
      <x:c r="T60" s="80"/>
      <x:c r="U60" s="80"/>
      <x:c r="V60" s="89" t="str">
        <x:f>IF(A60="","",IF(U60="","",IF(U60="Выигрыш",J60-1,IF(U60="Полувыигрыш",(J60-1)/2,IF(U60="Возврат",0,IF(U60="Полупроигрыш",-0.5,IF(U60="Поражение",-1,"Проверить результат")))))))</x:f>
      </x:c>
      <x:c r="W60" s="80" t="str">
        <x:f>IF(A60="","",IF(U60="","Открыт",IF(ISNUMBER(V60),"Рассчитан","Проверить результат")))</x:f>
        <x:v>Открыт</x:v>
      </x:c>
      <x:c r="X60" s="98" t="str">
        <x:v>Без возврата; исходные условия первичного ответа</x:v>
      </x:c>
      <x:c r="Y60" s="5" t="str">
        <x:v>Агрессивный</x:v>
      </x:c>
      <x:c r="Z60" s="5" t="str">
        <x:v>20261014T155823-13224347</x:v>
      </x:c>
      <x:c r="AA60" s="5" t="str">
        <x:v>Матч</x:v>
      </x:c>
      <x:c r="AB60" s="118" t="n">
        <x:v>2.5</x:v>
      </x:c>
      <x:c r="AC60" s="119" t="str">
        <x:v>14.10.2026 15:58:23</x:v>
      </x:c>
      <x:c r="AD60" s="119" t="str">
        <x:v>14.10.2026 15:59</x:v>
      </x:c>
      <x:c r="AE60" s="5" t="str">
        <x:f>IF(A60="","",IF(Z60="","Нет ID пары",IF(AND(COUNTIFS($Z$59:$Z$505,Z60,$Y$59:$Y$505,"Оптимальный",$W$59:$W$505,"Рассчитан")=1,COUNTIFS($Z$59:$Z$505,Z60,$Y$59:$Y$505,"Агрессивный",$W$59:$W$505,"Рассчитан")=1),"Да","Нет")))</x:f>
        <x:v>Нет</x:v>
      </x:c>
      <x:c r="AF60" s="5"/>
      <x:c r="AG60" s="5" t="str">
        <x:v>Два контура v2</x:v>
      </x:c>
    </x:row>
    <x:row r="61">
      <x:c r="A61" s="80" t="n">
        <x:v>56</x:v>
      </x:c>
      <x:c r="B61" s="80" t="str">
        <x:v>13294263</x:v>
      </x:c>
      <x:c r="C61" s="83" t="str">
        <x:v>14.10.2026 15:58:23</x:v>
      </x:c>
      <x:c r="D61" s="80" t="str">
        <x:v>Албания / Мальта - Юношеская лига УЕФА</x:v>
      </x:c>
      <x:c r="E61" s="80" t="str">
        <x:v>Партизани U19 - Валлетта U19</x:v>
      </x:c>
      <x:c r="F61" s="86" t="n">
        <x:v>45</x:v>
      </x:c>
      <x:c r="G61" s="80" t="str">
        <x:v>2:0</x:v>
      </x:c>
      <x:c r="H61" s="95" t="str">
        <x:v>Хозяева способны продолжить результативность самостоятельно</x:v>
      </x:c>
      <x:c r="I61" s="95" t="str">
        <x:v>ТБ 3.5 (Матч)</x:v>
      </x:c>
      <x:c r="J61" s="96" t="n">
        <x:v>1.6</x:v>
      </x:c>
      <x:c r="K61" s="97" t="n">
        <x:v>2</x:v>
      </x:c>
      <x:c r="L61" s="98" t="str">
        <x:v>corners 6:2; dangerous_attacks 41:16; off_target 10:2; on_target 4:1; possession_rt 58:42; redcards 0:0</x:v>
      </x:c>
      <x:c r="M61" s="98" t="str">
        <x:v>Нет отдельных снимков за 10-15 минут</x:v>
      </x:c>
      <x:c r="N61" s="98" t="str">
        <x:v>Хозяева способны продолжить результативность самостоятельно</x:v>
      </x:c>
      <x:c r="O61" s="98" t="str">
        <x:v>Снижение активности при комфортном счёте</x:v>
      </x:c>
      <x:c r="P61" s="98" t="str">
        <x:v>Один снимок; xG и свежая динамика недоступны; внешней проверки нет</x:v>
      </x:c>
      <x:c r="Q61" s="80" t="str">
        <x:v>ПОДХОДИТ В LIVE</x:v>
      </x:c>
      <x:c r="R61" s="80" t="str">
        <x:v>ТБ live v2 от 14.10.2026</x:v>
      </x:c>
      <x:c r="S61" s="80" t="str">
        <x:v>BetsAPI / Bet365 full markets; Молодёжный/юниорский; run 38538525336 attempt 2</x:v>
      </x:c>
      <x:c r="T61" s="80"/>
      <x:c r="U61" s="80"/>
      <x:c r="V61" s="89" t="str">
        <x:f>IF(A61="","",IF(U61="","",IF(U61="Выигрыш",J61-1,IF(U61="Полувыигрыш",(J61-1)/2,IF(U61="Возврат",0,IF(U61="Полупроигрыш",-0.5,IF(U61="Поражение",-1,"Проверить результат")))))))</x:f>
      </x:c>
      <x:c r="W61" s="80" t="str">
        <x:f>IF(A61="","",IF(U61="","Открыт",IF(ISNUMBER(V61),"Рассчитан","Проверить результат")))</x:f>
        <x:v>Открыт</x:v>
      </x:c>
      <x:c r="X61" s="98" t="str">
        <x:v>Без возврата; исходные условия первичного ответа</x:v>
      </x:c>
      <x:c r="Y61" s="5" t="str">
        <x:v>Оптимальный</x:v>
      </x:c>
      <x:c r="Z61" s="5" t="str">
        <x:v>20261014T155823-13294263</x:v>
      </x:c>
      <x:c r="AA61" s="5" t="str">
        <x:v>Матч</x:v>
      </x:c>
      <x:c r="AB61" s="118" t="n">
        <x:v>3.5</x:v>
      </x:c>
      <x:c r="AC61" s="119" t="str">
        <x:v>14.10.2026 15:58:23</x:v>
      </x:c>
      <x:c r="AD61" s="119" t="str">
        <x:v>14.10.2026 15:59</x:v>
      </x:c>
      <x:c r="AE61" s="5" t="str">
        <x:f>IF(A61="","",IF(Z61="","Нет ID пары",IF(AND(COUNTIFS($Z$59:$Z$505,Z61,$Y$59:$Y$505,"Оптимальный",$W$59:$W$505,"Рассчитан")=1,COUNTIFS($Z$59:$Z$505,Z61,$Y$59:$Y$505,"Агрессивный",$W$59:$W$505,"Рассчитан")=1),"Да","Нет")))</x:f>
        <x:v>Нет</x:v>
      </x:c>
      <x:c r="AF61" s="5"/>
      <x:c r="AG61" s="5" t="str">
        <x:v>Два контура v2</x:v>
      </x:c>
    </x:row>
    <x:row r="62">
      <x:c r="A62" s="80" t="n">
        <x:v>57</x:v>
      </x:c>
      <x:c r="B62" s="80" t="str">
        <x:v>13294263</x:v>
      </x:c>
      <x:c r="C62" s="83" t="str">
        <x:v>14.10.2026 15:58:23</x:v>
      </x:c>
      <x:c r="D62" s="80" t="str">
        <x:v>Албания / Мальта - Юношеская лига УЕФА</x:v>
      </x:c>
      <x:c r="E62" s="80" t="str">
        <x:v>Партизани U19 - Валлетта U19</x:v>
      </x:c>
      <x:c r="F62" s="86" t="n">
        <x:v>45</x:v>
      </x:c>
      <x:c r="G62" s="80" t="str">
        <x:v>2:0</x:v>
      </x:c>
      <x:c r="H62" s="95" t="str">
        <x:v>Хозяева способны продолжить результативность самостоятельно</x:v>
      </x:c>
      <x:c r="I62" s="95" t="str">
        <x:v>ТБ 4 (Матч)</x:v>
      </x:c>
      <x:c r="J62" s="96" t="n">
        <x:v>2.05</x:v>
      </x:c>
      <x:c r="K62" s="97" t="n">
        <x:v>3</x:v>
      </x:c>
      <x:c r="L62" s="98" t="str">
        <x:v>corners 6:2; dangerous_attacks 41:16; off_target 10:2; on_target 4:1; possession_rt 58:42; redcards 0:0</x:v>
      </x:c>
      <x:c r="M62" s="98" t="str">
        <x:v>Нет отдельных снимков за 10-15 минут</x:v>
      </x:c>
      <x:c r="N62" s="98" t="str">
        <x:v>Хозяева способны продолжить результативность самостоятельно</x:v>
      </x:c>
      <x:c r="O62" s="98" t="str">
        <x:v>Снижение активности при комфортном счёте</x:v>
      </x:c>
      <x:c r="P62" s="98" t="str">
        <x:v>Один снимок; xG и свежая динамика недоступны; внешней проверки нет</x:v>
      </x:c>
      <x:c r="Q62" s="80" t="str">
        <x:v>ПОДХОДИТ В LIVE</x:v>
      </x:c>
      <x:c r="R62" s="80" t="str">
        <x:v>ТБ live v2 от 14.10.2026</x:v>
      </x:c>
      <x:c r="S62" s="80" t="str">
        <x:v>BetsAPI / Bet365 full markets; Молодёжный/юниорский; run 38538525336 attempt 2</x:v>
      </x:c>
      <x:c r="T62" s="80"/>
      <x:c r="U62" s="80"/>
      <x:c r="V62" s="89" t="str">
        <x:f>IF(A62="","",IF(U62="","",IF(U62="Выигрыш",J62-1,IF(U62="Полувыигрыш",(J62-1)/2,IF(U62="Возврат",0,IF(U62="Полупроигрыш",-0.5,IF(U62="Поражение",-1,"Проверить результат")))))))</x:f>
      </x:c>
      <x:c r="W62" s="80" t="str">
        <x:f>IF(A62="","",IF(U62="","Открыт",IF(ISNUMBER(V62),"Рассчитан","Проверить результат")))</x:f>
        <x:v>Открыт</x:v>
      </x:c>
      <x:c r="X62" s="98" t="str">
        <x:v>Ещё 2 гола - возврат; исходные условия первичного ответа</x:v>
      </x:c>
      <x:c r="Y62" s="5" t="str">
        <x:v>Агрессивный</x:v>
      </x:c>
      <x:c r="Z62" s="5" t="str">
        <x:v>20261014T155823-13294263</x:v>
      </x:c>
      <x:c r="AA62" s="5" t="str">
        <x:v>Матч</x:v>
      </x:c>
      <x:c r="AB62" s="118" t="n">
        <x:v>4</x:v>
      </x:c>
      <x:c r="AC62" s="119" t="str">
        <x:v>14.10.2026 15:58:23</x:v>
      </x:c>
      <x:c r="AD62" s="119" t="str">
        <x:v>14.10.2026 15:59</x:v>
      </x:c>
      <x:c r="AE62" s="5" t="str">
        <x:f>IF(A62="","",IF(Z62="","Нет ID пары",IF(AND(COUNTIFS($Z$59:$Z$505,Z62,$Y$59:$Y$505,"Оптимальный",$W$59:$W$505,"Рассчитан")=1,COUNTIFS($Z$59:$Z$505,Z62,$Y$59:$Y$505,"Агрессивный",$W$59:$W$505,"Рассчитан")=1),"Да","Нет")))</x:f>
        <x:v>Нет</x:v>
      </x:c>
      <x:c r="AF62" s="5"/>
      <x:c r="AG62" s="5" t="str">
        <x:v>Два контура v2</x:v>
      </x:c>
    </x:row>
    <x:row r="63">
      <x:c r="A63" s="80" t="n">
        <x:v>58</x:v>
      </x:c>
      <x:c r="B63" s="80" t="str">
        <x:v>13288150</x:v>
      </x:c>
      <x:c r="C63" s="83" t="str">
        <x:v>14.10.2026 15:58:23</x:v>
      </x:c>
      <x:c r="D63" s="80" t="str">
        <x:v>Египет - Второй дивизион Б</x:v>
      </x:c>
      <x:c r="E63" s="80" t="str">
        <x:v>Спортинг - Александрия Петролеум</x:v>
      </x:c>
      <x:c r="F63" s="86" t="n">
        <x:v>20</x:v>
      </x:c>
      <x:c r="G63" s="80" t="str">
        <x:v>1:1</x:v>
      </x:c>
      <x:c r="H63" s="95" t="str">
        <x:v>Угроза с обеих сторон при равном счёте</x:v>
      </x:c>
      <x:c r="I63" s="95" t="str">
        <x:v>ТБ 3.5 (Матч)</x:v>
      </x:c>
      <x:c r="J63" s="96" t="n">
        <x:v>1.6667</x:v>
      </x:c>
      <x:c r="K63" s="97" t="n">
        <x:v>2</x:v>
      </x:c>
      <x:c r="L63" s="98" t="str">
        <x:v>corners 1:3; dangerous_attacks 10:15; off_target 0:1; on_target 2:3; possession_rt 52:48; redcards 0:0</x:v>
      </x:c>
      <x:c r="M63" s="98" t="str">
        <x:v>Нет отдельных снимков за 10-15 минут</x:v>
      </x:c>
      <x:c r="N63" s="98" t="str">
        <x:v>Угроза с обеих сторон при равном счёте</x:v>
      </x:c>
      <x:c r="O63" s="98" t="str">
        <x:v>Ранняя реализация могла опередить качество моментов</x:v>
      </x:c>
      <x:c r="P63" s="98" t="str">
        <x:v>Один снимок; xG и свежая динамика недоступны; внешней проверки нет</x:v>
      </x:c>
      <x:c r="Q63" s="80" t="str">
        <x:v>ПОДХОДИТ В LIVE</x:v>
      </x:c>
      <x:c r="R63" s="80" t="str">
        <x:v>ТБ live v2 от 14.10.2026</x:v>
      </x:c>
      <x:c r="S63" s="80" t="str">
        <x:v>BetsAPI / Bet365 full markets; Взрослый мужской; run 38538525336 attempt 2</x:v>
      </x:c>
      <x:c r="T63" s="80"/>
      <x:c r="U63" s="80"/>
      <x:c r="V63" s="89" t="str">
        <x:f>IF(A63="","",IF(U63="","",IF(U63="Выигрыш",J63-1,IF(U63="Полувыигрыш",(J63-1)/2,IF(U63="Возврат",0,IF(U63="Полупроигрыш",-0.5,IF(U63="Поражение",-1,"Проверить результат")))))))</x:f>
      </x:c>
      <x:c r="W63" s="80" t="str">
        <x:f>IF(A63="","",IF(U63="","Открыт",IF(ISNUMBER(V63),"Рассчитан","Проверить результат")))</x:f>
        <x:v>Открыт</x:v>
      </x:c>
      <x:c r="X63" s="98" t="str">
        <x:v>Без возврата; исходные условия первичного ответа</x:v>
      </x:c>
      <x:c r="Y63" s="5" t="str">
        <x:v>Оптимальный</x:v>
      </x:c>
      <x:c r="Z63" s="5" t="str">
        <x:v>20261014T155823-13288150</x:v>
      </x:c>
      <x:c r="AA63" s="5" t="str">
        <x:v>Матч</x:v>
      </x:c>
      <x:c r="AB63" s="118" t="n">
        <x:v>3.5</x:v>
      </x:c>
      <x:c r="AC63" s="119" t="str">
        <x:v>14.10.2026 15:58:23</x:v>
      </x:c>
      <x:c r="AD63" s="119" t="str">
        <x:v>14.10.2026 15:59</x:v>
      </x:c>
      <x:c r="AE63" s="5" t="str">
        <x:f>IF(A63="","",IF(Z63="","Нет ID пары",IF(AND(COUNTIFS($Z$59:$Z$505,Z63,$Y$59:$Y$505,"Оптимальный",$W$59:$W$505,"Рассчитан")=1,COUNTIFS($Z$59:$Z$505,Z63,$Y$59:$Y$505,"Агрессивный",$W$59:$W$505,"Рассчитан")=1),"Да","Нет")))</x:f>
        <x:v>Нет</x:v>
      </x:c>
      <x:c r="AF63" s="5"/>
      <x:c r="AG63" s="5" t="str">
        <x:v>Два контура v2</x:v>
      </x:c>
    </x:row>
    <x:row r="64">
      <x:c r="A64" s="80" t="n">
        <x:v>59</x:v>
      </x:c>
      <x:c r="B64" s="80" t="str">
        <x:v>13288150</x:v>
      </x:c>
      <x:c r="C64" s="83" t="str">
        <x:v>14.10.2026 15:58:23</x:v>
      </x:c>
      <x:c r="D64" s="80" t="str">
        <x:v>Египет - Второй дивизион Б</x:v>
      </x:c>
      <x:c r="E64" s="80" t="str">
        <x:v>Спортинг - Александрия Петролеум</x:v>
      </x:c>
      <x:c r="F64" s="86" t="n">
        <x:v>20</x:v>
      </x:c>
      <x:c r="G64" s="80" t="str">
        <x:v>1:1</x:v>
      </x:c>
      <x:c r="H64" s="95" t="str">
        <x:v>Угроза с обеих сторон при равном счёте</x:v>
      </x:c>
      <x:c r="I64" s="95" t="str">
        <x:v>ТБ 2.5 (1-й тайм)</x:v>
      </x:c>
      <x:c r="J64" s="96" t="n">
        <x:v>2.075</x:v>
      </x:c>
      <x:c r="K64" s="97" t="n">
        <x:v>1</x:v>
      </x:c>
      <x:c r="L64" s="98" t="str">
        <x:v>corners 1:3; dangerous_attacks 10:15; off_target 0:1; on_target 2:3; possession_rt 52:48; redcards 0:0</x:v>
      </x:c>
      <x:c r="M64" s="98" t="str">
        <x:v>Нет отдельных снимков за 10-15 минут</x:v>
      </x:c>
      <x:c r="N64" s="98" t="str">
        <x:v>Угроза с обеих сторон при равном счёте</x:v>
      </x:c>
      <x:c r="O64" s="98" t="str">
        <x:v>Ранняя реализация могла опередить качество моментов</x:v>
      </x:c>
      <x:c r="P64" s="98" t="str">
        <x:v>Один снимок; xG и свежая динамика недоступны; внешней проверки нет</x:v>
      </x:c>
      <x:c r="Q64" s="80" t="str">
        <x:v>ПОДХОДИТ В LIVE</x:v>
      </x:c>
      <x:c r="R64" s="80" t="str">
        <x:v>ТБ live v2 от 14.10.2026</x:v>
      </x:c>
      <x:c r="S64" s="80" t="str">
        <x:v>BetsAPI / Bet365 full markets; Взрослый мужской; run 38538525336 attempt 2</x:v>
      </x:c>
      <x:c r="T64" s="80"/>
      <x:c r="U64" s="80"/>
      <x:c r="V64" s="89" t="str">
        <x:f>IF(A64="","",IF(U64="","",IF(U64="Выигрыш",J64-1,IF(U64="Полувыигрыш",(J64-1)/2,IF(U64="Возврат",0,IF(U64="Полупроигрыш",-0.5,IF(U64="Поражение",-1,"Проверить результат")))))))</x:f>
      </x:c>
      <x:c r="W64" s="80" t="str">
        <x:f>IF(A64="","",IF(U64="","Открыт",IF(ISNUMBER(V64),"Рассчитан","Проверить результат")))</x:f>
        <x:v>Открыт</x:v>
      </x:c>
      <x:c r="X64" s="98" t="str">
        <x:v>Гол до перерыва; исходные условия первичного ответа</x:v>
      </x:c>
      <x:c r="Y64" s="5" t="str">
        <x:v>Агрессивный</x:v>
      </x:c>
      <x:c r="Z64" s="5" t="str">
        <x:v>20261014T155823-13288150</x:v>
      </x:c>
      <x:c r="AA64" s="5" t="str">
        <x:v>1-й тайм</x:v>
      </x:c>
      <x:c r="AB64" s="118" t="n">
        <x:v>2.5</x:v>
      </x:c>
      <x:c r="AC64" s="119" t="str">
        <x:v>14.10.2026 15:58:23</x:v>
      </x:c>
      <x:c r="AD64" s="119" t="str">
        <x:v>14.10.2026 15:59</x:v>
      </x:c>
      <x:c r="AE64" s="5" t="str">
        <x:f>IF(A64="","",IF(Z64="","Нет ID пары",IF(AND(COUNTIFS($Z$59:$Z$505,Z64,$Y$59:$Y$505,"Оптимальный",$W$59:$W$505,"Рассчитан")=1,COUNTIFS($Z$59:$Z$505,Z64,$Y$59:$Y$505,"Агрессивный",$W$59:$W$505,"Рассчитан")=1),"Да","Нет")))</x:f>
        <x:v>Нет</x:v>
      </x:c>
      <x:c r="AF64" s="5"/>
      <x:c r="AG64" s="5" t="str">
        <x:v>Два контура v2</x:v>
      </x:c>
    </x:row>
    <x:row r="65">
      <x:c r="A65" s="80" t="n">
        <x:v>60</x:v>
      </x:c>
      <x:c r="B65" s="80" t="str">
        <x:v>13146450</x:v>
      </x:c>
      <x:c r="C65" s="83" t="str">
        <x:v>14.10.2026 15:58:23</x:v>
      </x:c>
      <x:c r="D65" s="80" t="str">
        <x:v>Словакия - Кубок</x:v>
      </x:c>
      <x:c r="E65" s="80" t="str">
        <x:v>Вельке Лудинце - Зволен</x:v>
      </x:c>
      <x:c r="F65" s="86" t="n">
        <x:v>27</x:v>
      </x:c>
      <x:c r="G65" s="80" t="str">
        <x:v>0:0</x:v>
      </x:c>
      <x:c r="H65" s="95" t="str">
        <x:v>Давление гостей подкреплено ударами</x:v>
      </x:c>
      <x:c r="I65" s="95" t="str">
        <x:v>ТБ 0.5 (1-й тайм)</x:v>
      </x:c>
      <x:c r="J65" s="96" t="n">
        <x:v>1.5333</x:v>
      </x:c>
      <x:c r="K65" s="97" t="n">
        <x:v>1</x:v>
      </x:c>
      <x:c r="L65" s="98" t="str">
        <x:v>corners 1:2; dangerous_attacks 10:32; off_target 0:6; on_target 0:3; possession_rt 40:60; redcards 0:0</x:v>
      </x:c>
      <x:c r="M65" s="98" t="str">
        <x:v>Нет отдельных снимков за 10-15 минут</x:v>
      </x:c>
      <x:c r="N65" s="98" t="str">
        <x:v>Давление гостей подкреплено ударами</x:v>
      </x:c>
      <x:c r="O65" s="98" t="str">
        <x:v>Односторонняя игра и ограниченное время до перерыва</x:v>
      </x:c>
      <x:c r="P65" s="98" t="str">
        <x:v>Один снимок; xG и свежая динамика недоступны; внешней проверки нет</x:v>
      </x:c>
      <x:c r="Q65" s="80" t="str">
        <x:v>ПОДХОДИТ В LIVE</x:v>
      </x:c>
      <x:c r="R65" s="80" t="str">
        <x:v>ТБ live v2 от 14.10.2026</x:v>
      </x:c>
      <x:c r="S65" s="80" t="str">
        <x:v>BetsAPI / Bet365 full markets; Взрослый мужской; run 38538525336 attempt 2</x:v>
      </x:c>
      <x:c r="T65" s="80"/>
      <x:c r="U65" s="80"/>
      <x:c r="V65" s="89" t="str">
        <x:f>IF(A65="","",IF(U65="","",IF(U65="Выигрыш",J65-1,IF(U65="Полувыигрыш",(J65-1)/2,IF(U65="Возврат",0,IF(U65="Полупроигрыш",-0.5,IF(U65="Поражение",-1,"Проверить результат")))))))</x:f>
      </x:c>
      <x:c r="W65" s="80" t="str">
        <x:f>IF(A65="","",IF(U65="","Открыт",IF(ISNUMBER(V65),"Рассчитан","Проверить результат")))</x:f>
        <x:v>Открыт</x:v>
      </x:c>
      <x:c r="X65" s="98" t="str">
        <x:v>Гол до перерыва; исходные условия первичного ответа</x:v>
      </x:c>
      <x:c r="Y65" s="5" t="str">
        <x:v>Оптимальный</x:v>
      </x:c>
      <x:c r="Z65" s="5" t="str">
        <x:v>20261014T155823-13146450</x:v>
      </x:c>
      <x:c r="AA65" s="5" t="str">
        <x:v>1-й тайм</x:v>
      </x:c>
      <x:c r="AB65" s="118" t="n">
        <x:v>0.5</x:v>
      </x:c>
      <x:c r="AC65" s="119" t="str">
        <x:v>14.10.2026 15:58:23</x:v>
      </x:c>
      <x:c r="AD65" s="119" t="str">
        <x:v>14.10.2026 15:59</x:v>
      </x:c>
      <x:c r="AE65" s="5" t="str">
        <x:f>IF(A65="","",IF(Z65="","Нет ID пары",IF(AND(COUNTIFS($Z$59:$Z$505,Z65,$Y$59:$Y$505,"Оптимальный",$W$59:$W$505,"Рассчитан")=1,COUNTIFS($Z$59:$Z$505,Z65,$Y$59:$Y$505,"Агрессивный",$W$59:$W$505,"Рассчитан")=1),"Да","Нет")))</x:f>
        <x:v>Нет</x:v>
      </x:c>
      <x:c r="AF65" s="5"/>
      <x:c r="AG65" s="5" t="str">
        <x:v>Два контура v2</x:v>
      </x:c>
    </x:row>
    <x:row r="66">
      <x:c r="A66" s="80" t="n">
        <x:v>61</x:v>
      </x:c>
      <x:c r="B66" s="80" t="str">
        <x:v>13146450</x:v>
      </x:c>
      <x:c r="C66" s="83" t="str">
        <x:v>14.10.2026 15:58:23</x:v>
      </x:c>
      <x:c r="D66" s="80" t="str">
        <x:v>Словакия - Кубок</x:v>
      </x:c>
      <x:c r="E66" s="80" t="str">
        <x:v>Вельке Лудинце - Зволен</x:v>
      </x:c>
      <x:c r="F66" s="86" t="n">
        <x:v>27</x:v>
      </x:c>
      <x:c r="G66" s="80" t="str">
        <x:v>0:0</x:v>
      </x:c>
      <x:c r="H66" s="95" t="str">
        <x:v>Давление гостей подкреплено ударами</x:v>
      </x:c>
      <x:c r="I66" s="95" t="str">
        <x:v>ТБ 0.75 (1-й тайм)</x:v>
      </x:c>
      <x:c r="J66" s="96" t="n">
        <x:v>1.875</x:v>
      </x:c>
      <x:c r="K66" s="97" t="n">
        <x:v>2</x:v>
      </x:c>
      <x:c r="L66" s="98" t="str">
        <x:v>corners 1:2; dangerous_attacks 10:32; off_target 0:6; on_target 0:3; possession_rt 40:60; redcards 0:0</x:v>
      </x:c>
      <x:c r="M66" s="98" t="str">
        <x:v>Нет отдельных снимков за 10-15 минут</x:v>
      </x:c>
      <x:c r="N66" s="98" t="str">
        <x:v>Давление гостей подкреплено ударами</x:v>
      </x:c>
      <x:c r="O66" s="98" t="str">
        <x:v>Односторонняя игра и ограниченное время до перерыва</x:v>
      </x:c>
      <x:c r="P66" s="98" t="str">
        <x:v>Один снимок; xG и свежая динамика недоступны; внешней проверки нет</x:v>
      </x:c>
      <x:c r="Q66" s="80" t="str">
        <x:v>ПОДХОДИТ В LIVE</x:v>
      </x:c>
      <x:c r="R66" s="80" t="str">
        <x:v>ТБ live v2 от 14.10.2026</x:v>
      </x:c>
      <x:c r="S66" s="80" t="str">
        <x:v>BetsAPI / Bet365 full markets; Взрослый мужской; run 38538525336 attempt 2</x:v>
      </x:c>
      <x:c r="T66" s="80"/>
      <x:c r="U66" s="80"/>
      <x:c r="V66" s="89" t="str">
        <x:f>IF(A66="","",IF(U66="","",IF(U66="Выигрыш",J66-1,IF(U66="Полувыигрыш",(J66-1)/2,IF(U66="Возврат",0,IF(U66="Полупроигрыш",-0.5,IF(U66="Поражение",-1,"Проверить результат")))))))</x:f>
      </x:c>
      <x:c r="W66" s="80" t="str">
        <x:f>IF(A66="","",IF(U66="","Открыт",IF(ISNUMBER(V66),"Рассчитан","Проверить результат")))</x:f>
        <x:v>Открыт</x:v>
      </x:c>
      <x:c r="X66" s="98" t="str">
        <x:v>1 гол до перерыва - полувыигрыш; 2 - полный; исходные условия первичного ответа</x:v>
      </x:c>
      <x:c r="Y66" s="5" t="str">
        <x:v>Агрессивный</x:v>
      </x:c>
      <x:c r="Z66" s="5" t="str">
        <x:v>20261014T155823-13146450</x:v>
      </x:c>
      <x:c r="AA66" s="5" t="str">
        <x:v>1-й тайм</x:v>
      </x:c>
      <x:c r="AB66" s="118" t="n">
        <x:v>0.75</x:v>
      </x:c>
      <x:c r="AC66" s="119" t="str">
        <x:v>14.10.2026 15:58:23</x:v>
      </x:c>
      <x:c r="AD66" s="119" t="str">
        <x:v>14.10.2026 15:59</x:v>
      </x:c>
      <x:c r="AE66" s="5" t="str">
        <x:f>IF(A66="","",IF(Z66="","Нет ID пары",IF(AND(COUNTIFS($Z$59:$Z$505,Z66,$Y$59:$Y$505,"Оптимальный",$W$59:$W$505,"Рассчитан")=1,COUNTIFS($Z$59:$Z$505,Z66,$Y$59:$Y$505,"Агрессивный",$W$59:$W$505,"Рассчитан")=1),"Да","Нет")))</x:f>
        <x:v>Нет</x:v>
      </x:c>
      <x:c r="AF66" s="5"/>
      <x:c r="AG66" s="5" t="str">
        <x:v>Два контура v2</x:v>
      </x:c>
    </x:row>
    <x:row r="67">
      <x:c r="A67" s="80"/>
      <x:c r="B67" s="80"/>
      <x:c r="C67" s="83"/>
      <x:c r="D67" s="80"/>
      <x:c r="E67" s="80"/>
      <x:c r="F67" s="86"/>
      <x:c r="G67" s="80"/>
      <x:c r="H67" s="95"/>
      <x:c r="I67" s="95"/>
      <x:c r="J67" s="96"/>
      <x:c r="K67" s="97"/>
      <x:c r="L67" s="98"/>
      <x:c r="M67" s="98"/>
      <x:c r="N67" s="98"/>
      <x:c r="O67" s="98"/>
      <x:c r="P67" s="98"/>
      <x:c r="Q67" s="80"/>
      <x:c r="R67" s="80"/>
      <x:c r="S67" s="80"/>
      <x:c r="T67" s="80"/>
      <x:c r="U67" s="80"/>
      <x:c r="V67" s="89" t="str">
        <x:f>IF(A67="","",IF(U67="","",IF(U67="Выигрыш",J67-1,IF(U67="Полувыигрыш",(J67-1)/2,IF(U67="Возврат",0,IF(U67="Полупроигрыш",-0.5,IF(U67="Поражение",-1,"Проверить результат")))))))</x:f>
      </x:c>
      <x:c r="W67" s="80" t="str">
        <x:f>IF(A67="","",IF(U67="","Открыт",IF(ISNUMBER(V67),"Рассчитан","Проверить результат")))</x:f>
      </x:c>
      <x:c r="X67" s="98"/>
      <x:c r="Y67" s="5"/>
      <x:c r="Z67" s="5"/>
      <x:c r="AA67" s="5"/>
      <x:c r="AB67" s="118"/>
      <x:c r="AC67" s="119"/>
      <x:c r="AD67" s="119"/>
      <x:c r="AE67" s="5" t="str">
        <x:f>IF(A67="","",IF(Z67="","Нет ID пары",IF(AND(COUNTIFS($Z$59:$Z$505,Z67,$Y$59:$Y$505,"Оптимальный",$W$59:$W$505,"Рассчитан")=1,COUNTIFS($Z$59:$Z$505,Z67,$Y$59:$Y$505,"Агрессивный",$W$59:$W$505,"Рассчитан")=1),"Да","Нет")))</x:f>
      </x:c>
      <x:c r="AF67" s="5"/>
      <x:c r="AG67" s="5"/>
    </x:row>
    <x:row r="68">
      <x:c r="A68" s="80"/>
      <x:c r="B68" s="80"/>
      <x:c r="C68" s="83"/>
      <x:c r="D68" s="80"/>
      <x:c r="E68" s="80"/>
      <x:c r="F68" s="86"/>
      <x:c r="G68" s="80"/>
      <x:c r="H68" s="95"/>
      <x:c r="I68" s="95"/>
      <x:c r="J68" s="96"/>
      <x:c r="K68" s="97"/>
      <x:c r="L68" s="98"/>
      <x:c r="M68" s="98"/>
      <x:c r="N68" s="98"/>
      <x:c r="O68" s="98"/>
      <x:c r="P68" s="98"/>
      <x:c r="Q68" s="80"/>
      <x:c r="R68" s="80"/>
      <x:c r="S68" s="80"/>
      <x:c r="T68" s="80"/>
      <x:c r="U68" s="80"/>
      <x:c r="V68" s="89" t="str">
        <x:f>IF(A68="","",IF(U68="","",IF(U68="Выигрыш",J68-1,IF(U68="Полувыигрыш",(J68-1)/2,IF(U68="Возврат",0,IF(U68="Полупроигрыш",-0.5,IF(U68="Поражение",-1,"Проверить результат")))))))</x:f>
      </x:c>
      <x:c r="W68" s="80" t="str">
        <x:f>IF(A68="","",IF(U68="","Открыт",IF(ISNUMBER(V68),"Рассчитан","Проверить результат")))</x:f>
      </x:c>
      <x:c r="X68" s="98"/>
      <x:c r="Y68" s="5"/>
      <x:c r="Z68" s="5"/>
      <x:c r="AA68" s="5"/>
      <x:c r="AB68" s="118"/>
      <x:c r="AC68" s="119"/>
      <x:c r="AD68" s="119"/>
      <x:c r="AE68" s="5" t="str">
        <x:f>IF(A68="","",IF(Z68="","Нет ID пары",IF(AND(COUNTIFS($Z$59:$Z$505,Z68,$Y$59:$Y$505,"Оптимальный",$W$59:$W$505,"Рассчитан")=1,COUNTIFS($Z$59:$Z$505,Z68,$Y$59:$Y$505,"Агрессивный",$W$59:$W$505,"Рассчитан")=1),"Да","Нет")))</x:f>
      </x:c>
      <x:c r="AF68" s="5"/>
      <x:c r="AG68" s="5"/>
    </x:row>
    <x:row r="69">
      <x:c r="A69" s="80"/>
      <x:c r="B69" s="80"/>
      <x:c r="C69" s="83"/>
      <x:c r="D69" s="80"/>
      <x:c r="E69" s="80"/>
      <x:c r="F69" s="86"/>
      <x:c r="G69" s="80"/>
      <x:c r="H69" s="95"/>
      <x:c r="I69" s="95"/>
      <x:c r="J69" s="96"/>
      <x:c r="K69" s="97"/>
      <x:c r="L69" s="98"/>
      <x:c r="M69" s="98"/>
      <x:c r="N69" s="98"/>
      <x:c r="O69" s="98"/>
      <x:c r="P69" s="98"/>
      <x:c r="Q69" s="80"/>
      <x:c r="R69" s="80"/>
      <x:c r="S69" s="80"/>
      <x:c r="T69" s="80"/>
      <x:c r="U69" s="80"/>
      <x:c r="V69" s="89" t="str">
        <x:f>IF(A69="","",IF(U69="","",IF(U69="Выигрыш",J69-1,IF(U69="Полувыигрыш",(J69-1)/2,IF(U69="Возврат",0,IF(U69="Полупроигрыш",-0.5,IF(U69="Поражение",-1,"Проверить результат")))))))</x:f>
      </x:c>
      <x:c r="W69" s="80" t="str">
        <x:f>IF(A69="","",IF(U69="","Открыт",IF(ISNUMBER(V69),"Рассчитан","Проверить результат")))</x:f>
      </x:c>
      <x:c r="X69" s="98"/>
      <x:c r="Y69" s="5"/>
      <x:c r="Z69" s="5"/>
      <x:c r="AA69" s="5"/>
      <x:c r="AB69" s="118"/>
      <x:c r="AC69" s="119"/>
      <x:c r="AD69" s="119"/>
      <x:c r="AE69" s="5" t="str">
        <x:f>IF(A69="","",IF(Z69="","Нет ID пары",IF(AND(COUNTIFS($Z$59:$Z$505,Z69,$Y$59:$Y$505,"Оптимальный",$W$59:$W$505,"Рассчитан")=1,COUNTIFS($Z$59:$Z$505,Z69,$Y$59:$Y$505,"Агрессивный",$W$59:$W$505,"Рассчитан")=1),"Да","Нет")))</x:f>
      </x:c>
      <x:c r="AF69" s="5"/>
      <x:c r="AG69" s="5"/>
    </x:row>
    <x:row r="70">
      <x:c r="A70" s="80"/>
      <x:c r="B70" s="80"/>
      <x:c r="C70" s="83"/>
      <x:c r="D70" s="80"/>
      <x:c r="E70" s="80"/>
      <x:c r="F70" s="86"/>
      <x:c r="G70" s="80"/>
      <x:c r="H70" s="95"/>
      <x:c r="I70" s="95"/>
      <x:c r="J70" s="96"/>
      <x:c r="K70" s="97"/>
      <x:c r="L70" s="98"/>
      <x:c r="M70" s="98"/>
      <x:c r="N70" s="98"/>
      <x:c r="O70" s="98"/>
      <x:c r="P70" s="98"/>
      <x:c r="Q70" s="80"/>
      <x:c r="R70" s="80"/>
      <x:c r="S70" s="80"/>
      <x:c r="T70" s="80"/>
      <x:c r="U70" s="80"/>
      <x:c r="V70" s="89" t="str">
        <x:f>IF(A70="","",IF(U70="","",IF(U70="Выигрыш",J70-1,IF(U70="Полувыигрыш",(J70-1)/2,IF(U70="Возврат",0,IF(U70="Полупроигрыш",-0.5,IF(U70="Поражение",-1,"Проверить результат")))))))</x:f>
      </x:c>
      <x:c r="W70" s="80" t="str">
        <x:f>IF(A70="","",IF(U70="","Открыт",IF(ISNUMBER(V70),"Рассчитан","Проверить результат")))</x:f>
      </x:c>
      <x:c r="X70" s="98"/>
      <x:c r="Y70" s="5"/>
      <x:c r="Z70" s="5"/>
      <x:c r="AA70" s="5"/>
      <x:c r="AB70" s="118"/>
      <x:c r="AC70" s="119"/>
      <x:c r="AD70" s="119"/>
      <x:c r="AE70" s="5" t="str">
        <x:f>IF(A70="","",IF(Z70="","Нет ID пары",IF(AND(COUNTIFS($Z$59:$Z$505,Z70,$Y$59:$Y$505,"Оптимальный",$W$59:$W$505,"Рассчитан")=1,COUNTIFS($Z$59:$Z$505,Z70,$Y$59:$Y$505,"Агрессивный",$W$59:$W$505,"Рассчитан")=1),"Да","Нет")))</x:f>
      </x:c>
      <x:c r="AF70" s="5"/>
      <x:c r="AG70" s="5"/>
    </x:row>
    <x:row r="71">
      <x:c r="A71" s="80"/>
      <x:c r="B71" s="80"/>
      <x:c r="C71" s="83"/>
      <x:c r="D71" s="80"/>
      <x:c r="E71" s="80"/>
      <x:c r="F71" s="86"/>
      <x:c r="G71" s="80"/>
      <x:c r="H71" s="95"/>
      <x:c r="I71" s="95"/>
      <x:c r="J71" s="96"/>
      <x:c r="K71" s="97"/>
      <x:c r="L71" s="98"/>
      <x:c r="M71" s="98"/>
      <x:c r="N71" s="98"/>
      <x:c r="O71" s="98"/>
      <x:c r="P71" s="98"/>
      <x:c r="Q71" s="80"/>
      <x:c r="R71" s="80"/>
      <x:c r="S71" s="80"/>
      <x:c r="T71" s="80"/>
      <x:c r="U71" s="80"/>
      <x:c r="V71" s="89" t="str">
        <x:f>IF(A71="","",IF(U71="","",IF(U71="Выигрыш",J71-1,IF(U71="Полувыигрыш",(J71-1)/2,IF(U71="Возврат",0,IF(U71="Полупроигрыш",-0.5,IF(U71="Поражение",-1,"Проверить результат")))))))</x:f>
      </x:c>
      <x:c r="W71" s="80" t="str">
        <x:f>IF(A71="","",IF(U71="","Открыт",IF(ISNUMBER(V71),"Рассчитан","Проверить результат")))</x:f>
      </x:c>
      <x:c r="X71" s="98"/>
      <x:c r="Y71" s="5"/>
      <x:c r="Z71" s="5"/>
      <x:c r="AA71" s="5"/>
      <x:c r="AB71" s="118"/>
      <x:c r="AC71" s="119"/>
      <x:c r="AD71" s="119"/>
      <x:c r="AE71" s="5" t="str">
        <x:f>IF(A71="","",IF(Z71="","Нет ID пары",IF(AND(COUNTIFS($Z$59:$Z$505,Z71,$Y$59:$Y$505,"Оптимальный",$W$59:$W$505,"Рассчитан")=1,COUNTIFS($Z$59:$Z$505,Z71,$Y$59:$Y$505,"Агрессивный",$W$59:$W$505,"Рассчитан")=1),"Да","Нет")))</x:f>
      </x:c>
      <x:c r="AF71" s="5"/>
      <x:c r="AG71" s="5"/>
    </x:row>
    <x:row r="72">
      <x:c r="A72" s="80"/>
      <x:c r="B72" s="80"/>
      <x:c r="C72" s="83"/>
      <x:c r="D72" s="80"/>
      <x:c r="E72" s="80"/>
      <x:c r="F72" s="86"/>
      <x:c r="G72" s="80"/>
      <x:c r="H72" s="95"/>
      <x:c r="I72" s="95"/>
      <x:c r="J72" s="96"/>
      <x:c r="K72" s="97"/>
      <x:c r="L72" s="98"/>
      <x:c r="M72" s="98"/>
      <x:c r="N72" s="98"/>
      <x:c r="O72" s="98"/>
      <x:c r="P72" s="98"/>
      <x:c r="Q72" s="80"/>
      <x:c r="R72" s="80"/>
      <x:c r="S72" s="80"/>
      <x:c r="T72" s="80"/>
      <x:c r="U72" s="80"/>
      <x:c r="V72" s="89" t="str">
        <x:f>IF(A72="","",IF(U72="","",IF(U72="Выигрыш",J72-1,IF(U72="Полувыигрыш",(J72-1)/2,IF(U72="Возврат",0,IF(U72="Полупроигрыш",-0.5,IF(U72="Поражение",-1,"Проверить результат")))))))</x:f>
      </x:c>
      <x:c r="W72" s="80" t="str">
        <x:f>IF(A72="","",IF(U72="","Открыт",IF(ISNUMBER(V72),"Рассчитан","Проверить результат")))</x:f>
      </x:c>
      <x:c r="X72" s="98"/>
      <x:c r="Y72" s="5"/>
      <x:c r="Z72" s="5"/>
      <x:c r="AA72" s="5"/>
      <x:c r="AB72" s="118"/>
      <x:c r="AC72" s="119"/>
      <x:c r="AD72" s="119"/>
      <x:c r="AE72" s="5" t="str">
        <x:f>IF(A72="","",IF(Z72="","Нет ID пары",IF(AND(COUNTIFS($Z$59:$Z$505,Z72,$Y$59:$Y$505,"Оптимальный",$W$59:$W$505,"Рассчитан")=1,COUNTIFS($Z$59:$Z$505,Z72,$Y$59:$Y$505,"Агрессивный",$W$59:$W$505,"Рассчитан")=1),"Да","Нет")))</x:f>
      </x:c>
      <x:c r="AF72" s="5"/>
      <x:c r="AG72" s="5"/>
    </x:row>
    <x:row r="73">
      <x:c r="A73" s="80"/>
      <x:c r="B73" s="80"/>
      <x:c r="C73" s="83"/>
      <x:c r="D73" s="80"/>
      <x:c r="E73" s="80"/>
      <x:c r="F73" s="86"/>
      <x:c r="G73" s="80"/>
      <x:c r="H73" s="95"/>
      <x:c r="I73" s="95"/>
      <x:c r="J73" s="96"/>
      <x:c r="K73" s="97"/>
      <x:c r="L73" s="98"/>
      <x:c r="M73" s="98"/>
      <x:c r="N73" s="98"/>
      <x:c r="O73" s="98"/>
      <x:c r="P73" s="98"/>
      <x:c r="Q73" s="80"/>
      <x:c r="R73" s="80"/>
      <x:c r="S73" s="80"/>
      <x:c r="T73" s="80"/>
      <x:c r="U73" s="80"/>
      <x:c r="V73" s="89" t="str">
        <x:f>IF(A73="","",IF(U73="","",IF(U73="Выигрыш",J73-1,IF(U73="Полувыигрыш",(J73-1)/2,IF(U73="Возврат",0,IF(U73="Полупроигрыш",-0.5,IF(U73="Поражение",-1,"Проверить результат")))))))</x:f>
      </x:c>
      <x:c r="W73" s="80" t="str">
        <x:f>IF(A73="","",IF(U73="","Открыт",IF(ISNUMBER(V73),"Рассчитан","Проверить результат")))</x:f>
      </x:c>
      <x:c r="X73" s="98"/>
      <x:c r="Y73" s="5"/>
      <x:c r="Z73" s="5"/>
      <x:c r="AA73" s="5"/>
      <x:c r="AB73" s="118"/>
      <x:c r="AC73" s="119"/>
      <x:c r="AD73" s="119"/>
      <x:c r="AE73" s="5" t="str">
        <x:f>IF(A73="","",IF(Z73="","Нет ID пары",IF(AND(COUNTIFS($Z$59:$Z$505,Z73,$Y$59:$Y$505,"Оптимальный",$W$59:$W$505,"Рассчитан")=1,COUNTIFS($Z$59:$Z$505,Z73,$Y$59:$Y$505,"Агрессивный",$W$59:$W$505,"Рассчитан")=1),"Да","Нет")))</x:f>
      </x:c>
      <x:c r="AF73" s="5"/>
      <x:c r="AG73" s="5"/>
    </x:row>
    <x:row r="74">
      <x:c r="A74" s="80"/>
      <x:c r="B74" s="80"/>
      <x:c r="C74" s="83"/>
      <x:c r="D74" s="80"/>
      <x:c r="E74" s="80"/>
      <x:c r="F74" s="86"/>
      <x:c r="G74" s="80"/>
      <x:c r="H74" s="95"/>
      <x:c r="I74" s="95"/>
      <x:c r="J74" s="96"/>
      <x:c r="K74" s="97"/>
      <x:c r="L74" s="98"/>
      <x:c r="M74" s="98"/>
      <x:c r="N74" s="98"/>
      <x:c r="O74" s="98"/>
      <x:c r="P74" s="98"/>
      <x:c r="Q74" s="80"/>
      <x:c r="R74" s="80"/>
      <x:c r="S74" s="80"/>
      <x:c r="T74" s="80"/>
      <x:c r="U74" s="80"/>
      <x:c r="V74" s="89" t="str">
        <x:f>IF(A74="","",IF(U74="","",IF(U74="Выигрыш",J74-1,IF(U74="Полувыигрыш",(J74-1)/2,IF(U74="Возврат",0,IF(U74="Полупроигрыш",-0.5,IF(U74="Поражение",-1,"Проверить результат")))))))</x:f>
      </x:c>
      <x:c r="W74" s="80" t="str">
        <x:f>IF(A74="","",IF(U74="","Открыт",IF(ISNUMBER(V74),"Рассчитан","Проверить результат")))</x:f>
      </x:c>
      <x:c r="X74" s="98"/>
      <x:c r="Y74" s="5"/>
      <x:c r="Z74" s="5"/>
      <x:c r="AA74" s="5"/>
      <x:c r="AB74" s="118"/>
      <x:c r="AC74" s="119"/>
      <x:c r="AD74" s="119"/>
      <x:c r="AE74" s="5" t="str">
        <x:f>IF(A74="","",IF(Z74="","Нет ID пары",IF(AND(COUNTIFS($Z$59:$Z$505,Z74,$Y$59:$Y$505,"Оптимальный",$W$59:$W$505,"Рассчитан")=1,COUNTIFS($Z$59:$Z$505,Z74,$Y$59:$Y$505,"Агрессивный",$W$59:$W$505,"Рассчитан")=1),"Да","Нет")))</x:f>
      </x:c>
      <x:c r="AF74" s="5"/>
      <x:c r="AG74" s="5"/>
    </x:row>
    <x:row r="75">
      <x:c r="A75" s="80"/>
      <x:c r="B75" s="80"/>
      <x:c r="C75" s="83"/>
      <x:c r="D75" s="80"/>
      <x:c r="E75" s="80"/>
      <x:c r="F75" s="86"/>
      <x:c r="G75" s="80"/>
      <x:c r="H75" s="95"/>
      <x:c r="I75" s="95"/>
      <x:c r="J75" s="96"/>
      <x:c r="K75" s="97"/>
      <x:c r="L75" s="98"/>
      <x:c r="M75" s="98"/>
      <x:c r="N75" s="98"/>
      <x:c r="O75" s="98"/>
      <x:c r="P75" s="98"/>
      <x:c r="Q75" s="80"/>
      <x:c r="R75" s="80"/>
      <x:c r="S75" s="80"/>
      <x:c r="T75" s="80"/>
      <x:c r="U75" s="80"/>
      <x:c r="V75" s="89" t="str">
        <x:f>IF(A75="","",IF(U75="","",IF(U75="Выигрыш",J75-1,IF(U75="Полувыигрыш",(J75-1)/2,IF(U75="Возврат",0,IF(U75="Полупроигрыш",-0.5,IF(U75="Поражение",-1,"Проверить результат")))))))</x:f>
      </x:c>
      <x:c r="W75" s="80" t="str">
        <x:f>IF(A75="","",IF(U75="","Открыт",IF(ISNUMBER(V75),"Рассчитан","Проверить результат")))</x:f>
      </x:c>
      <x:c r="X75" s="98"/>
      <x:c r="Y75" s="5"/>
      <x:c r="Z75" s="5"/>
      <x:c r="AA75" s="5"/>
      <x:c r="AB75" s="118"/>
      <x:c r="AC75" s="119"/>
      <x:c r="AD75" s="119"/>
      <x:c r="AE75" s="5" t="str">
        <x:f>IF(A75="","",IF(Z75="","Нет ID пары",IF(AND(COUNTIFS($Z$59:$Z$505,Z75,$Y$59:$Y$505,"Оптимальный",$W$59:$W$505,"Рассчитан")=1,COUNTIFS($Z$59:$Z$505,Z75,$Y$59:$Y$505,"Агрессивный",$W$59:$W$505,"Рассчитан")=1),"Да","Нет")))</x:f>
      </x:c>
      <x:c r="AF75" s="5"/>
      <x:c r="AG75" s="5"/>
    </x:row>
    <x:row r="76">
      <x:c r="A76" s="80"/>
      <x:c r="B76" s="80"/>
      <x:c r="C76" s="83"/>
      <x:c r="D76" s="80"/>
      <x:c r="E76" s="80"/>
      <x:c r="F76" s="86"/>
      <x:c r="G76" s="80"/>
      <x:c r="H76" s="95"/>
      <x:c r="I76" s="95"/>
      <x:c r="J76" s="96"/>
      <x:c r="K76" s="97"/>
      <x:c r="L76" s="98"/>
      <x:c r="M76" s="98"/>
      <x:c r="N76" s="98"/>
      <x:c r="O76" s="98"/>
      <x:c r="P76" s="98"/>
      <x:c r="Q76" s="80"/>
      <x:c r="R76" s="80"/>
      <x:c r="S76" s="80"/>
      <x:c r="T76" s="80"/>
      <x:c r="U76" s="80"/>
      <x:c r="V76" s="89" t="str">
        <x:f>IF(A76="","",IF(U76="","",IF(U76="Выигрыш",J76-1,IF(U76="Полувыигрыш",(J76-1)/2,IF(U76="Возврат",0,IF(U76="Полупроигрыш",-0.5,IF(U76="Поражение",-1,"Проверить результат")))))))</x:f>
      </x:c>
      <x:c r="W76" s="80" t="str">
        <x:f>IF(A76="","",IF(U76="","Открыт",IF(ISNUMBER(V76),"Рассчитан","Проверить результат")))</x:f>
      </x:c>
      <x:c r="X76" s="98"/>
      <x:c r="Y76" s="5"/>
      <x:c r="Z76" s="5"/>
      <x:c r="AA76" s="5"/>
      <x:c r="AB76" s="118"/>
      <x:c r="AC76" s="119"/>
      <x:c r="AD76" s="119"/>
      <x:c r="AE76" s="5" t="str">
        <x:f>IF(A76="","",IF(Z76="","Нет ID пары",IF(AND(COUNTIFS($Z$59:$Z$505,Z76,$Y$59:$Y$505,"Оптимальный",$W$59:$W$505,"Рассчитан")=1,COUNTIFS($Z$59:$Z$505,Z76,$Y$59:$Y$505,"Агрессивный",$W$59:$W$505,"Рассчитан")=1),"Да","Нет")))</x:f>
      </x:c>
      <x:c r="AF76" s="5"/>
      <x:c r="AG76" s="5"/>
    </x:row>
    <x:row r="77">
      <x:c r="A77" s="80"/>
      <x:c r="B77" s="80"/>
      <x:c r="C77" s="83"/>
      <x:c r="D77" s="80"/>
      <x:c r="E77" s="80"/>
      <x:c r="F77" s="86"/>
      <x:c r="G77" s="80"/>
      <x:c r="H77" s="95"/>
      <x:c r="I77" s="95"/>
      <x:c r="J77" s="96"/>
      <x:c r="K77" s="97"/>
      <x:c r="L77" s="98"/>
      <x:c r="M77" s="98"/>
      <x:c r="N77" s="98"/>
      <x:c r="O77" s="98"/>
      <x:c r="P77" s="98"/>
      <x:c r="Q77" s="80"/>
      <x:c r="R77" s="80"/>
      <x:c r="S77" s="80"/>
      <x:c r="T77" s="80"/>
      <x:c r="U77" s="80"/>
      <x:c r="V77" s="89" t="str">
        <x:f>IF(A77="","",IF(U77="","",IF(U77="Выигрыш",J77-1,IF(U77="Полувыигрыш",(J77-1)/2,IF(U77="Возврат",0,IF(U77="Полупроигрыш",-0.5,IF(U77="Поражение",-1,"Проверить результат")))))))</x:f>
      </x:c>
      <x:c r="W77" s="80" t="str">
        <x:f>IF(A77="","",IF(U77="","Открыт",IF(ISNUMBER(V77),"Рассчитан","Проверить результат")))</x:f>
      </x:c>
      <x:c r="X77" s="98"/>
      <x:c r="Y77" s="5"/>
      <x:c r="Z77" s="5"/>
      <x:c r="AA77" s="5"/>
      <x:c r="AB77" s="118"/>
      <x:c r="AC77" s="119"/>
      <x:c r="AD77" s="119"/>
      <x:c r="AE77" s="5" t="str">
        <x:f>IF(A77="","",IF(Z77="","Нет ID пары",IF(AND(COUNTIFS($Z$59:$Z$505,Z77,$Y$59:$Y$505,"Оптимальный",$W$59:$W$505,"Рассчитан")=1,COUNTIFS($Z$59:$Z$505,Z77,$Y$59:$Y$505,"Агрессивный",$W$59:$W$505,"Рассчитан")=1),"Да","Нет")))</x:f>
      </x:c>
      <x:c r="AF77" s="5"/>
      <x:c r="AG77" s="5"/>
    </x:row>
    <x:row r="78">
      <x:c r="A78" s="80"/>
      <x:c r="B78" s="80"/>
      <x:c r="C78" s="83"/>
      <x:c r="D78" s="80"/>
      <x:c r="E78" s="80"/>
      <x:c r="F78" s="86"/>
      <x:c r="G78" s="80"/>
      <x:c r="H78" s="95"/>
      <x:c r="I78" s="95"/>
      <x:c r="J78" s="96"/>
      <x:c r="K78" s="97"/>
      <x:c r="L78" s="98"/>
      <x:c r="M78" s="98"/>
      <x:c r="N78" s="98"/>
      <x:c r="O78" s="98"/>
      <x:c r="P78" s="98"/>
      <x:c r="Q78" s="80"/>
      <x:c r="R78" s="80"/>
      <x:c r="S78" s="80"/>
      <x:c r="T78" s="80"/>
      <x:c r="U78" s="80"/>
      <x:c r="V78" s="89" t="str">
        <x:f>IF(A78="","",IF(U78="","",IF(U78="Выигрыш",J78-1,IF(U78="Полувыигрыш",(J78-1)/2,IF(U78="Возврат",0,IF(U78="Полупроигрыш",-0.5,IF(U78="Поражение",-1,"Проверить результат")))))))</x:f>
      </x:c>
      <x:c r="W78" s="80" t="str">
        <x:f>IF(A78="","",IF(U78="","Открыт",IF(ISNUMBER(V78),"Рассчитан","Проверить результат")))</x:f>
      </x:c>
      <x:c r="X78" s="98"/>
      <x:c r="Y78" s="5"/>
      <x:c r="Z78" s="5"/>
      <x:c r="AA78" s="5"/>
      <x:c r="AB78" s="118"/>
      <x:c r="AC78" s="119"/>
      <x:c r="AD78" s="119"/>
      <x:c r="AE78" s="5" t="str">
        <x:f>IF(A78="","",IF(Z78="","Нет ID пары",IF(AND(COUNTIFS($Z$59:$Z$505,Z78,$Y$59:$Y$505,"Оптимальный",$W$59:$W$505,"Рассчитан")=1,COUNTIFS($Z$59:$Z$505,Z78,$Y$59:$Y$505,"Агрессивный",$W$59:$W$505,"Рассчитан")=1),"Да","Нет")))</x:f>
      </x:c>
      <x:c r="AF78" s="5"/>
      <x:c r="AG78" s="5"/>
    </x:row>
    <x:row r="79">
      <x:c r="A79" s="80"/>
      <x:c r="B79" s="80"/>
      <x:c r="C79" s="83"/>
      <x:c r="D79" s="80"/>
      <x:c r="E79" s="80"/>
      <x:c r="F79" s="86"/>
      <x:c r="G79" s="80"/>
      <x:c r="H79" s="95"/>
      <x:c r="I79" s="95"/>
      <x:c r="J79" s="96"/>
      <x:c r="K79" s="97"/>
      <x:c r="L79" s="98"/>
      <x:c r="M79" s="98"/>
      <x:c r="N79" s="98"/>
      <x:c r="O79" s="98"/>
      <x:c r="P79" s="98"/>
      <x:c r="Q79" s="80"/>
      <x:c r="R79" s="80"/>
      <x:c r="S79" s="80"/>
      <x:c r="T79" s="80"/>
      <x:c r="U79" s="80"/>
      <x:c r="V79" s="89" t="str">
        <x:f>IF(A79="","",IF(U79="","",IF(U79="Выигрыш",J79-1,IF(U79="Полувыигрыш",(J79-1)/2,IF(U79="Возврат",0,IF(U79="Полупроигрыш",-0.5,IF(U79="Поражение",-1,"Проверить результат")))))))</x:f>
      </x:c>
      <x:c r="W79" s="80" t="str">
        <x:f>IF(A79="","",IF(U79="","Открыт",IF(ISNUMBER(V79),"Рассчитан","Проверить результат")))</x:f>
      </x:c>
      <x:c r="X79" s="98"/>
      <x:c r="Y79" s="5"/>
      <x:c r="Z79" s="5"/>
      <x:c r="AA79" s="5"/>
      <x:c r="AB79" s="118"/>
      <x:c r="AC79" s="119"/>
      <x:c r="AD79" s="119"/>
      <x:c r="AE79" s="5" t="str">
        <x:f>IF(A79="","",IF(Z79="","Нет ID пары",IF(AND(COUNTIFS($Z$59:$Z$505,Z79,$Y$59:$Y$505,"Оптимальный",$W$59:$W$505,"Рассчитан")=1,COUNTIFS($Z$59:$Z$505,Z79,$Y$59:$Y$505,"Агрессивный",$W$59:$W$505,"Рассчитан")=1),"Да","Нет")))</x:f>
      </x:c>
      <x:c r="AF79" s="5"/>
      <x:c r="AG79" s="5"/>
    </x:row>
    <x:row r="80">
      <x:c r="A80" s="80"/>
      <x:c r="B80" s="80"/>
      <x:c r="C80" s="83"/>
      <x:c r="D80" s="80"/>
      <x:c r="E80" s="80"/>
      <x:c r="F80" s="86"/>
      <x:c r="G80" s="80"/>
      <x:c r="H80" s="95"/>
      <x:c r="I80" s="95"/>
      <x:c r="J80" s="96"/>
      <x:c r="K80" s="97"/>
      <x:c r="L80" s="98"/>
      <x:c r="M80" s="98"/>
      <x:c r="N80" s="98"/>
      <x:c r="O80" s="98"/>
      <x:c r="P80" s="98"/>
      <x:c r="Q80" s="80"/>
      <x:c r="R80" s="80"/>
      <x:c r="S80" s="80"/>
      <x:c r="T80" s="80"/>
      <x:c r="U80" s="80"/>
      <x:c r="V80" s="89" t="str">
        <x:f>IF(A80="","",IF(U80="","",IF(U80="Выигрыш",J80-1,IF(U80="Полувыигрыш",(J80-1)/2,IF(U80="Возврат",0,IF(U80="Полупроигрыш",-0.5,IF(U80="Поражение",-1,"Проверить результат")))))))</x:f>
      </x:c>
      <x:c r="W80" s="80" t="str">
        <x:f>IF(A80="","",IF(U80="","Открыт",IF(ISNUMBER(V80),"Рассчитан","Проверить результат")))</x:f>
      </x:c>
      <x:c r="X80" s="98"/>
      <x:c r="Y80" s="5"/>
      <x:c r="Z80" s="5"/>
      <x:c r="AA80" s="5"/>
      <x:c r="AB80" s="118"/>
      <x:c r="AC80" s="119"/>
      <x:c r="AD80" s="119"/>
      <x:c r="AE80" s="5" t="str">
        <x:f>IF(A80="","",IF(Z80="","Нет ID пары",IF(AND(COUNTIFS($Z$59:$Z$505,Z80,$Y$59:$Y$505,"Оптимальный",$W$59:$W$505,"Рассчитан")=1,COUNTIFS($Z$59:$Z$505,Z80,$Y$59:$Y$505,"Агрессивный",$W$59:$W$505,"Рассчитан")=1),"Да","Нет")))</x:f>
      </x:c>
      <x:c r="AF80" s="5"/>
      <x:c r="AG80" s="5"/>
    </x:row>
    <x:row r="81">
      <x:c r="A81" s="80"/>
      <x:c r="B81" s="80"/>
      <x:c r="C81" s="83"/>
      <x:c r="D81" s="80"/>
      <x:c r="E81" s="80"/>
      <x:c r="F81" s="86"/>
      <x:c r="G81" s="80"/>
      <x:c r="H81" s="95"/>
      <x:c r="I81" s="95"/>
      <x:c r="J81" s="96"/>
      <x:c r="K81" s="97"/>
      <x:c r="L81" s="98"/>
      <x:c r="M81" s="98"/>
      <x:c r="N81" s="98"/>
      <x:c r="O81" s="98"/>
      <x:c r="P81" s="98"/>
      <x:c r="Q81" s="80"/>
      <x:c r="R81" s="80"/>
      <x:c r="S81" s="80"/>
      <x:c r="T81" s="80"/>
      <x:c r="U81" s="80"/>
      <x:c r="V81" s="89" t="str">
        <x:f>IF(A81="","",IF(U81="","",IF(U81="Выигрыш",J81-1,IF(U81="Полувыигрыш",(J81-1)/2,IF(U81="Возврат",0,IF(U81="Полупроигрыш",-0.5,IF(U81="Поражение",-1,"Проверить результат")))))))</x:f>
      </x:c>
      <x:c r="W81" s="80" t="str">
        <x:f>IF(A81="","",IF(U81="","Открыт",IF(ISNUMBER(V81),"Рассчитан","Проверить результат")))</x:f>
      </x:c>
      <x:c r="X81" s="98"/>
      <x:c r="Y81" s="5"/>
      <x:c r="Z81" s="5"/>
      <x:c r="AA81" s="5"/>
      <x:c r="AB81" s="118"/>
      <x:c r="AC81" s="119"/>
      <x:c r="AD81" s="119"/>
      <x:c r="AE81" s="5" t="str">
        <x:f>IF(A81="","",IF(Z81="","Нет ID пары",IF(AND(COUNTIFS($Z$59:$Z$505,Z81,$Y$59:$Y$505,"Оптимальный",$W$59:$W$505,"Рассчитан")=1,COUNTIFS($Z$59:$Z$505,Z81,$Y$59:$Y$505,"Агрессивный",$W$59:$W$505,"Рассчитан")=1),"Да","Нет")))</x:f>
      </x:c>
      <x:c r="AF81" s="5"/>
      <x:c r="AG81" s="5"/>
    </x:row>
    <x:row r="82">
      <x:c r="A82" s="80"/>
      <x:c r="B82" s="80"/>
      <x:c r="C82" s="83"/>
      <x:c r="D82" s="80"/>
      <x:c r="E82" s="80"/>
      <x:c r="F82" s="86"/>
      <x:c r="G82" s="80"/>
      <x:c r="H82" s="95"/>
      <x:c r="I82" s="95"/>
      <x:c r="J82" s="96"/>
      <x:c r="K82" s="97"/>
      <x:c r="L82" s="98"/>
      <x:c r="M82" s="98"/>
      <x:c r="N82" s="98"/>
      <x:c r="O82" s="98"/>
      <x:c r="P82" s="98"/>
      <x:c r="Q82" s="80"/>
      <x:c r="R82" s="80"/>
      <x:c r="S82" s="80"/>
      <x:c r="T82" s="80"/>
      <x:c r="U82" s="80"/>
      <x:c r="V82" s="89" t="str">
        <x:f>IF(A82="","",IF(U82="","",IF(U82="Выигрыш",J82-1,IF(U82="Полувыигрыш",(J82-1)/2,IF(U82="Возврат",0,IF(U82="Полупроигрыш",-0.5,IF(U82="Поражение",-1,"Проверить результат")))))))</x:f>
      </x:c>
      <x:c r="W82" s="80" t="str">
        <x:f>IF(A82="","",IF(U82="","Открыт",IF(ISNUMBER(V82),"Рассчитан","Проверить результат")))</x:f>
      </x:c>
      <x:c r="X82" s="98"/>
      <x:c r="Y82" s="5"/>
      <x:c r="Z82" s="5"/>
      <x:c r="AA82" s="5"/>
      <x:c r="AB82" s="118"/>
      <x:c r="AC82" s="119"/>
      <x:c r="AD82" s="119"/>
      <x:c r="AE82" s="5" t="str">
        <x:f>IF(A82="","",IF(Z82="","Нет ID пары",IF(AND(COUNTIFS($Z$59:$Z$505,Z82,$Y$59:$Y$505,"Оптимальный",$W$59:$W$505,"Рассчитан")=1,COUNTIFS($Z$59:$Z$505,Z82,$Y$59:$Y$505,"Агрессивный",$W$59:$W$505,"Рассчитан")=1),"Да","Нет")))</x:f>
      </x:c>
      <x:c r="AF82" s="5"/>
      <x:c r="AG82" s="5"/>
    </x:row>
    <x:row r="83">
      <x:c r="A83" s="80"/>
      <x:c r="B83" s="80"/>
      <x:c r="C83" s="83"/>
      <x:c r="D83" s="80"/>
      <x:c r="E83" s="80"/>
      <x:c r="F83" s="86"/>
      <x:c r="G83" s="80"/>
      <x:c r="H83" s="95"/>
      <x:c r="I83" s="95"/>
      <x:c r="J83" s="96"/>
      <x:c r="K83" s="97"/>
      <x:c r="L83" s="98"/>
      <x:c r="M83" s="98"/>
      <x:c r="N83" s="98"/>
      <x:c r="O83" s="98"/>
      <x:c r="P83" s="98"/>
      <x:c r="Q83" s="80"/>
      <x:c r="R83" s="80"/>
      <x:c r="S83" s="80"/>
      <x:c r="T83" s="80"/>
      <x:c r="U83" s="80"/>
      <x:c r="V83" s="89" t="str">
        <x:f>IF(A83="","",IF(U83="","",IF(U83="Выигрыш",J83-1,IF(U83="Полувыигрыш",(J83-1)/2,IF(U83="Возврат",0,IF(U83="Полупроигрыш",-0.5,IF(U83="Поражение",-1,"Проверить результат")))))))</x:f>
      </x:c>
      <x:c r="W83" s="80" t="str">
        <x:f>IF(A83="","",IF(U83="","Открыт",IF(ISNUMBER(V83),"Рассчитан","Проверить результат")))</x:f>
      </x:c>
      <x:c r="X83" s="98"/>
      <x:c r="Y83" s="5"/>
      <x:c r="Z83" s="5"/>
      <x:c r="AA83" s="5"/>
      <x:c r="AB83" s="118"/>
      <x:c r="AC83" s="119"/>
      <x:c r="AD83" s="119"/>
      <x:c r="AE83" s="5" t="str">
        <x:f>IF(A83="","",IF(Z83="","Нет ID пары",IF(AND(COUNTIFS($Z$59:$Z$505,Z83,$Y$59:$Y$505,"Оптимальный",$W$59:$W$505,"Рассчитан")=1,COUNTIFS($Z$59:$Z$505,Z83,$Y$59:$Y$505,"Агрессивный",$W$59:$W$505,"Рассчитан")=1),"Да","Нет")))</x:f>
      </x:c>
      <x:c r="AF83" s="5"/>
      <x:c r="AG83" s="5"/>
    </x:row>
    <x:row r="84">
      <x:c r="A84" s="80"/>
      <x:c r="B84" s="80"/>
      <x:c r="C84" s="83"/>
      <x:c r="D84" s="80"/>
      <x:c r="E84" s="80"/>
      <x:c r="F84" s="86"/>
      <x:c r="G84" s="80"/>
      <x:c r="H84" s="95"/>
      <x:c r="I84" s="95"/>
      <x:c r="J84" s="96"/>
      <x:c r="K84" s="97"/>
      <x:c r="L84" s="98"/>
      <x:c r="M84" s="98"/>
      <x:c r="N84" s="98"/>
      <x:c r="O84" s="98"/>
      <x:c r="P84" s="98"/>
      <x:c r="Q84" s="80"/>
      <x:c r="R84" s="80"/>
      <x:c r="S84" s="80"/>
      <x:c r="T84" s="80"/>
      <x:c r="U84" s="80"/>
      <x:c r="V84" s="89" t="str">
        <x:f>IF(A84="","",IF(U84="","",IF(U84="Выигрыш",J84-1,IF(U84="Полувыигрыш",(J84-1)/2,IF(U84="Возврат",0,IF(U84="Полупроигрыш",-0.5,IF(U84="Поражение",-1,"Проверить результат")))))))</x:f>
      </x:c>
      <x:c r="W84" s="80" t="str">
        <x:f>IF(A84="","",IF(U84="","Открыт",IF(ISNUMBER(V84),"Рассчитан","Проверить результат")))</x:f>
      </x:c>
      <x:c r="X84" s="98"/>
      <x:c r="Y84" s="5"/>
      <x:c r="Z84" s="5"/>
      <x:c r="AA84" s="5"/>
      <x:c r="AB84" s="118"/>
      <x:c r="AC84" s="119"/>
      <x:c r="AD84" s="119"/>
      <x:c r="AE84" s="5" t="str">
        <x:f>IF(A84="","",IF(Z84="","Нет ID пары",IF(AND(COUNTIFS($Z$59:$Z$505,Z84,$Y$59:$Y$505,"Оптимальный",$W$59:$W$505,"Рассчитан")=1,COUNTIFS($Z$59:$Z$505,Z84,$Y$59:$Y$505,"Агрессивный",$W$59:$W$505,"Рассчитан")=1),"Да","Нет")))</x:f>
      </x:c>
      <x:c r="AF84" s="5"/>
      <x:c r="AG84" s="5"/>
    </x:row>
    <x:row r="85">
      <x:c r="A85" s="80"/>
      <x:c r="B85" s="80"/>
      <x:c r="C85" s="83"/>
      <x:c r="D85" s="80"/>
      <x:c r="E85" s="80"/>
      <x:c r="F85" s="86"/>
      <x:c r="G85" s="80"/>
      <x:c r="H85" s="95"/>
      <x:c r="I85" s="95"/>
      <x:c r="J85" s="96"/>
      <x:c r="K85" s="97"/>
      <x:c r="L85" s="98"/>
      <x:c r="M85" s="98"/>
      <x:c r="N85" s="98"/>
      <x:c r="O85" s="98"/>
      <x:c r="P85" s="98"/>
      <x:c r="Q85" s="80"/>
      <x:c r="R85" s="80"/>
      <x:c r="S85" s="80"/>
      <x:c r="T85" s="80"/>
      <x:c r="U85" s="80"/>
      <x:c r="V85" s="89" t="str">
        <x:f>IF(A85="","",IF(U85="","",IF(U85="Выигрыш",J85-1,IF(U85="Полувыигрыш",(J85-1)/2,IF(U85="Возврат",0,IF(U85="Полупроигрыш",-0.5,IF(U85="Поражение",-1,"Проверить результат")))))))</x:f>
      </x:c>
      <x:c r="W85" s="80" t="str">
        <x:f>IF(A85="","",IF(U85="","Открыт",IF(ISNUMBER(V85),"Рассчитан","Проверить результат")))</x:f>
      </x:c>
      <x:c r="X85" s="98"/>
      <x:c r="Y85" s="5"/>
      <x:c r="Z85" s="5"/>
      <x:c r="AA85" s="5"/>
      <x:c r="AB85" s="118"/>
      <x:c r="AC85" s="119"/>
      <x:c r="AD85" s="119"/>
      <x:c r="AE85" s="5" t="str">
        <x:f>IF(A85="","",IF(Z85="","Нет ID пары",IF(AND(COUNTIFS($Z$59:$Z$505,Z85,$Y$59:$Y$505,"Оптимальный",$W$59:$W$505,"Рассчитан")=1,COUNTIFS($Z$59:$Z$505,Z85,$Y$59:$Y$505,"Агрессивный",$W$59:$W$505,"Рассчитан")=1),"Да","Нет")))</x:f>
      </x:c>
      <x:c r="AF85" s="5"/>
      <x:c r="AG85" s="5"/>
    </x:row>
    <x:row r="86">
      <x:c r="A86" s="80"/>
      <x:c r="B86" s="80"/>
      <x:c r="C86" s="83"/>
      <x:c r="D86" s="80"/>
      <x:c r="E86" s="80"/>
      <x:c r="F86" s="86"/>
      <x:c r="G86" s="80"/>
      <x:c r="H86" s="95"/>
      <x:c r="I86" s="95"/>
      <x:c r="J86" s="96"/>
      <x:c r="K86" s="97"/>
      <x:c r="L86" s="98"/>
      <x:c r="M86" s="98"/>
      <x:c r="N86" s="98"/>
      <x:c r="O86" s="98"/>
      <x:c r="P86" s="98"/>
      <x:c r="Q86" s="80"/>
      <x:c r="R86" s="80"/>
      <x:c r="S86" s="80"/>
      <x:c r="T86" s="80"/>
      <x:c r="U86" s="80"/>
      <x:c r="V86" s="89" t="str">
        <x:f>IF(A86="","",IF(U86="","",IF(U86="Выигрыш",J86-1,IF(U86="Полувыигрыш",(J86-1)/2,IF(U86="Возврат",0,IF(U86="Полупроигрыш",-0.5,IF(U86="Поражение",-1,"Проверить результат")))))))</x:f>
      </x:c>
      <x:c r="W86" s="80" t="str">
        <x:f>IF(A86="","",IF(U86="","Открыт",IF(ISNUMBER(V86),"Рассчитан","Проверить результат")))</x:f>
      </x:c>
      <x:c r="X86" s="98"/>
      <x:c r="Y86" s="5"/>
      <x:c r="Z86" s="5"/>
      <x:c r="AA86" s="5"/>
      <x:c r="AB86" s="118"/>
      <x:c r="AC86" s="119"/>
      <x:c r="AD86" s="119"/>
      <x:c r="AE86" s="5" t="str">
        <x:f>IF(A86="","",IF(Z86="","Нет ID пары",IF(AND(COUNTIFS($Z$59:$Z$505,Z86,$Y$59:$Y$505,"Оптимальный",$W$59:$W$505,"Рассчитан")=1,COUNTIFS($Z$59:$Z$505,Z86,$Y$59:$Y$505,"Агрессивный",$W$59:$W$505,"Рассчитан")=1),"Да","Нет")))</x:f>
      </x:c>
      <x:c r="AF86" s="5"/>
      <x:c r="AG86" s="5"/>
    </x:row>
    <x:row r="87">
      <x:c r="A87" s="80"/>
      <x:c r="B87" s="80"/>
      <x:c r="C87" s="83"/>
      <x:c r="D87" s="80"/>
      <x:c r="E87" s="80"/>
      <x:c r="F87" s="86"/>
      <x:c r="G87" s="80"/>
      <x:c r="H87" s="95"/>
      <x:c r="I87" s="95"/>
      <x:c r="J87" s="96"/>
      <x:c r="K87" s="97"/>
      <x:c r="L87" s="98"/>
      <x:c r="M87" s="98"/>
      <x:c r="N87" s="98"/>
      <x:c r="O87" s="98"/>
      <x:c r="P87" s="98"/>
      <x:c r="Q87" s="80"/>
      <x:c r="R87" s="80"/>
      <x:c r="S87" s="80"/>
      <x:c r="T87" s="80"/>
      <x:c r="U87" s="80"/>
      <x:c r="V87" s="89" t="str">
        <x:f>IF(A87="","",IF(U87="","",IF(U87="Выигрыш",J87-1,IF(U87="Полувыигрыш",(J87-1)/2,IF(U87="Возврат",0,IF(U87="Полупроигрыш",-0.5,IF(U87="Поражение",-1,"Проверить результат")))))))</x:f>
      </x:c>
      <x:c r="W87" s="80" t="str">
        <x:f>IF(A87="","",IF(U87="","Открыт",IF(ISNUMBER(V87),"Рассчитан","Проверить результат")))</x:f>
      </x:c>
      <x:c r="X87" s="98"/>
      <x:c r="Y87" s="5"/>
      <x:c r="Z87" s="5"/>
      <x:c r="AA87" s="5"/>
      <x:c r="AB87" s="118"/>
      <x:c r="AC87" s="119"/>
      <x:c r="AD87" s="119"/>
      <x:c r="AE87" s="5" t="str">
        <x:f>IF(A87="","",IF(Z87="","Нет ID пары",IF(AND(COUNTIFS($Z$59:$Z$505,Z87,$Y$59:$Y$505,"Оптимальный",$W$59:$W$505,"Рассчитан")=1,COUNTIFS($Z$59:$Z$505,Z87,$Y$59:$Y$505,"Агрессивный",$W$59:$W$505,"Рассчитан")=1),"Да","Нет")))</x:f>
      </x:c>
      <x:c r="AF87" s="5"/>
      <x:c r="AG87" s="5"/>
    </x:row>
    <x:row r="88">
      <x:c r="A88" s="80"/>
      <x:c r="B88" s="80"/>
      <x:c r="C88" s="83"/>
      <x:c r="D88" s="80"/>
      <x:c r="E88" s="80"/>
      <x:c r="F88" s="86"/>
      <x:c r="G88" s="80"/>
      <x:c r="H88" s="95"/>
      <x:c r="I88" s="95"/>
      <x:c r="J88" s="96"/>
      <x:c r="K88" s="97"/>
      <x:c r="L88" s="98"/>
      <x:c r="M88" s="98"/>
      <x:c r="N88" s="98"/>
      <x:c r="O88" s="98"/>
      <x:c r="P88" s="98"/>
      <x:c r="Q88" s="80"/>
      <x:c r="R88" s="80"/>
      <x:c r="S88" s="80"/>
      <x:c r="T88" s="80"/>
      <x:c r="U88" s="80"/>
      <x:c r="V88" s="89" t="str">
        <x:f>IF(A88="","",IF(U88="","",IF(U88="Выигрыш",J88-1,IF(U88="Полувыигрыш",(J88-1)/2,IF(U88="Возврат",0,IF(U88="Полупроигрыш",-0.5,IF(U88="Поражение",-1,"Проверить результат")))))))</x:f>
      </x:c>
      <x:c r="W88" s="80" t="str">
        <x:f>IF(A88="","",IF(U88="","Открыт",IF(ISNUMBER(V88),"Рассчитан","Проверить результат")))</x:f>
      </x:c>
      <x:c r="X88" s="98"/>
      <x:c r="Y88" s="5"/>
      <x:c r="Z88" s="5"/>
      <x:c r="AA88" s="5"/>
      <x:c r="AB88" s="118"/>
      <x:c r="AC88" s="119"/>
      <x:c r="AD88" s="119"/>
      <x:c r="AE88" s="5" t="str">
        <x:f>IF(A88="","",IF(Z88="","Нет ID пары",IF(AND(COUNTIFS($Z$59:$Z$505,Z88,$Y$59:$Y$505,"Оптимальный",$W$59:$W$505,"Рассчитан")=1,COUNTIFS($Z$59:$Z$505,Z88,$Y$59:$Y$505,"Агрессивный",$W$59:$W$505,"Рассчитан")=1),"Да","Нет")))</x:f>
      </x:c>
      <x:c r="AF88" s="5"/>
      <x:c r="AG88" s="5"/>
    </x:row>
    <x:row r="89">
      <x:c r="A89" s="80"/>
      <x:c r="B89" s="80"/>
      <x:c r="C89" s="83"/>
      <x:c r="D89" s="80"/>
      <x:c r="E89" s="80"/>
      <x:c r="F89" s="86"/>
      <x:c r="G89" s="80"/>
      <x:c r="H89" s="95"/>
      <x:c r="I89" s="95"/>
      <x:c r="J89" s="96"/>
      <x:c r="K89" s="97"/>
      <x:c r="L89" s="98"/>
      <x:c r="M89" s="98"/>
      <x:c r="N89" s="98"/>
      <x:c r="O89" s="98"/>
      <x:c r="P89" s="98"/>
      <x:c r="Q89" s="80"/>
      <x:c r="R89" s="80"/>
      <x:c r="S89" s="80"/>
      <x:c r="T89" s="80"/>
      <x:c r="U89" s="80"/>
      <x:c r="V89" s="89" t="str">
        <x:f>IF(A89="","",IF(U89="","",IF(U89="Выигрыш",J89-1,IF(U89="Полувыигрыш",(J89-1)/2,IF(U89="Возврат",0,IF(U89="Полупроигрыш",-0.5,IF(U89="Поражение",-1,"Проверить результат")))))))</x:f>
      </x:c>
      <x:c r="W89" s="80" t="str">
        <x:f>IF(A89="","",IF(U89="","Открыт",IF(ISNUMBER(V89),"Рассчитан","Проверить результат")))</x:f>
      </x:c>
      <x:c r="X89" s="98"/>
      <x:c r="Y89" s="5"/>
      <x:c r="Z89" s="5"/>
      <x:c r="AA89" s="5"/>
      <x:c r="AB89" s="118"/>
      <x:c r="AC89" s="119"/>
      <x:c r="AD89" s="119"/>
      <x:c r="AE89" s="5" t="str">
        <x:f>IF(A89="","",IF(Z89="","Нет ID пары",IF(AND(COUNTIFS($Z$59:$Z$505,Z89,$Y$59:$Y$505,"Оптимальный",$W$59:$W$505,"Рассчитан")=1,COUNTIFS($Z$59:$Z$505,Z89,$Y$59:$Y$505,"Агрессивный",$W$59:$W$505,"Рассчитан")=1),"Да","Нет")))</x:f>
      </x:c>
      <x:c r="AF89" s="5"/>
      <x:c r="AG89" s="5"/>
    </x:row>
    <x:row r="90">
      <x:c r="A90" s="80"/>
      <x:c r="B90" s="80"/>
      <x:c r="C90" s="83"/>
      <x:c r="D90" s="80"/>
      <x:c r="E90" s="80"/>
      <x:c r="F90" s="86"/>
      <x:c r="G90" s="80"/>
      <x:c r="H90" s="95"/>
      <x:c r="I90" s="95"/>
      <x:c r="J90" s="96"/>
      <x:c r="K90" s="97"/>
      <x:c r="L90" s="98"/>
      <x:c r="M90" s="98"/>
      <x:c r="N90" s="98"/>
      <x:c r="O90" s="98"/>
      <x:c r="P90" s="98"/>
      <x:c r="Q90" s="80"/>
      <x:c r="R90" s="80"/>
      <x:c r="S90" s="80"/>
      <x:c r="T90" s="80"/>
      <x:c r="U90" s="80"/>
      <x:c r="V90" s="89" t="str">
        <x:f>IF(A90="","",IF(U90="","",IF(U90="Выигрыш",J90-1,IF(U90="Полувыигрыш",(J90-1)/2,IF(U90="Возврат",0,IF(U90="Полупроигрыш",-0.5,IF(U90="Поражение",-1,"Проверить результат")))))))</x:f>
      </x:c>
      <x:c r="W90" s="80" t="str">
        <x:f>IF(A90="","",IF(U90="","Открыт",IF(ISNUMBER(V90),"Рассчитан","Проверить результат")))</x:f>
      </x:c>
      <x:c r="X90" s="98"/>
      <x:c r="Y90" s="5"/>
      <x:c r="Z90" s="5"/>
      <x:c r="AA90" s="5"/>
      <x:c r="AB90" s="118"/>
      <x:c r="AC90" s="119"/>
      <x:c r="AD90" s="119"/>
      <x:c r="AE90" s="5" t="str">
        <x:f>IF(A90="","",IF(Z90="","Нет ID пары",IF(AND(COUNTIFS($Z$59:$Z$505,Z90,$Y$59:$Y$505,"Оптимальный",$W$59:$W$505,"Рассчитан")=1,COUNTIFS($Z$59:$Z$505,Z90,$Y$59:$Y$505,"Агрессивный",$W$59:$W$505,"Рассчитан")=1),"Да","Нет")))</x:f>
      </x:c>
      <x:c r="AF90" s="5"/>
      <x:c r="AG90" s="5"/>
    </x:row>
    <x:row r="91">
      <x:c r="A91" s="80"/>
      <x:c r="B91" s="80"/>
      <x:c r="C91" s="83"/>
      <x:c r="D91" s="80"/>
      <x:c r="E91" s="80"/>
      <x:c r="F91" s="86"/>
      <x:c r="G91" s="80"/>
      <x:c r="H91" s="95"/>
      <x:c r="I91" s="95"/>
      <x:c r="J91" s="96"/>
      <x:c r="K91" s="97"/>
      <x:c r="L91" s="98"/>
      <x:c r="M91" s="98"/>
      <x:c r="N91" s="98"/>
      <x:c r="O91" s="98"/>
      <x:c r="P91" s="98"/>
      <x:c r="Q91" s="80"/>
      <x:c r="R91" s="80"/>
      <x:c r="S91" s="80"/>
      <x:c r="T91" s="80"/>
      <x:c r="U91" s="80"/>
      <x:c r="V91" s="89" t="str">
        <x:f>IF(A91="","",IF(U91="","",IF(U91="Выигрыш",J91-1,IF(U91="Полувыигрыш",(J91-1)/2,IF(U91="Возврат",0,IF(U91="Полупроигрыш",-0.5,IF(U91="Поражение",-1,"Проверить результат")))))))</x:f>
      </x:c>
      <x:c r="W91" s="80" t="str">
        <x:f>IF(A91="","",IF(U91="","Открыт",IF(ISNUMBER(V91),"Рассчитан","Проверить результат")))</x:f>
      </x:c>
      <x:c r="X91" s="98"/>
      <x:c r="Y91" s="5"/>
      <x:c r="Z91" s="5"/>
      <x:c r="AA91" s="5"/>
      <x:c r="AB91" s="118"/>
      <x:c r="AC91" s="119"/>
      <x:c r="AD91" s="119"/>
      <x:c r="AE91" s="5" t="str">
        <x:f>IF(A91="","",IF(Z91="","Нет ID пары",IF(AND(COUNTIFS($Z$59:$Z$505,Z91,$Y$59:$Y$505,"Оптимальный",$W$59:$W$505,"Рассчитан")=1,COUNTIFS($Z$59:$Z$505,Z91,$Y$59:$Y$505,"Агрессивный",$W$59:$W$505,"Рассчитан")=1),"Да","Нет")))</x:f>
      </x:c>
      <x:c r="AF91" s="5"/>
      <x:c r="AG91" s="5"/>
    </x:row>
    <x:row r="92">
      <x:c r="A92" s="80"/>
      <x:c r="B92" s="80"/>
      <x:c r="C92" s="83"/>
      <x:c r="D92" s="80"/>
      <x:c r="E92" s="80"/>
      <x:c r="F92" s="86"/>
      <x:c r="G92" s="80"/>
      <x:c r="H92" s="95"/>
      <x:c r="I92" s="95"/>
      <x:c r="J92" s="96"/>
      <x:c r="K92" s="97"/>
      <x:c r="L92" s="98"/>
      <x:c r="M92" s="98"/>
      <x:c r="N92" s="98"/>
      <x:c r="O92" s="98"/>
      <x:c r="P92" s="98"/>
      <x:c r="Q92" s="80"/>
      <x:c r="R92" s="80"/>
      <x:c r="S92" s="80"/>
      <x:c r="T92" s="80"/>
      <x:c r="U92" s="80"/>
      <x:c r="V92" s="89" t="str">
        <x:f>IF(A92="","",IF(U92="","",IF(U92="Выигрыш",J92-1,IF(U92="Полувыигрыш",(J92-1)/2,IF(U92="Возврат",0,IF(U92="Полупроигрыш",-0.5,IF(U92="Поражение",-1,"Проверить результат")))))))</x:f>
      </x:c>
      <x:c r="W92" s="80" t="str">
        <x:f>IF(A92="","",IF(U92="","Открыт",IF(ISNUMBER(V92),"Рассчитан","Проверить результат")))</x:f>
      </x:c>
      <x:c r="X92" s="98"/>
      <x:c r="Y92" s="5"/>
      <x:c r="Z92" s="5"/>
      <x:c r="AA92" s="5"/>
      <x:c r="AB92" s="118"/>
      <x:c r="AC92" s="119"/>
      <x:c r="AD92" s="119"/>
      <x:c r="AE92" s="5" t="str">
        <x:f>IF(A92="","",IF(Z92="","Нет ID пары",IF(AND(COUNTIFS($Z$59:$Z$505,Z92,$Y$59:$Y$505,"Оптимальный",$W$59:$W$505,"Рассчитан")=1,COUNTIFS($Z$59:$Z$505,Z92,$Y$59:$Y$505,"Агрессивный",$W$59:$W$505,"Рассчитан")=1),"Да","Нет")))</x:f>
      </x:c>
      <x:c r="AF92" s="5"/>
      <x:c r="AG92" s="5"/>
    </x:row>
    <x:row r="93">
      <x:c r="A93" s="80"/>
      <x:c r="B93" s="80"/>
      <x:c r="C93" s="83"/>
      <x:c r="D93" s="80"/>
      <x:c r="E93" s="80"/>
      <x:c r="F93" s="86"/>
      <x:c r="G93" s="80"/>
      <x:c r="H93" s="95"/>
      <x:c r="I93" s="95"/>
      <x:c r="J93" s="96"/>
      <x:c r="K93" s="97"/>
      <x:c r="L93" s="98"/>
      <x:c r="M93" s="98"/>
      <x:c r="N93" s="98"/>
      <x:c r="O93" s="98"/>
      <x:c r="P93" s="98"/>
      <x:c r="Q93" s="80"/>
      <x:c r="R93" s="80"/>
      <x:c r="S93" s="80"/>
      <x:c r="T93" s="80"/>
      <x:c r="U93" s="80"/>
      <x:c r="V93" s="89" t="str">
        <x:f>IF(A93="","",IF(U93="","",IF(U93="Выигрыш",J93-1,IF(U93="Полувыигрыш",(J93-1)/2,IF(U93="Возврат",0,IF(U93="Полупроигрыш",-0.5,IF(U93="Поражение",-1,"Проверить результат")))))))</x:f>
      </x:c>
      <x:c r="W93" s="80" t="str">
        <x:f>IF(A93="","",IF(U93="","Открыт",IF(ISNUMBER(V93),"Рассчитан","Проверить результат")))</x:f>
      </x:c>
      <x:c r="X93" s="98"/>
      <x:c r="Y93" s="5"/>
      <x:c r="Z93" s="5"/>
      <x:c r="AA93" s="5"/>
      <x:c r="AB93" s="118"/>
      <x:c r="AC93" s="119"/>
      <x:c r="AD93" s="119"/>
      <x:c r="AE93" s="5" t="str">
        <x:f>IF(A93="","",IF(Z93="","Нет ID пары",IF(AND(COUNTIFS($Z$59:$Z$505,Z93,$Y$59:$Y$505,"Оптимальный",$W$59:$W$505,"Рассчитан")=1,COUNTIFS($Z$59:$Z$505,Z93,$Y$59:$Y$505,"Агрессивный",$W$59:$W$505,"Рассчитан")=1),"Да","Нет")))</x:f>
      </x:c>
      <x:c r="AF93" s="5"/>
      <x:c r="AG93" s="5"/>
    </x:row>
    <x:row r="94">
      <x:c r="A94" s="80"/>
      <x:c r="B94" s="80"/>
      <x:c r="C94" s="83"/>
      <x:c r="D94" s="80"/>
      <x:c r="E94" s="80"/>
      <x:c r="F94" s="86"/>
      <x:c r="G94" s="80"/>
      <x:c r="H94" s="95"/>
      <x:c r="I94" s="95"/>
      <x:c r="J94" s="96"/>
      <x:c r="K94" s="97"/>
      <x:c r="L94" s="98"/>
      <x:c r="M94" s="98"/>
      <x:c r="N94" s="98"/>
      <x:c r="O94" s="98"/>
      <x:c r="P94" s="98"/>
      <x:c r="Q94" s="80"/>
      <x:c r="R94" s="80"/>
      <x:c r="S94" s="80"/>
      <x:c r="T94" s="80"/>
      <x:c r="U94" s="80"/>
      <x:c r="V94" s="89" t="str">
        <x:f>IF(A94="","",IF(U94="","",IF(U94="Выигрыш",J94-1,IF(U94="Полувыигрыш",(J94-1)/2,IF(U94="Возврат",0,IF(U94="Полупроигрыш",-0.5,IF(U94="Поражение",-1,"Проверить результат")))))))</x:f>
      </x:c>
      <x:c r="W94" s="80" t="str">
        <x:f>IF(A94="","",IF(U94="","Открыт",IF(ISNUMBER(V94),"Рассчитан","Проверить результат")))</x:f>
      </x:c>
      <x:c r="X94" s="98"/>
      <x:c r="Y94" s="5"/>
      <x:c r="Z94" s="5"/>
      <x:c r="AA94" s="5"/>
      <x:c r="AB94" s="118"/>
      <x:c r="AC94" s="119"/>
      <x:c r="AD94" s="119"/>
      <x:c r="AE94" s="5" t="str">
        <x:f>IF(A94="","",IF(Z94="","Нет ID пары",IF(AND(COUNTIFS($Z$59:$Z$505,Z94,$Y$59:$Y$505,"Оптимальный",$W$59:$W$505,"Рассчитан")=1,COUNTIFS($Z$59:$Z$505,Z94,$Y$59:$Y$505,"Агрессивный",$W$59:$W$505,"Рассчитан")=1),"Да","Нет")))</x:f>
      </x:c>
      <x:c r="AF94" s="5"/>
      <x:c r="AG94" s="5"/>
    </x:row>
    <x:row r="95">
      <x:c r="A95" s="80"/>
      <x:c r="B95" s="80"/>
      <x:c r="C95" s="83"/>
      <x:c r="D95" s="80"/>
      <x:c r="E95" s="80"/>
      <x:c r="F95" s="86"/>
      <x:c r="G95" s="80"/>
      <x:c r="H95" s="95"/>
      <x:c r="I95" s="95"/>
      <x:c r="J95" s="96"/>
      <x:c r="K95" s="97"/>
      <x:c r="L95" s="98"/>
      <x:c r="M95" s="98"/>
      <x:c r="N95" s="98"/>
      <x:c r="O95" s="98"/>
      <x:c r="P95" s="98"/>
      <x:c r="Q95" s="80"/>
      <x:c r="R95" s="80"/>
      <x:c r="S95" s="80"/>
      <x:c r="T95" s="80"/>
      <x:c r="U95" s="80"/>
      <x:c r="V95" s="89" t="str">
        <x:f>IF(A95="","",IF(U95="","",IF(U95="Выигрыш",J95-1,IF(U95="Полувыигрыш",(J95-1)/2,IF(U95="Возврат",0,IF(U95="Полупроигрыш",-0.5,IF(U95="Поражение",-1,"Проверить результат")))))))</x:f>
      </x:c>
      <x:c r="W95" s="80" t="str">
        <x:f>IF(A95="","",IF(U95="","Открыт",IF(ISNUMBER(V95),"Рассчитан","Проверить результат")))</x:f>
      </x:c>
      <x:c r="X95" s="98"/>
      <x:c r="Y95" s="5"/>
      <x:c r="Z95" s="5"/>
      <x:c r="AA95" s="5"/>
      <x:c r="AB95" s="118"/>
      <x:c r="AC95" s="119"/>
      <x:c r="AD95" s="119"/>
      <x:c r="AE95" s="5" t="str">
        <x:f>IF(A95="","",IF(Z95="","Нет ID пары",IF(AND(COUNTIFS($Z$59:$Z$505,Z95,$Y$59:$Y$505,"Оптимальный",$W$59:$W$505,"Рассчитан")=1,COUNTIFS($Z$59:$Z$505,Z95,$Y$59:$Y$505,"Агрессивный",$W$59:$W$505,"Рассчитан")=1),"Да","Нет")))</x:f>
      </x:c>
      <x:c r="AF95" s="5"/>
      <x:c r="AG95" s="5"/>
    </x:row>
    <x:row r="96">
      <x:c r="A96" s="80"/>
      <x:c r="B96" s="80"/>
      <x:c r="C96" s="83"/>
      <x:c r="D96" s="80"/>
      <x:c r="E96" s="80"/>
      <x:c r="F96" s="86"/>
      <x:c r="G96" s="80"/>
      <x:c r="H96" s="95"/>
      <x:c r="I96" s="95"/>
      <x:c r="J96" s="96"/>
      <x:c r="K96" s="97"/>
      <x:c r="L96" s="98"/>
      <x:c r="M96" s="98"/>
      <x:c r="N96" s="98"/>
      <x:c r="O96" s="98"/>
      <x:c r="P96" s="98"/>
      <x:c r="Q96" s="80"/>
      <x:c r="R96" s="80"/>
      <x:c r="S96" s="80"/>
      <x:c r="T96" s="80"/>
      <x:c r="U96" s="80"/>
      <x:c r="V96" s="89" t="str">
        <x:f>IF(A96="","",IF(U96="","",IF(U96="Выигрыш",J96-1,IF(U96="Полувыигрыш",(J96-1)/2,IF(U96="Возврат",0,IF(U96="Полупроигрыш",-0.5,IF(U96="Поражение",-1,"Проверить результат")))))))</x:f>
      </x:c>
      <x:c r="W96" s="80" t="str">
        <x:f>IF(A96="","",IF(U96="","Открыт",IF(ISNUMBER(V96),"Рассчитан","Проверить результат")))</x:f>
      </x:c>
      <x:c r="X96" s="98"/>
      <x:c r="Y96" s="5"/>
      <x:c r="Z96" s="5"/>
      <x:c r="AA96" s="5"/>
      <x:c r="AB96" s="118"/>
      <x:c r="AC96" s="119"/>
      <x:c r="AD96" s="119"/>
      <x:c r="AE96" s="5" t="str">
        <x:f>IF(A96="","",IF(Z96="","Нет ID пары",IF(AND(COUNTIFS($Z$59:$Z$505,Z96,$Y$59:$Y$505,"Оптимальный",$W$59:$W$505,"Рассчитан")=1,COUNTIFS($Z$59:$Z$505,Z96,$Y$59:$Y$505,"Агрессивный",$W$59:$W$505,"Рассчитан")=1),"Да","Нет")))</x:f>
      </x:c>
      <x:c r="AF96" s="5"/>
      <x:c r="AG96" s="5"/>
    </x:row>
    <x:row r="97">
      <x:c r="A97" s="80"/>
      <x:c r="B97" s="80"/>
      <x:c r="C97" s="83"/>
      <x:c r="D97" s="80"/>
      <x:c r="E97" s="80"/>
      <x:c r="F97" s="86"/>
      <x:c r="G97" s="80"/>
      <x:c r="H97" s="95"/>
      <x:c r="I97" s="95"/>
      <x:c r="J97" s="96"/>
      <x:c r="K97" s="97"/>
      <x:c r="L97" s="98"/>
      <x:c r="M97" s="98"/>
      <x:c r="N97" s="98"/>
      <x:c r="O97" s="98"/>
      <x:c r="P97" s="98"/>
      <x:c r="Q97" s="80"/>
      <x:c r="R97" s="80"/>
      <x:c r="S97" s="80"/>
      <x:c r="T97" s="80"/>
      <x:c r="U97" s="80"/>
      <x:c r="V97" s="89" t="str">
        <x:f>IF(A97="","",IF(U97="","",IF(U97="Выигрыш",J97-1,IF(U97="Полувыигрыш",(J97-1)/2,IF(U97="Возврат",0,IF(U97="Полупроигрыш",-0.5,IF(U97="Поражение",-1,"Проверить результат")))))))</x:f>
      </x:c>
      <x:c r="W97" s="80" t="str">
        <x:f>IF(A97="","",IF(U97="","Открыт",IF(ISNUMBER(V97),"Рассчитан","Проверить результат")))</x:f>
      </x:c>
      <x:c r="X97" s="98"/>
      <x:c r="Y97" s="5"/>
      <x:c r="Z97" s="5"/>
      <x:c r="AA97" s="5"/>
      <x:c r="AB97" s="118"/>
      <x:c r="AC97" s="119"/>
      <x:c r="AD97" s="119"/>
      <x:c r="AE97" s="5" t="str">
        <x:f>IF(A97="","",IF(Z97="","Нет ID пары",IF(AND(COUNTIFS($Z$59:$Z$505,Z97,$Y$59:$Y$505,"Оптимальный",$W$59:$W$505,"Рассчитан")=1,COUNTIFS($Z$59:$Z$505,Z97,$Y$59:$Y$505,"Агрессивный",$W$59:$W$505,"Рассчитан")=1),"Да","Нет")))</x:f>
      </x:c>
      <x:c r="AF97" s="5"/>
      <x:c r="AG97" s="5"/>
    </x:row>
    <x:row r="98">
      <x:c r="A98" s="80"/>
      <x:c r="B98" s="80"/>
      <x:c r="C98" s="83"/>
      <x:c r="D98" s="80"/>
      <x:c r="E98" s="80"/>
      <x:c r="F98" s="86"/>
      <x:c r="G98" s="80"/>
      <x:c r="H98" s="95"/>
      <x:c r="I98" s="95"/>
      <x:c r="J98" s="96"/>
      <x:c r="K98" s="97"/>
      <x:c r="L98" s="98"/>
      <x:c r="M98" s="98"/>
      <x:c r="N98" s="98"/>
      <x:c r="O98" s="98"/>
      <x:c r="P98" s="98"/>
      <x:c r="Q98" s="80"/>
      <x:c r="R98" s="80"/>
      <x:c r="S98" s="80"/>
      <x:c r="T98" s="80"/>
      <x:c r="U98" s="80"/>
      <x:c r="V98" s="89" t="str">
        <x:f>IF(A98="","",IF(U98="","",IF(U98="Выигрыш",J98-1,IF(U98="Полувыигрыш",(J98-1)/2,IF(U98="Возврат",0,IF(U98="Полупроигрыш",-0.5,IF(U98="Поражение",-1,"Проверить результат")))))))</x:f>
      </x:c>
      <x:c r="W98" s="80" t="str">
        <x:f>IF(A98="","",IF(U98="","Открыт",IF(ISNUMBER(V98),"Рассчитан","Проверить результат")))</x:f>
      </x:c>
      <x:c r="X98" s="98"/>
      <x:c r="Y98" s="5"/>
      <x:c r="Z98" s="5"/>
      <x:c r="AA98" s="5"/>
      <x:c r="AB98" s="118"/>
      <x:c r="AC98" s="119"/>
      <x:c r="AD98" s="119"/>
      <x:c r="AE98" s="5" t="str">
        <x:f>IF(A98="","",IF(Z98="","Нет ID пары",IF(AND(COUNTIFS($Z$59:$Z$505,Z98,$Y$59:$Y$505,"Оптимальный",$W$59:$W$505,"Рассчитан")=1,COUNTIFS($Z$59:$Z$505,Z98,$Y$59:$Y$505,"Агрессивный",$W$59:$W$505,"Рассчитан")=1),"Да","Нет")))</x:f>
      </x:c>
      <x:c r="AF98" s="5"/>
      <x:c r="AG98" s="5"/>
    </x:row>
    <x:row r="99">
      <x:c r="A99" s="80"/>
      <x:c r="B99" s="80"/>
      <x:c r="C99" s="83"/>
      <x:c r="D99" s="80"/>
      <x:c r="E99" s="80"/>
      <x:c r="F99" s="86"/>
      <x:c r="G99" s="80"/>
      <x:c r="H99" s="95"/>
      <x:c r="I99" s="95"/>
      <x:c r="J99" s="96"/>
      <x:c r="K99" s="97"/>
      <x:c r="L99" s="98"/>
      <x:c r="M99" s="98"/>
      <x:c r="N99" s="98"/>
      <x:c r="O99" s="98"/>
      <x:c r="P99" s="98"/>
      <x:c r="Q99" s="80"/>
      <x:c r="R99" s="80"/>
      <x:c r="S99" s="80"/>
      <x:c r="T99" s="80"/>
      <x:c r="U99" s="80"/>
      <x:c r="V99" s="89" t="str">
        <x:f>IF(A99="","",IF(U99="","",IF(U99="Выигрыш",J99-1,IF(U99="Полувыигрыш",(J99-1)/2,IF(U99="Возврат",0,IF(U99="Полупроигрыш",-0.5,IF(U99="Поражение",-1,"Проверить результат")))))))</x:f>
      </x:c>
      <x:c r="W99" s="80" t="str">
        <x:f>IF(A99="","",IF(U99="","Открыт",IF(ISNUMBER(V99),"Рассчитан","Проверить результат")))</x:f>
      </x:c>
      <x:c r="X99" s="98"/>
      <x:c r="Y99" s="5"/>
      <x:c r="Z99" s="5"/>
      <x:c r="AA99" s="5"/>
      <x:c r="AB99" s="118"/>
      <x:c r="AC99" s="119"/>
      <x:c r="AD99" s="119"/>
      <x:c r="AE99" s="5" t="str">
        <x:f>IF(A99="","",IF(Z99="","Нет ID пары",IF(AND(COUNTIFS($Z$59:$Z$505,Z99,$Y$59:$Y$505,"Оптимальный",$W$59:$W$505,"Рассчитан")=1,COUNTIFS($Z$59:$Z$505,Z99,$Y$59:$Y$505,"Агрессивный",$W$59:$W$505,"Рассчитан")=1),"Да","Нет")))</x:f>
      </x:c>
      <x:c r="AF99" s="5"/>
      <x:c r="AG99" s="5"/>
    </x:row>
    <x:row r="100">
      <x:c r="A100" s="80"/>
      <x:c r="B100" s="80"/>
      <x:c r="C100" s="83"/>
      <x:c r="D100" s="80"/>
      <x:c r="E100" s="80"/>
      <x:c r="F100" s="86"/>
      <x:c r="G100" s="80"/>
      <x:c r="H100" s="95"/>
      <x:c r="I100" s="95"/>
      <x:c r="J100" s="96"/>
      <x:c r="K100" s="97"/>
      <x:c r="L100" s="98"/>
      <x:c r="M100" s="98"/>
      <x:c r="N100" s="98"/>
      <x:c r="O100" s="98"/>
      <x:c r="P100" s="98"/>
      <x:c r="Q100" s="80"/>
      <x:c r="R100" s="80"/>
      <x:c r="S100" s="80"/>
      <x:c r="T100" s="80"/>
      <x:c r="U100" s="80"/>
      <x:c r="V100" s="89" t="str">
        <x:f>IF(A100="","",IF(U100="","",IF(U100="Выигрыш",J100-1,IF(U100="Полувыигрыш",(J100-1)/2,IF(U100="Возврат",0,IF(U100="Полупроигрыш",-0.5,IF(U100="Поражение",-1,"Проверить результат")))))))</x:f>
      </x:c>
      <x:c r="W100" s="80" t="str">
        <x:f>IF(A100="","",IF(U100="","Открыт",IF(ISNUMBER(V100),"Рассчитан","Проверить результат")))</x:f>
      </x:c>
      <x:c r="X100" s="98"/>
      <x:c r="Y100" s="5"/>
      <x:c r="Z100" s="5"/>
      <x:c r="AA100" s="5"/>
      <x:c r="AB100" s="118"/>
      <x:c r="AC100" s="119"/>
      <x:c r="AD100" s="119"/>
      <x:c r="AE100" s="5" t="str">
        <x:f>IF(A100="","",IF(Z100="","Нет ID пары",IF(AND(COUNTIFS($Z$59:$Z$505,Z100,$Y$59:$Y$505,"Оптимальный",$W$59:$W$505,"Рассчитан")=1,COUNTIFS($Z$59:$Z$505,Z100,$Y$59:$Y$505,"Агрессивный",$W$59:$W$505,"Рассчитан")=1),"Да","Нет")))</x:f>
      </x:c>
      <x:c r="AF100" s="5"/>
      <x:c r="AG100" s="5"/>
    </x:row>
    <x:row r="101">
      <x:c r="A101" s="80"/>
      <x:c r="B101" s="80"/>
      <x:c r="C101" s="83"/>
      <x:c r="D101" s="80"/>
      <x:c r="E101" s="80"/>
      <x:c r="F101" s="86"/>
      <x:c r="G101" s="80"/>
      <x:c r="H101" s="95"/>
      <x:c r="I101" s="95"/>
      <x:c r="J101" s="96"/>
      <x:c r="K101" s="97"/>
      <x:c r="L101" s="98"/>
      <x:c r="M101" s="98"/>
      <x:c r="N101" s="98"/>
      <x:c r="O101" s="98"/>
      <x:c r="P101" s="98"/>
      <x:c r="Q101" s="80"/>
      <x:c r="R101" s="80"/>
      <x:c r="S101" s="80"/>
      <x:c r="T101" s="80"/>
      <x:c r="U101" s="80"/>
      <x:c r="V101" s="89" t="str">
        <x:f>IF(A101="","",IF(U101="","",IF(U101="Выигрыш",J101-1,IF(U101="Полувыигрыш",(J101-1)/2,IF(U101="Возврат",0,IF(U101="Полупроигрыш",-0.5,IF(U101="Поражение",-1,"Проверить результат")))))))</x:f>
      </x:c>
      <x:c r="W101" s="80" t="str">
        <x:f>IF(A101="","",IF(U101="","Открыт",IF(ISNUMBER(V101),"Рассчитан","Проверить результат")))</x:f>
      </x:c>
      <x:c r="X101" s="98"/>
      <x:c r="Y101" s="5"/>
      <x:c r="Z101" s="5"/>
      <x:c r="AA101" s="5"/>
      <x:c r="AB101" s="118"/>
      <x:c r="AC101" s="119"/>
      <x:c r="AD101" s="119"/>
      <x:c r="AE101" s="5" t="str">
        <x:f>IF(A101="","",IF(Z101="","Нет ID пары",IF(AND(COUNTIFS($Z$59:$Z$505,Z101,$Y$59:$Y$505,"Оптимальный",$W$59:$W$505,"Рассчитан")=1,COUNTIFS($Z$59:$Z$505,Z101,$Y$59:$Y$505,"Агрессивный",$W$59:$W$505,"Рассчитан")=1),"Да","Нет")))</x:f>
      </x:c>
      <x:c r="AF101" s="5"/>
      <x:c r="AG101" s="5"/>
    </x:row>
    <x:row r="102">
      <x:c r="A102" s="80"/>
      <x:c r="B102" s="80"/>
      <x:c r="C102" s="83"/>
      <x:c r="D102" s="80"/>
      <x:c r="E102" s="80"/>
      <x:c r="F102" s="86"/>
      <x:c r="G102" s="80"/>
      <x:c r="H102" s="95"/>
      <x:c r="I102" s="95"/>
      <x:c r="J102" s="96"/>
      <x:c r="K102" s="97"/>
      <x:c r="L102" s="98"/>
      <x:c r="M102" s="98"/>
      <x:c r="N102" s="98"/>
      <x:c r="O102" s="98"/>
      <x:c r="P102" s="98"/>
      <x:c r="Q102" s="80"/>
      <x:c r="R102" s="80"/>
      <x:c r="S102" s="80"/>
      <x:c r="T102" s="80"/>
      <x:c r="U102" s="80"/>
      <x:c r="V102" s="89" t="str">
        <x:f>IF(A102="","",IF(U102="","",IF(U102="Выигрыш",J102-1,IF(U102="Полувыигрыш",(J102-1)/2,IF(U102="Возврат",0,IF(U102="Полупроигрыш",-0.5,IF(U102="Поражение",-1,"Проверить результат")))))))</x:f>
      </x:c>
      <x:c r="W102" s="80" t="str">
        <x:f>IF(A102="","",IF(U102="","Открыт",IF(ISNUMBER(V102),"Рассчитан","Проверить результат")))</x:f>
      </x:c>
      <x:c r="X102" s="98"/>
      <x:c r="Y102" s="5"/>
      <x:c r="Z102" s="5"/>
      <x:c r="AA102" s="5"/>
      <x:c r="AB102" s="118"/>
      <x:c r="AC102" s="119"/>
      <x:c r="AD102" s="119"/>
      <x:c r="AE102" s="5" t="str">
        <x:f>IF(A102="","",IF(Z102="","Нет ID пары",IF(AND(COUNTIFS($Z$59:$Z$505,Z102,$Y$59:$Y$505,"Оптимальный",$W$59:$W$505,"Рассчитан")=1,COUNTIFS($Z$59:$Z$505,Z102,$Y$59:$Y$505,"Агрессивный",$W$59:$W$505,"Рассчитан")=1),"Да","Нет")))</x:f>
      </x:c>
      <x:c r="AF102" s="5"/>
      <x:c r="AG102" s="5"/>
    </x:row>
    <x:row r="103">
      <x:c r="A103" s="80"/>
      <x:c r="B103" s="80"/>
      <x:c r="C103" s="83"/>
      <x:c r="D103" s="80"/>
      <x:c r="E103" s="80"/>
      <x:c r="F103" s="86"/>
      <x:c r="G103" s="80"/>
      <x:c r="H103" s="95"/>
      <x:c r="I103" s="95"/>
      <x:c r="J103" s="96"/>
      <x:c r="K103" s="97"/>
      <x:c r="L103" s="98"/>
      <x:c r="M103" s="98"/>
      <x:c r="N103" s="98"/>
      <x:c r="O103" s="98"/>
      <x:c r="P103" s="98"/>
      <x:c r="Q103" s="80"/>
      <x:c r="R103" s="80"/>
      <x:c r="S103" s="80"/>
      <x:c r="T103" s="80"/>
      <x:c r="U103" s="80"/>
      <x:c r="V103" s="89" t="str">
        <x:f>IF(A103="","",IF(U103="","",IF(U103="Выигрыш",J103-1,IF(U103="Полувыигрыш",(J103-1)/2,IF(U103="Возврат",0,IF(U103="Полупроигрыш",-0.5,IF(U103="Поражение",-1,"Проверить результат")))))))</x:f>
      </x:c>
      <x:c r="W103" s="80" t="str">
        <x:f>IF(A103="","",IF(U103="","Открыт",IF(ISNUMBER(V103),"Рассчитан","Проверить результат")))</x:f>
      </x:c>
      <x:c r="X103" s="98"/>
      <x:c r="Y103" s="5"/>
      <x:c r="Z103" s="5"/>
      <x:c r="AA103" s="5"/>
      <x:c r="AB103" s="118"/>
      <x:c r="AC103" s="119"/>
      <x:c r="AD103" s="119"/>
      <x:c r="AE103" s="5" t="str">
        <x:f>IF(A103="","",IF(Z103="","Нет ID пары",IF(AND(COUNTIFS($Z$59:$Z$505,Z103,$Y$59:$Y$505,"Оптимальный",$W$59:$W$505,"Рассчитан")=1,COUNTIFS($Z$59:$Z$505,Z103,$Y$59:$Y$505,"Агрессивный",$W$59:$W$505,"Рассчитан")=1),"Да","Нет")))</x:f>
      </x:c>
      <x:c r="AF103" s="5"/>
      <x:c r="AG103" s="5"/>
    </x:row>
    <x:row r="104">
      <x:c r="A104" s="80"/>
      <x:c r="B104" s="80"/>
      <x:c r="C104" s="83"/>
      <x:c r="D104" s="80"/>
      <x:c r="E104" s="80"/>
      <x:c r="F104" s="86"/>
      <x:c r="G104" s="80"/>
      <x:c r="H104" s="95"/>
      <x:c r="I104" s="95"/>
      <x:c r="J104" s="96"/>
      <x:c r="K104" s="97"/>
      <x:c r="L104" s="98"/>
      <x:c r="M104" s="98"/>
      <x:c r="N104" s="98"/>
      <x:c r="O104" s="98"/>
      <x:c r="P104" s="98"/>
      <x:c r="Q104" s="80"/>
      <x:c r="R104" s="80"/>
      <x:c r="S104" s="80"/>
      <x:c r="T104" s="80"/>
      <x:c r="U104" s="80"/>
      <x:c r="V104" s="89" t="str">
        <x:f>IF(A104="","",IF(U104="","",IF(U104="Выигрыш",J104-1,IF(U104="Полувыигрыш",(J104-1)/2,IF(U104="Возврат",0,IF(U104="Полупроигрыш",-0.5,IF(U104="Поражение",-1,"Проверить результат")))))))</x:f>
      </x:c>
      <x:c r="W104" s="80" t="str">
        <x:f>IF(A104="","",IF(U104="","Открыт",IF(ISNUMBER(V104),"Рассчитан","Проверить результат")))</x:f>
      </x:c>
      <x:c r="X104" s="98"/>
      <x:c r="Y104" s="5"/>
      <x:c r="Z104" s="5"/>
      <x:c r="AA104" s="5"/>
      <x:c r="AB104" s="118"/>
      <x:c r="AC104" s="119"/>
      <x:c r="AD104" s="119"/>
      <x:c r="AE104" s="5" t="str">
        <x:f>IF(A104="","",IF(Z104="","Нет ID пары",IF(AND(COUNTIFS($Z$59:$Z$505,Z104,$Y$59:$Y$505,"Оптимальный",$W$59:$W$505,"Рассчитан")=1,COUNTIFS($Z$59:$Z$505,Z104,$Y$59:$Y$505,"Агрессивный",$W$59:$W$505,"Рассчитан")=1),"Да","Нет")))</x:f>
      </x:c>
      <x:c r="AF104" s="5"/>
      <x:c r="AG104" s="5"/>
    </x:row>
    <x:row r="105">
      <x:c r="A105" s="80"/>
      <x:c r="B105" s="80"/>
      <x:c r="C105" s="83"/>
      <x:c r="D105" s="80"/>
      <x:c r="E105" s="80"/>
      <x:c r="F105" s="86"/>
      <x:c r="G105" s="80"/>
      <x:c r="H105" s="95"/>
      <x:c r="I105" s="95"/>
      <x:c r="J105" s="96"/>
      <x:c r="K105" s="97"/>
      <x:c r="L105" s="98"/>
      <x:c r="M105" s="98"/>
      <x:c r="N105" s="98"/>
      <x:c r="O105" s="98"/>
      <x:c r="P105" s="98"/>
      <x:c r="Q105" s="80"/>
      <x:c r="R105" s="80"/>
      <x:c r="S105" s="80"/>
      <x:c r="T105" s="80"/>
      <x:c r="U105" s="80"/>
      <x:c r="V105" s="89" t="str">
        <x:f>IF(A105="","",IF(U105="","",IF(U105="Выигрыш",J105-1,IF(U105="Полувыигрыш",(J105-1)/2,IF(U105="Возврат",0,IF(U105="Полупроигрыш",-0.5,IF(U105="Поражение",-1,"Проверить результат")))))))</x:f>
      </x:c>
      <x:c r="W105" s="80" t="str">
        <x:f>IF(A105="","",IF(U105="","Открыт",IF(ISNUMBER(V105),"Рассчитан","Проверить результат")))</x:f>
      </x:c>
      <x:c r="X105" s="98"/>
      <x:c r="Y105" s="5"/>
      <x:c r="Z105" s="5"/>
      <x:c r="AA105" s="5"/>
      <x:c r="AB105" s="118"/>
      <x:c r="AC105" s="119"/>
      <x:c r="AD105" s="119"/>
      <x:c r="AE105" s="5" t="str">
        <x:f>IF(A105="","",IF(Z105="","Нет ID пары",IF(AND(COUNTIFS($Z$59:$Z$505,Z105,$Y$59:$Y$505,"Оптимальный",$W$59:$W$505,"Рассчитан")=1,COUNTIFS($Z$59:$Z$505,Z105,$Y$59:$Y$505,"Агрессивный",$W$59:$W$505,"Рассчитан")=1),"Да","Нет")))</x:f>
      </x:c>
      <x:c r="AF105" s="5"/>
      <x:c r="AG105" s="5"/>
    </x:row>
    <x:row r="106">
      <x:c r="A106" s="80"/>
      <x:c r="B106" s="80"/>
      <x:c r="C106" s="83"/>
      <x:c r="D106" s="80"/>
      <x:c r="E106" s="80"/>
      <x:c r="F106" s="86"/>
      <x:c r="G106" s="80"/>
      <x:c r="H106" s="95"/>
      <x:c r="I106" s="95"/>
      <x:c r="J106" s="96"/>
      <x:c r="K106" s="97"/>
      <x:c r="L106" s="98"/>
      <x:c r="M106" s="98"/>
      <x:c r="N106" s="98"/>
      <x:c r="O106" s="98"/>
      <x:c r="P106" s="98"/>
      <x:c r="Q106" s="80"/>
      <x:c r="R106" s="80"/>
      <x:c r="S106" s="80"/>
      <x:c r="T106" s="80"/>
      <x:c r="U106" s="80"/>
      <x:c r="V106" s="89" t="str">
        <x:f>IF(A106="","",IF(U106="","",IF(U106="Выигрыш",J106-1,IF(U106="Полувыигрыш",(J106-1)/2,IF(U106="Возврат",0,IF(U106="Полупроигрыш",-0.5,IF(U106="Поражение",-1,"Проверить результат")))))))</x:f>
      </x:c>
      <x:c r="W106" s="80" t="str">
        <x:f>IF(A106="","",IF(U106="","Открыт",IF(ISNUMBER(V106),"Рассчитан","Проверить результат")))</x:f>
      </x:c>
      <x:c r="X106" s="98"/>
      <x:c r="Y106" s="5"/>
      <x:c r="Z106" s="5"/>
      <x:c r="AA106" s="5"/>
      <x:c r="AB106" s="118"/>
      <x:c r="AC106" s="119"/>
      <x:c r="AD106" s="119"/>
      <x:c r="AE106" s="5" t="str">
        <x:f>IF(A106="","",IF(Z106="","Нет ID пары",IF(AND(COUNTIFS($Z$59:$Z$505,Z106,$Y$59:$Y$505,"Оптимальный",$W$59:$W$505,"Рассчитан")=1,COUNTIFS($Z$59:$Z$505,Z106,$Y$59:$Y$505,"Агрессивный",$W$59:$W$505,"Рассчитан")=1),"Да","Нет")))</x:f>
      </x:c>
      <x:c r="AF106" s="5"/>
      <x:c r="AG106" s="5"/>
    </x:row>
    <x:row r="107">
      <x:c r="A107" s="80"/>
      <x:c r="B107" s="80"/>
      <x:c r="C107" s="83"/>
      <x:c r="D107" s="80"/>
      <x:c r="E107" s="80"/>
      <x:c r="F107" s="86"/>
      <x:c r="G107" s="80"/>
      <x:c r="H107" s="95"/>
      <x:c r="I107" s="95"/>
      <x:c r="J107" s="96"/>
      <x:c r="K107" s="97"/>
      <x:c r="L107" s="98"/>
      <x:c r="M107" s="98"/>
      <x:c r="N107" s="98"/>
      <x:c r="O107" s="98"/>
      <x:c r="P107" s="98"/>
      <x:c r="Q107" s="80"/>
      <x:c r="R107" s="80"/>
      <x:c r="S107" s="80"/>
      <x:c r="T107" s="80"/>
      <x:c r="U107" s="80"/>
      <x:c r="V107" s="89" t="str">
        <x:f>IF(A107="","",IF(U107="","",IF(U107="Выигрыш",J107-1,IF(U107="Полувыигрыш",(J107-1)/2,IF(U107="Возврат",0,IF(U107="Полупроигрыш",-0.5,IF(U107="Поражение",-1,"Проверить результат")))))))</x:f>
      </x:c>
      <x:c r="W107" s="80" t="str">
        <x:f>IF(A107="","",IF(U107="","Открыт",IF(ISNUMBER(V107),"Рассчитан","Проверить результат")))</x:f>
      </x:c>
      <x:c r="X107" s="98"/>
      <x:c r="Y107" s="5"/>
      <x:c r="Z107" s="5"/>
      <x:c r="AA107" s="5"/>
      <x:c r="AB107" s="118"/>
      <x:c r="AC107" s="119"/>
      <x:c r="AD107" s="119"/>
      <x:c r="AE107" s="5" t="str">
        <x:f>IF(A107="","",IF(Z107="","Нет ID пары",IF(AND(COUNTIFS($Z$59:$Z$505,Z107,$Y$59:$Y$505,"Оптимальный",$W$59:$W$505,"Рассчитан")=1,COUNTIFS($Z$59:$Z$505,Z107,$Y$59:$Y$505,"Агрессивный",$W$59:$W$505,"Рассчитан")=1),"Да","Нет")))</x:f>
      </x:c>
      <x:c r="AF107" s="5"/>
      <x:c r="AG107" s="5"/>
    </x:row>
    <x:row r="108">
      <x:c r="A108" s="80"/>
      <x:c r="B108" s="80"/>
      <x:c r="C108" s="83"/>
      <x:c r="D108" s="80"/>
      <x:c r="E108" s="80"/>
      <x:c r="F108" s="86"/>
      <x:c r="G108" s="80"/>
      <x:c r="H108" s="95"/>
      <x:c r="I108" s="95"/>
      <x:c r="J108" s="96"/>
      <x:c r="K108" s="97"/>
      <x:c r="L108" s="98"/>
      <x:c r="M108" s="98"/>
      <x:c r="N108" s="98"/>
      <x:c r="O108" s="98"/>
      <x:c r="P108" s="98"/>
      <x:c r="Q108" s="80"/>
      <x:c r="R108" s="80"/>
      <x:c r="S108" s="80"/>
      <x:c r="T108" s="80"/>
      <x:c r="U108" s="80"/>
      <x:c r="V108" s="89" t="str">
        <x:f>IF(A108="","",IF(U108="","",IF(U108="Выигрыш",J108-1,IF(U108="Полувыигрыш",(J108-1)/2,IF(U108="Возврат",0,IF(U108="Полупроигрыш",-0.5,IF(U108="Поражение",-1,"Проверить результат")))))))</x:f>
      </x:c>
      <x:c r="W108" s="80" t="str">
        <x:f>IF(A108="","",IF(U108="","Открыт",IF(ISNUMBER(V108),"Рассчитан","Проверить результат")))</x:f>
      </x:c>
      <x:c r="X108" s="98"/>
      <x:c r="Y108" s="5"/>
      <x:c r="Z108" s="5"/>
      <x:c r="AA108" s="5"/>
      <x:c r="AB108" s="118"/>
      <x:c r="AC108" s="119"/>
      <x:c r="AD108" s="119"/>
      <x:c r="AE108" s="5" t="str">
        <x:f>IF(A108="","",IF(Z108="","Нет ID пары",IF(AND(COUNTIFS($Z$59:$Z$505,Z108,$Y$59:$Y$505,"Оптимальный",$W$59:$W$505,"Рассчитан")=1,COUNTIFS($Z$59:$Z$505,Z108,$Y$59:$Y$505,"Агрессивный",$W$59:$W$505,"Рассчитан")=1),"Да","Нет")))</x:f>
      </x:c>
      <x:c r="AF108" s="5"/>
      <x:c r="AG108" s="5"/>
    </x:row>
    <x:row r="109">
      <x:c r="A109" s="80"/>
      <x:c r="B109" s="80"/>
      <x:c r="C109" s="83"/>
      <x:c r="D109" s="80"/>
      <x:c r="E109" s="80"/>
      <x:c r="F109" s="86"/>
      <x:c r="G109" s="80"/>
      <x:c r="H109" s="95"/>
      <x:c r="I109" s="95"/>
      <x:c r="J109" s="96"/>
      <x:c r="K109" s="97"/>
      <x:c r="L109" s="98"/>
      <x:c r="M109" s="98"/>
      <x:c r="N109" s="98"/>
      <x:c r="O109" s="98"/>
      <x:c r="P109" s="98"/>
      <x:c r="Q109" s="80"/>
      <x:c r="R109" s="80"/>
      <x:c r="S109" s="80"/>
      <x:c r="T109" s="80"/>
      <x:c r="U109" s="80"/>
      <x:c r="V109" s="89" t="str">
        <x:f>IF(A109="","",IF(U109="","",IF(U109="Выигрыш",J109-1,IF(U109="Полувыигрыш",(J109-1)/2,IF(U109="Возврат",0,IF(U109="Полупроигрыш",-0.5,IF(U109="Поражение",-1,"Проверить результат")))))))</x:f>
      </x:c>
      <x:c r="W109" s="80" t="str">
        <x:f>IF(A109="","",IF(U109="","Открыт",IF(ISNUMBER(V109),"Рассчитан","Проверить результат")))</x:f>
      </x:c>
      <x:c r="X109" s="98"/>
      <x:c r="Y109" s="5"/>
      <x:c r="Z109" s="5"/>
      <x:c r="AA109" s="5"/>
      <x:c r="AB109" s="118"/>
      <x:c r="AC109" s="119"/>
      <x:c r="AD109" s="119"/>
      <x:c r="AE109" s="5" t="str">
        <x:f>IF(A109="","",IF(Z109="","Нет ID пары",IF(AND(COUNTIFS($Z$59:$Z$505,Z109,$Y$59:$Y$505,"Оптимальный",$W$59:$W$505,"Рассчитан")=1,COUNTIFS($Z$59:$Z$505,Z109,$Y$59:$Y$505,"Агрессивный",$W$59:$W$505,"Рассчитан")=1),"Да","Нет")))</x:f>
      </x:c>
      <x:c r="AF109" s="5"/>
      <x:c r="AG109" s="5"/>
    </x:row>
    <x:row r="110">
      <x:c r="A110" s="80"/>
      <x:c r="B110" s="80"/>
      <x:c r="C110" s="83"/>
      <x:c r="D110" s="80"/>
      <x:c r="E110" s="80"/>
      <x:c r="F110" s="86"/>
      <x:c r="G110" s="80"/>
      <x:c r="H110" s="95"/>
      <x:c r="I110" s="95"/>
      <x:c r="J110" s="96"/>
      <x:c r="K110" s="97"/>
      <x:c r="L110" s="98"/>
      <x:c r="M110" s="98"/>
      <x:c r="N110" s="98"/>
      <x:c r="O110" s="98"/>
      <x:c r="P110" s="98"/>
      <x:c r="Q110" s="80"/>
      <x:c r="R110" s="80"/>
      <x:c r="S110" s="80"/>
      <x:c r="T110" s="80"/>
      <x:c r="U110" s="80"/>
      <x:c r="V110" s="89" t="str">
        <x:f>IF(A110="","",IF(U110="","",IF(U110="Выигрыш",J110-1,IF(U110="Полувыигрыш",(J110-1)/2,IF(U110="Возврат",0,IF(U110="Полупроигрыш",-0.5,IF(U110="Поражение",-1,"Проверить результат")))))))</x:f>
      </x:c>
      <x:c r="W110" s="80" t="str">
        <x:f>IF(A110="","",IF(U110="","Открыт",IF(ISNUMBER(V110),"Рассчитан","Проверить результат")))</x:f>
      </x:c>
      <x:c r="X110" s="98"/>
      <x:c r="Y110" s="5"/>
      <x:c r="Z110" s="5"/>
      <x:c r="AA110" s="5"/>
      <x:c r="AB110" s="118"/>
      <x:c r="AC110" s="119"/>
      <x:c r="AD110" s="119"/>
      <x:c r="AE110" s="5" t="str">
        <x:f>IF(A110="","",IF(Z110="","Нет ID пары",IF(AND(COUNTIFS($Z$59:$Z$505,Z110,$Y$59:$Y$505,"Оптимальный",$W$59:$W$505,"Рассчитан")=1,COUNTIFS($Z$59:$Z$505,Z110,$Y$59:$Y$505,"Агрессивный",$W$59:$W$505,"Рассчитан")=1),"Да","Нет")))</x:f>
      </x:c>
      <x:c r="AF110" s="5"/>
      <x:c r="AG110" s="5"/>
    </x:row>
    <x:row r="111">
      <x:c r="A111" s="80"/>
      <x:c r="B111" s="80"/>
      <x:c r="C111" s="83"/>
      <x:c r="D111" s="80"/>
      <x:c r="E111" s="80"/>
      <x:c r="F111" s="86"/>
      <x:c r="G111" s="80"/>
      <x:c r="H111" s="95"/>
      <x:c r="I111" s="95"/>
      <x:c r="J111" s="96"/>
      <x:c r="K111" s="97"/>
      <x:c r="L111" s="98"/>
      <x:c r="M111" s="98"/>
      <x:c r="N111" s="98"/>
      <x:c r="O111" s="98"/>
      <x:c r="P111" s="98"/>
      <x:c r="Q111" s="80"/>
      <x:c r="R111" s="80"/>
      <x:c r="S111" s="80"/>
      <x:c r="T111" s="80"/>
      <x:c r="U111" s="80"/>
      <x:c r="V111" s="89" t="str">
        <x:f>IF(A111="","",IF(U111="","",IF(U111="Выигрыш",J111-1,IF(U111="Полувыигрыш",(J111-1)/2,IF(U111="Возврат",0,IF(U111="Полупроигрыш",-0.5,IF(U111="Поражение",-1,"Проверить результат")))))))</x:f>
      </x:c>
      <x:c r="W111" s="80" t="str">
        <x:f>IF(A111="","",IF(U111="","Открыт",IF(ISNUMBER(V111),"Рассчитан","Проверить результат")))</x:f>
      </x:c>
      <x:c r="X111" s="98"/>
      <x:c r="Y111" s="5"/>
      <x:c r="Z111" s="5"/>
      <x:c r="AA111" s="5"/>
      <x:c r="AB111" s="118"/>
      <x:c r="AC111" s="119"/>
      <x:c r="AD111" s="119"/>
      <x:c r="AE111" s="5" t="str">
        <x:f>IF(A111="","",IF(Z111="","Нет ID пары",IF(AND(COUNTIFS($Z$59:$Z$505,Z111,$Y$59:$Y$505,"Оптимальный",$W$59:$W$505,"Рассчитан")=1,COUNTIFS($Z$59:$Z$505,Z111,$Y$59:$Y$505,"Агрессивный",$W$59:$W$505,"Рассчитан")=1),"Да","Нет")))</x:f>
      </x:c>
      <x:c r="AF111" s="5"/>
      <x:c r="AG111" s="5"/>
    </x:row>
    <x:row r="112">
      <x:c r="A112" s="80"/>
      <x:c r="B112" s="80"/>
      <x:c r="C112" s="83"/>
      <x:c r="D112" s="80"/>
      <x:c r="E112" s="80"/>
      <x:c r="F112" s="86"/>
      <x:c r="G112" s="80"/>
      <x:c r="H112" s="95"/>
      <x:c r="I112" s="95"/>
      <x:c r="J112" s="96"/>
      <x:c r="K112" s="97"/>
      <x:c r="L112" s="98"/>
      <x:c r="M112" s="98"/>
      <x:c r="N112" s="98"/>
      <x:c r="O112" s="98"/>
      <x:c r="P112" s="98"/>
      <x:c r="Q112" s="80"/>
      <x:c r="R112" s="80"/>
      <x:c r="S112" s="80"/>
      <x:c r="T112" s="80"/>
      <x:c r="U112" s="80"/>
      <x:c r="V112" s="89" t="str">
        <x:f>IF(A112="","",IF(U112="","",IF(U112="Выигрыш",J112-1,IF(U112="Полувыигрыш",(J112-1)/2,IF(U112="Возврат",0,IF(U112="Полупроигрыш",-0.5,IF(U112="Поражение",-1,"Проверить результат")))))))</x:f>
      </x:c>
      <x:c r="W112" s="80" t="str">
        <x:f>IF(A112="","",IF(U112="","Открыт",IF(ISNUMBER(V112),"Рассчитан","Проверить результат")))</x:f>
      </x:c>
      <x:c r="X112" s="98"/>
      <x:c r="Y112" s="5"/>
      <x:c r="Z112" s="5"/>
      <x:c r="AA112" s="5"/>
      <x:c r="AB112" s="118"/>
      <x:c r="AC112" s="119"/>
      <x:c r="AD112" s="119"/>
      <x:c r="AE112" s="5" t="str">
        <x:f>IF(A112="","",IF(Z112="","Нет ID пары",IF(AND(COUNTIFS($Z$59:$Z$505,Z112,$Y$59:$Y$505,"Оптимальный",$W$59:$W$505,"Рассчитан")=1,COUNTIFS($Z$59:$Z$505,Z112,$Y$59:$Y$505,"Агрессивный",$W$59:$W$505,"Рассчитан")=1),"Да","Нет")))</x:f>
      </x:c>
      <x:c r="AF112" s="5"/>
      <x:c r="AG112" s="5"/>
    </x:row>
    <x:row r="113">
      <x:c r="A113" s="80"/>
      <x:c r="B113" s="80"/>
      <x:c r="C113" s="83"/>
      <x:c r="D113" s="80"/>
      <x:c r="E113" s="80"/>
      <x:c r="F113" s="86"/>
      <x:c r="G113" s="80"/>
      <x:c r="H113" s="95"/>
      <x:c r="I113" s="95"/>
      <x:c r="J113" s="96"/>
      <x:c r="K113" s="97"/>
      <x:c r="L113" s="98"/>
      <x:c r="M113" s="98"/>
      <x:c r="N113" s="98"/>
      <x:c r="O113" s="98"/>
      <x:c r="P113" s="98"/>
      <x:c r="Q113" s="80"/>
      <x:c r="R113" s="80"/>
      <x:c r="S113" s="80"/>
      <x:c r="T113" s="80"/>
      <x:c r="U113" s="80"/>
      <x:c r="V113" s="89" t="str">
        <x:f>IF(A113="","",IF(U113="","",IF(U113="Выигрыш",J113-1,IF(U113="Полувыигрыш",(J113-1)/2,IF(U113="Возврат",0,IF(U113="Полупроигрыш",-0.5,IF(U113="Поражение",-1,"Проверить результат")))))))</x:f>
      </x:c>
      <x:c r="W113" s="80" t="str">
        <x:f>IF(A113="","",IF(U113="","Открыт",IF(ISNUMBER(V113),"Рассчитан","Проверить результат")))</x:f>
      </x:c>
      <x:c r="X113" s="98"/>
      <x:c r="Y113" s="5"/>
      <x:c r="Z113" s="5"/>
      <x:c r="AA113" s="5"/>
      <x:c r="AB113" s="118"/>
      <x:c r="AC113" s="119"/>
      <x:c r="AD113" s="119"/>
      <x:c r="AE113" s="5" t="str">
        <x:f>IF(A113="","",IF(Z113="","Нет ID пары",IF(AND(COUNTIFS($Z$59:$Z$505,Z113,$Y$59:$Y$505,"Оптимальный",$W$59:$W$505,"Рассчитан")=1,COUNTIFS($Z$59:$Z$505,Z113,$Y$59:$Y$505,"Агрессивный",$W$59:$W$505,"Рассчитан")=1),"Да","Нет")))</x:f>
      </x:c>
      <x:c r="AF113" s="5"/>
      <x:c r="AG113" s="5"/>
    </x:row>
    <x:row r="114">
      <x:c r="A114" s="80"/>
      <x:c r="B114" s="80"/>
      <x:c r="C114" s="83"/>
      <x:c r="D114" s="80"/>
      <x:c r="E114" s="80"/>
      <x:c r="F114" s="86"/>
      <x:c r="G114" s="80"/>
      <x:c r="H114" s="95"/>
      <x:c r="I114" s="95"/>
      <x:c r="J114" s="96"/>
      <x:c r="K114" s="97"/>
      <x:c r="L114" s="98"/>
      <x:c r="M114" s="98"/>
      <x:c r="N114" s="98"/>
      <x:c r="O114" s="98"/>
      <x:c r="P114" s="98"/>
      <x:c r="Q114" s="80"/>
      <x:c r="R114" s="80"/>
      <x:c r="S114" s="80"/>
      <x:c r="T114" s="80"/>
      <x:c r="U114" s="80"/>
      <x:c r="V114" s="89" t="str">
        <x:f>IF(A114="","",IF(U114="","",IF(U114="Выигрыш",J114-1,IF(U114="Полувыигрыш",(J114-1)/2,IF(U114="Возврат",0,IF(U114="Полупроигрыш",-0.5,IF(U114="Поражение",-1,"Проверить результат")))))))</x:f>
      </x:c>
      <x:c r="W114" s="80" t="str">
        <x:f>IF(A114="","",IF(U114="","Открыт",IF(ISNUMBER(V114),"Рассчитан","Проверить результат")))</x:f>
      </x:c>
      <x:c r="X114" s="98"/>
      <x:c r="Y114" s="5"/>
      <x:c r="Z114" s="5"/>
      <x:c r="AA114" s="5"/>
      <x:c r="AB114" s="118"/>
      <x:c r="AC114" s="119"/>
      <x:c r="AD114" s="119"/>
      <x:c r="AE114" s="5" t="str">
        <x:f>IF(A114="","",IF(Z114="","Нет ID пары",IF(AND(COUNTIFS($Z$59:$Z$505,Z114,$Y$59:$Y$505,"Оптимальный",$W$59:$W$505,"Рассчитан")=1,COUNTIFS($Z$59:$Z$505,Z114,$Y$59:$Y$505,"Агрессивный",$W$59:$W$505,"Рассчитан")=1),"Да","Нет")))</x:f>
      </x:c>
      <x:c r="AF114" s="5"/>
      <x:c r="AG114" s="5"/>
    </x:row>
    <x:row r="115">
      <x:c r="A115" s="80"/>
      <x:c r="B115" s="80"/>
      <x:c r="C115" s="83"/>
      <x:c r="D115" s="80"/>
      <x:c r="E115" s="80"/>
      <x:c r="F115" s="86"/>
      <x:c r="G115" s="80"/>
      <x:c r="H115" s="95"/>
      <x:c r="I115" s="95"/>
      <x:c r="J115" s="96"/>
      <x:c r="K115" s="97"/>
      <x:c r="L115" s="98"/>
      <x:c r="M115" s="98"/>
      <x:c r="N115" s="98"/>
      <x:c r="O115" s="98"/>
      <x:c r="P115" s="98"/>
      <x:c r="Q115" s="80"/>
      <x:c r="R115" s="80"/>
      <x:c r="S115" s="80"/>
      <x:c r="T115" s="80"/>
      <x:c r="U115" s="80"/>
      <x:c r="V115" s="89" t="str">
        <x:f>IF(A115="","",IF(U115="","",IF(U115="Выигрыш",J115-1,IF(U115="Полувыигрыш",(J115-1)/2,IF(U115="Возврат",0,IF(U115="Полупроигрыш",-0.5,IF(U115="Поражение",-1,"Проверить результат")))))))</x:f>
      </x:c>
      <x:c r="W115" s="80" t="str">
        <x:f>IF(A115="","",IF(U115="","Открыт",IF(ISNUMBER(V115),"Рассчитан","Проверить результат")))</x:f>
      </x:c>
      <x:c r="X115" s="98"/>
      <x:c r="Y115" s="5"/>
      <x:c r="Z115" s="5"/>
      <x:c r="AA115" s="5"/>
      <x:c r="AB115" s="118"/>
      <x:c r="AC115" s="119"/>
      <x:c r="AD115" s="119"/>
      <x:c r="AE115" s="5" t="str">
        <x:f>IF(A115="","",IF(Z115="","Нет ID пары",IF(AND(COUNTIFS($Z$59:$Z$505,Z115,$Y$59:$Y$505,"Оптимальный",$W$59:$W$505,"Рассчитан")=1,COUNTIFS($Z$59:$Z$505,Z115,$Y$59:$Y$505,"Агрессивный",$W$59:$W$505,"Рассчитан")=1),"Да","Нет")))</x:f>
      </x:c>
      <x:c r="AF115" s="5"/>
      <x:c r="AG115" s="5"/>
    </x:row>
    <x:row r="116">
      <x:c r="A116" s="80"/>
      <x:c r="B116" s="80"/>
      <x:c r="C116" s="83"/>
      <x:c r="D116" s="80"/>
      <x:c r="E116" s="80"/>
      <x:c r="F116" s="86"/>
      <x:c r="G116" s="80"/>
      <x:c r="H116" s="95"/>
      <x:c r="I116" s="95"/>
      <x:c r="J116" s="96"/>
      <x:c r="K116" s="97"/>
      <x:c r="L116" s="98"/>
      <x:c r="M116" s="98"/>
      <x:c r="N116" s="98"/>
      <x:c r="O116" s="98"/>
      <x:c r="P116" s="98"/>
      <x:c r="Q116" s="80"/>
      <x:c r="R116" s="80"/>
      <x:c r="S116" s="80"/>
      <x:c r="T116" s="80"/>
      <x:c r="U116" s="80"/>
      <x:c r="V116" s="89" t="str">
        <x:f>IF(A116="","",IF(U116="","",IF(U116="Выигрыш",J116-1,IF(U116="Полувыигрыш",(J116-1)/2,IF(U116="Возврат",0,IF(U116="Полупроигрыш",-0.5,IF(U116="Поражение",-1,"Проверить результат")))))))</x:f>
      </x:c>
      <x:c r="W116" s="80" t="str">
        <x:f>IF(A116="","",IF(U116="","Открыт",IF(ISNUMBER(V116),"Рассчитан","Проверить результат")))</x:f>
      </x:c>
      <x:c r="X116" s="98"/>
      <x:c r="Y116" s="5"/>
      <x:c r="Z116" s="5"/>
      <x:c r="AA116" s="5"/>
      <x:c r="AB116" s="118"/>
      <x:c r="AC116" s="119"/>
      <x:c r="AD116" s="119"/>
      <x:c r="AE116" s="5" t="str">
        <x:f>IF(A116="","",IF(Z116="","Нет ID пары",IF(AND(COUNTIFS($Z$59:$Z$505,Z116,$Y$59:$Y$505,"Оптимальный",$W$59:$W$505,"Рассчитан")=1,COUNTIFS($Z$59:$Z$505,Z116,$Y$59:$Y$505,"Агрессивный",$W$59:$W$505,"Рассчитан")=1),"Да","Нет")))</x:f>
      </x:c>
      <x:c r="AF116" s="5"/>
      <x:c r="AG116" s="5"/>
    </x:row>
    <x:row r="117">
      <x:c r="A117" s="80"/>
      <x:c r="B117" s="80"/>
      <x:c r="C117" s="83"/>
      <x:c r="D117" s="80"/>
      <x:c r="E117" s="80"/>
      <x:c r="F117" s="86"/>
      <x:c r="G117" s="80"/>
      <x:c r="H117" s="95"/>
      <x:c r="I117" s="95"/>
      <x:c r="J117" s="96"/>
      <x:c r="K117" s="97"/>
      <x:c r="L117" s="98"/>
      <x:c r="M117" s="98"/>
      <x:c r="N117" s="98"/>
      <x:c r="O117" s="98"/>
      <x:c r="P117" s="98"/>
      <x:c r="Q117" s="80"/>
      <x:c r="R117" s="80"/>
      <x:c r="S117" s="80"/>
      <x:c r="T117" s="80"/>
      <x:c r="U117" s="80"/>
      <x:c r="V117" s="89" t="str">
        <x:f>IF(A117="","",IF(U117="","",IF(U117="Выигрыш",J117-1,IF(U117="Полувыигрыш",(J117-1)/2,IF(U117="Возврат",0,IF(U117="Полупроигрыш",-0.5,IF(U117="Поражение",-1,"Проверить результат")))))))</x:f>
      </x:c>
      <x:c r="W117" s="80" t="str">
        <x:f>IF(A117="","",IF(U117="","Открыт",IF(ISNUMBER(V117),"Рассчитан","Проверить результат")))</x:f>
      </x:c>
      <x:c r="X117" s="98"/>
      <x:c r="Y117" s="5"/>
      <x:c r="Z117" s="5"/>
      <x:c r="AA117" s="5"/>
      <x:c r="AB117" s="118"/>
      <x:c r="AC117" s="119"/>
      <x:c r="AD117" s="119"/>
      <x:c r="AE117" s="5" t="str">
        <x:f>IF(A117="","",IF(Z117="","Нет ID пары",IF(AND(COUNTIFS($Z$59:$Z$505,Z117,$Y$59:$Y$505,"Оптимальный",$W$59:$W$505,"Рассчитан")=1,COUNTIFS($Z$59:$Z$505,Z117,$Y$59:$Y$505,"Агрессивный",$W$59:$W$505,"Рассчитан")=1),"Да","Нет")))</x:f>
      </x:c>
      <x:c r="AF117" s="5"/>
      <x:c r="AG117" s="5"/>
    </x:row>
    <x:row r="118">
      <x:c r="A118" s="80"/>
      <x:c r="B118" s="80"/>
      <x:c r="C118" s="83"/>
      <x:c r="D118" s="80"/>
      <x:c r="E118" s="80"/>
      <x:c r="F118" s="86"/>
      <x:c r="G118" s="80"/>
      <x:c r="H118" s="95"/>
      <x:c r="I118" s="95"/>
      <x:c r="J118" s="96"/>
      <x:c r="K118" s="97"/>
      <x:c r="L118" s="98"/>
      <x:c r="M118" s="98"/>
      <x:c r="N118" s="98"/>
      <x:c r="O118" s="98"/>
      <x:c r="P118" s="98"/>
      <x:c r="Q118" s="80"/>
      <x:c r="R118" s="80"/>
      <x:c r="S118" s="80"/>
      <x:c r="T118" s="80"/>
      <x:c r="U118" s="80"/>
      <x:c r="V118" s="89" t="str">
        <x:f>IF(A118="","",IF(U118="","",IF(U118="Выигрыш",J118-1,IF(U118="Полувыигрыш",(J118-1)/2,IF(U118="Возврат",0,IF(U118="Полупроигрыш",-0.5,IF(U118="Поражение",-1,"Проверить результат")))))))</x:f>
      </x:c>
      <x:c r="W118" s="80" t="str">
        <x:f>IF(A118="","",IF(U118="","Открыт",IF(ISNUMBER(V118),"Рассчитан","Проверить результат")))</x:f>
      </x:c>
      <x:c r="X118" s="98"/>
      <x:c r="Y118" s="5"/>
      <x:c r="Z118" s="5"/>
      <x:c r="AA118" s="5"/>
      <x:c r="AB118" s="118"/>
      <x:c r="AC118" s="119"/>
      <x:c r="AD118" s="119"/>
      <x:c r="AE118" s="5" t="str">
        <x:f>IF(A118="","",IF(Z118="","Нет ID пары",IF(AND(COUNTIFS($Z$59:$Z$505,Z118,$Y$59:$Y$505,"Оптимальный",$W$59:$W$505,"Рассчитан")=1,COUNTIFS($Z$59:$Z$505,Z118,$Y$59:$Y$505,"Агрессивный",$W$59:$W$505,"Рассчитан")=1),"Да","Нет")))</x:f>
      </x:c>
      <x:c r="AF118" s="5"/>
      <x:c r="AG118" s="5"/>
    </x:row>
    <x:row r="119">
      <x:c r="A119" s="80"/>
      <x:c r="B119" s="80"/>
      <x:c r="C119" s="83"/>
      <x:c r="D119" s="80"/>
      <x:c r="E119" s="80"/>
      <x:c r="F119" s="86"/>
      <x:c r="G119" s="80"/>
      <x:c r="H119" s="95"/>
      <x:c r="I119" s="95"/>
      <x:c r="J119" s="96"/>
      <x:c r="K119" s="97"/>
      <x:c r="L119" s="98"/>
      <x:c r="M119" s="98"/>
      <x:c r="N119" s="98"/>
      <x:c r="O119" s="98"/>
      <x:c r="P119" s="98"/>
      <x:c r="Q119" s="80"/>
      <x:c r="R119" s="80"/>
      <x:c r="S119" s="80"/>
      <x:c r="T119" s="80"/>
      <x:c r="U119" s="80"/>
      <x:c r="V119" s="89" t="str">
        <x:f>IF(A119="","",IF(U119="","",IF(U119="Выигрыш",J119-1,IF(U119="Полувыигрыш",(J119-1)/2,IF(U119="Возврат",0,IF(U119="Полупроигрыш",-0.5,IF(U119="Поражение",-1,"Проверить результат")))))))</x:f>
      </x:c>
      <x:c r="W119" s="80" t="str">
        <x:f>IF(A119="","",IF(U119="","Открыт",IF(ISNUMBER(V119),"Рассчитан","Проверить результат")))</x:f>
      </x:c>
      <x:c r="X119" s="98"/>
      <x:c r="Y119" s="5"/>
      <x:c r="Z119" s="5"/>
      <x:c r="AA119" s="5"/>
      <x:c r="AB119" s="118"/>
      <x:c r="AC119" s="119"/>
      <x:c r="AD119" s="119"/>
      <x:c r="AE119" s="5" t="str">
        <x:f>IF(A119="","",IF(Z119="","Нет ID пары",IF(AND(COUNTIFS($Z$59:$Z$505,Z119,$Y$59:$Y$505,"Оптимальный",$W$59:$W$505,"Рассчитан")=1,COUNTIFS($Z$59:$Z$505,Z119,$Y$59:$Y$505,"Агрессивный",$W$59:$W$505,"Рассчитан")=1),"Да","Нет")))</x:f>
      </x:c>
      <x:c r="AF119" s="5"/>
      <x:c r="AG119" s="5"/>
    </x:row>
    <x:row r="120">
      <x:c r="A120" s="80"/>
      <x:c r="B120" s="80"/>
      <x:c r="C120" s="83"/>
      <x:c r="D120" s="80"/>
      <x:c r="E120" s="80"/>
      <x:c r="F120" s="86"/>
      <x:c r="G120" s="80"/>
      <x:c r="H120" s="95"/>
      <x:c r="I120" s="95"/>
      <x:c r="J120" s="96"/>
      <x:c r="K120" s="97"/>
      <x:c r="L120" s="98"/>
      <x:c r="M120" s="98"/>
      <x:c r="N120" s="98"/>
      <x:c r="O120" s="98"/>
      <x:c r="P120" s="98"/>
      <x:c r="Q120" s="80"/>
      <x:c r="R120" s="80"/>
      <x:c r="S120" s="80"/>
      <x:c r="T120" s="80"/>
      <x:c r="U120" s="80"/>
      <x:c r="V120" s="89" t="str">
        <x:f>IF(A120="","",IF(U120="","",IF(U120="Выигрыш",J120-1,IF(U120="Полувыигрыш",(J120-1)/2,IF(U120="Возврат",0,IF(U120="Полупроигрыш",-0.5,IF(U120="Поражение",-1,"Проверить результат")))))))</x:f>
      </x:c>
      <x:c r="W120" s="80" t="str">
        <x:f>IF(A120="","",IF(U120="","Открыт",IF(ISNUMBER(V120),"Рассчитан","Проверить результат")))</x:f>
      </x:c>
      <x:c r="X120" s="98"/>
      <x:c r="Y120" s="5"/>
      <x:c r="Z120" s="5"/>
      <x:c r="AA120" s="5"/>
      <x:c r="AB120" s="118"/>
      <x:c r="AC120" s="119"/>
      <x:c r="AD120" s="119"/>
      <x:c r="AE120" s="5" t="str">
        <x:f>IF(A120="","",IF(Z120="","Нет ID пары",IF(AND(COUNTIFS($Z$59:$Z$505,Z120,$Y$59:$Y$505,"Оптимальный",$W$59:$W$505,"Рассчитан")=1,COUNTIFS($Z$59:$Z$505,Z120,$Y$59:$Y$505,"Агрессивный",$W$59:$W$505,"Рассчитан")=1),"Да","Нет")))</x:f>
      </x:c>
      <x:c r="AF120" s="5"/>
      <x:c r="AG120" s="5"/>
    </x:row>
    <x:row r="121">
      <x:c r="A121" s="80"/>
      <x:c r="B121" s="80"/>
      <x:c r="C121" s="83"/>
      <x:c r="D121" s="80"/>
      <x:c r="E121" s="80"/>
      <x:c r="F121" s="86"/>
      <x:c r="G121" s="80"/>
      <x:c r="H121" s="95"/>
      <x:c r="I121" s="95"/>
      <x:c r="J121" s="96"/>
      <x:c r="K121" s="97"/>
      <x:c r="L121" s="98"/>
      <x:c r="M121" s="98"/>
      <x:c r="N121" s="98"/>
      <x:c r="O121" s="98"/>
      <x:c r="P121" s="98"/>
      <x:c r="Q121" s="80"/>
      <x:c r="R121" s="80"/>
      <x:c r="S121" s="80"/>
      <x:c r="T121" s="80"/>
      <x:c r="U121" s="80"/>
      <x:c r="V121" s="89" t="str">
        <x:f>IF(A121="","",IF(U121="","",IF(U121="Выигрыш",J121-1,IF(U121="Полувыигрыш",(J121-1)/2,IF(U121="Возврат",0,IF(U121="Полупроигрыш",-0.5,IF(U121="Поражение",-1,"Проверить результат")))))))</x:f>
      </x:c>
      <x:c r="W121" s="80" t="str">
        <x:f>IF(A121="","",IF(U121="","Открыт",IF(ISNUMBER(V121),"Рассчитан","Проверить результат")))</x:f>
      </x:c>
      <x:c r="X121" s="98"/>
      <x:c r="Y121" s="5"/>
      <x:c r="Z121" s="5"/>
      <x:c r="AA121" s="5"/>
      <x:c r="AB121" s="118"/>
      <x:c r="AC121" s="119"/>
      <x:c r="AD121" s="119"/>
      <x:c r="AE121" s="5" t="str">
        <x:f>IF(A121="","",IF(Z121="","Нет ID пары",IF(AND(COUNTIFS($Z$59:$Z$505,Z121,$Y$59:$Y$505,"Оптимальный",$W$59:$W$505,"Рассчитан")=1,COUNTIFS($Z$59:$Z$505,Z121,$Y$59:$Y$505,"Агрессивный",$W$59:$W$505,"Рассчитан")=1),"Да","Нет")))</x:f>
      </x:c>
      <x:c r="AF121" s="5"/>
      <x:c r="AG121" s="5"/>
    </x:row>
    <x:row r="122">
      <x:c r="A122" s="80"/>
      <x:c r="B122" s="80"/>
      <x:c r="C122" s="83"/>
      <x:c r="D122" s="80"/>
      <x:c r="E122" s="80"/>
      <x:c r="F122" s="86"/>
      <x:c r="G122" s="80"/>
      <x:c r="H122" s="95"/>
      <x:c r="I122" s="95"/>
      <x:c r="J122" s="96"/>
      <x:c r="K122" s="97"/>
      <x:c r="L122" s="98"/>
      <x:c r="M122" s="98"/>
      <x:c r="N122" s="98"/>
      <x:c r="O122" s="98"/>
      <x:c r="P122" s="98"/>
      <x:c r="Q122" s="80"/>
      <x:c r="R122" s="80"/>
      <x:c r="S122" s="80"/>
      <x:c r="T122" s="80"/>
      <x:c r="U122" s="80"/>
      <x:c r="V122" s="89" t="str">
        <x:f>IF(A122="","",IF(U122="","",IF(U122="Выигрыш",J122-1,IF(U122="Полувыигрыш",(J122-1)/2,IF(U122="Возврат",0,IF(U122="Полупроигрыш",-0.5,IF(U122="Поражение",-1,"Проверить результат")))))))</x:f>
      </x:c>
      <x:c r="W122" s="80" t="str">
        <x:f>IF(A122="","",IF(U122="","Открыт",IF(ISNUMBER(V122),"Рассчитан","Проверить результат")))</x:f>
      </x:c>
      <x:c r="X122" s="98"/>
      <x:c r="Y122" s="5"/>
      <x:c r="Z122" s="5"/>
      <x:c r="AA122" s="5"/>
      <x:c r="AB122" s="118"/>
      <x:c r="AC122" s="119"/>
      <x:c r="AD122" s="119"/>
      <x:c r="AE122" s="5" t="str">
        <x:f>IF(A122="","",IF(Z122="","Нет ID пары",IF(AND(COUNTIFS($Z$59:$Z$505,Z122,$Y$59:$Y$505,"Оптимальный",$W$59:$W$505,"Рассчитан")=1,COUNTIFS($Z$59:$Z$505,Z122,$Y$59:$Y$505,"Агрессивный",$W$59:$W$505,"Рассчитан")=1),"Да","Нет")))</x:f>
      </x:c>
      <x:c r="AF122" s="5"/>
      <x:c r="AG122" s="5"/>
    </x:row>
    <x:row r="123">
      <x:c r="A123" s="80"/>
      <x:c r="B123" s="80"/>
      <x:c r="C123" s="83"/>
      <x:c r="D123" s="80"/>
      <x:c r="E123" s="80"/>
      <x:c r="F123" s="86"/>
      <x:c r="G123" s="80"/>
      <x:c r="H123" s="95"/>
      <x:c r="I123" s="95"/>
      <x:c r="J123" s="96"/>
      <x:c r="K123" s="97"/>
      <x:c r="L123" s="98"/>
      <x:c r="M123" s="98"/>
      <x:c r="N123" s="98"/>
      <x:c r="O123" s="98"/>
      <x:c r="P123" s="98"/>
      <x:c r="Q123" s="80"/>
      <x:c r="R123" s="80"/>
      <x:c r="S123" s="80"/>
      <x:c r="T123" s="80"/>
      <x:c r="U123" s="80"/>
      <x:c r="V123" s="89" t="str">
        <x:f>IF(A123="","",IF(U123="","",IF(U123="Выигрыш",J123-1,IF(U123="Полувыигрыш",(J123-1)/2,IF(U123="Возврат",0,IF(U123="Полупроигрыш",-0.5,IF(U123="Поражение",-1,"Проверить результат")))))))</x:f>
      </x:c>
      <x:c r="W123" s="80" t="str">
        <x:f>IF(A123="","",IF(U123="","Открыт",IF(ISNUMBER(V123),"Рассчитан","Проверить результат")))</x:f>
      </x:c>
      <x:c r="X123" s="98"/>
      <x:c r="Y123" s="5"/>
      <x:c r="Z123" s="5"/>
      <x:c r="AA123" s="5"/>
      <x:c r="AB123" s="118"/>
      <x:c r="AC123" s="119"/>
      <x:c r="AD123" s="119"/>
      <x:c r="AE123" s="5" t="str">
        <x:f>IF(A123="","",IF(Z123="","Нет ID пары",IF(AND(COUNTIFS($Z$59:$Z$505,Z123,$Y$59:$Y$505,"Оптимальный",$W$59:$W$505,"Рассчитан")=1,COUNTIFS($Z$59:$Z$505,Z123,$Y$59:$Y$505,"Агрессивный",$W$59:$W$505,"Рассчитан")=1),"Да","Нет")))</x:f>
      </x:c>
      <x:c r="AF123" s="5"/>
      <x:c r="AG123" s="5"/>
    </x:row>
    <x:row r="124">
      <x:c r="A124" s="80"/>
      <x:c r="B124" s="80"/>
      <x:c r="C124" s="83"/>
      <x:c r="D124" s="80"/>
      <x:c r="E124" s="80"/>
      <x:c r="F124" s="86"/>
      <x:c r="G124" s="80"/>
      <x:c r="H124" s="95"/>
      <x:c r="I124" s="95"/>
      <x:c r="J124" s="96"/>
      <x:c r="K124" s="97"/>
      <x:c r="L124" s="98"/>
      <x:c r="M124" s="98"/>
      <x:c r="N124" s="98"/>
      <x:c r="O124" s="98"/>
      <x:c r="P124" s="98"/>
      <x:c r="Q124" s="80"/>
      <x:c r="R124" s="80"/>
      <x:c r="S124" s="80"/>
      <x:c r="T124" s="80"/>
      <x:c r="U124" s="80"/>
      <x:c r="V124" s="89" t="str">
        <x:f>IF(A124="","",IF(U124="","",IF(U124="Выигрыш",J124-1,IF(U124="Полувыигрыш",(J124-1)/2,IF(U124="Возврат",0,IF(U124="Полупроигрыш",-0.5,IF(U124="Поражение",-1,"Проверить результат")))))))</x:f>
      </x:c>
      <x:c r="W124" s="80" t="str">
        <x:f>IF(A124="","",IF(U124="","Открыт",IF(ISNUMBER(V124),"Рассчитан","Проверить результат")))</x:f>
      </x:c>
      <x:c r="X124" s="98"/>
      <x:c r="Y124" s="5"/>
      <x:c r="Z124" s="5"/>
      <x:c r="AA124" s="5"/>
      <x:c r="AB124" s="118"/>
      <x:c r="AC124" s="119"/>
      <x:c r="AD124" s="119"/>
      <x:c r="AE124" s="5" t="str">
        <x:f>IF(A124="","",IF(Z124="","Нет ID пары",IF(AND(COUNTIFS($Z$59:$Z$505,Z124,$Y$59:$Y$505,"Оптимальный",$W$59:$W$505,"Рассчитан")=1,COUNTIFS($Z$59:$Z$505,Z124,$Y$59:$Y$505,"Агрессивный",$W$59:$W$505,"Рассчитан")=1),"Да","Нет")))</x:f>
      </x:c>
      <x:c r="AF124" s="5"/>
      <x:c r="AG124" s="5"/>
    </x:row>
    <x:row r="125">
      <x:c r="A125" s="80"/>
      <x:c r="B125" s="80"/>
      <x:c r="C125" s="83"/>
      <x:c r="D125" s="80"/>
      <x:c r="E125" s="80"/>
      <x:c r="F125" s="86"/>
      <x:c r="G125" s="80"/>
      <x:c r="H125" s="95"/>
      <x:c r="I125" s="95"/>
      <x:c r="J125" s="96"/>
      <x:c r="K125" s="97"/>
      <x:c r="L125" s="98"/>
      <x:c r="M125" s="98"/>
      <x:c r="N125" s="98"/>
      <x:c r="O125" s="98"/>
      <x:c r="P125" s="98"/>
      <x:c r="Q125" s="80"/>
      <x:c r="R125" s="80"/>
      <x:c r="S125" s="80"/>
      <x:c r="T125" s="80"/>
      <x:c r="U125" s="80"/>
      <x:c r="V125" s="89" t="str">
        <x:f>IF(A125="","",IF(U125="","",IF(U125="Выигрыш",J125-1,IF(U125="Полувыигрыш",(J125-1)/2,IF(U125="Возврат",0,IF(U125="Полупроигрыш",-0.5,IF(U125="Поражение",-1,"Проверить результат")))))))</x:f>
      </x:c>
      <x:c r="W125" s="80" t="str">
        <x:f>IF(A125="","",IF(U125="","Открыт",IF(ISNUMBER(V125),"Рассчитан","Проверить результат")))</x:f>
      </x:c>
      <x:c r="X125" s="98"/>
      <x:c r="Y125" s="5"/>
      <x:c r="Z125" s="5"/>
      <x:c r="AA125" s="5"/>
      <x:c r="AB125" s="118"/>
      <x:c r="AC125" s="119"/>
      <x:c r="AD125" s="119"/>
      <x:c r="AE125" s="5" t="str">
        <x:f>IF(A125="","",IF(Z125="","Нет ID пары",IF(AND(COUNTIFS($Z$59:$Z$505,Z125,$Y$59:$Y$505,"Оптимальный",$W$59:$W$505,"Рассчитан")=1,COUNTIFS($Z$59:$Z$505,Z125,$Y$59:$Y$505,"Агрессивный",$W$59:$W$505,"Рассчитан")=1),"Да","Нет")))</x:f>
      </x:c>
      <x:c r="AF125" s="5"/>
      <x:c r="AG125" s="5"/>
    </x:row>
    <x:row r="126">
      <x:c r="A126" s="80"/>
      <x:c r="B126" s="80"/>
      <x:c r="C126" s="83"/>
      <x:c r="D126" s="80"/>
      <x:c r="E126" s="80"/>
      <x:c r="F126" s="86"/>
      <x:c r="G126" s="80"/>
      <x:c r="H126" s="95"/>
      <x:c r="I126" s="95"/>
      <x:c r="J126" s="96"/>
      <x:c r="K126" s="97"/>
      <x:c r="L126" s="98"/>
      <x:c r="M126" s="98"/>
      <x:c r="N126" s="98"/>
      <x:c r="O126" s="98"/>
      <x:c r="P126" s="98"/>
      <x:c r="Q126" s="80"/>
      <x:c r="R126" s="80"/>
      <x:c r="S126" s="80"/>
      <x:c r="T126" s="80"/>
      <x:c r="U126" s="80"/>
      <x:c r="V126" s="89" t="str">
        <x:f>IF(A126="","",IF(U126="","",IF(U126="Выигрыш",J126-1,IF(U126="Полувыигрыш",(J126-1)/2,IF(U126="Возврат",0,IF(U126="Полупроигрыш",-0.5,IF(U126="Поражение",-1,"Проверить результат")))))))</x:f>
      </x:c>
      <x:c r="W126" s="80" t="str">
        <x:f>IF(A126="","",IF(U126="","Открыт",IF(ISNUMBER(V126),"Рассчитан","Проверить результат")))</x:f>
      </x:c>
      <x:c r="X126" s="98"/>
      <x:c r="Y126" s="5"/>
      <x:c r="Z126" s="5"/>
      <x:c r="AA126" s="5"/>
      <x:c r="AB126" s="118"/>
      <x:c r="AC126" s="119"/>
      <x:c r="AD126" s="119"/>
      <x:c r="AE126" s="5" t="str">
        <x:f>IF(A126="","",IF(Z126="","Нет ID пары",IF(AND(COUNTIFS($Z$59:$Z$505,Z126,$Y$59:$Y$505,"Оптимальный",$W$59:$W$505,"Рассчитан")=1,COUNTIFS($Z$59:$Z$505,Z126,$Y$59:$Y$505,"Агрессивный",$W$59:$W$505,"Рассчитан")=1),"Да","Нет")))</x:f>
      </x:c>
      <x:c r="AF126" s="5"/>
      <x:c r="AG126" s="5"/>
    </x:row>
    <x:row r="127">
      <x:c r="A127" s="80"/>
      <x:c r="B127" s="80"/>
      <x:c r="C127" s="83"/>
      <x:c r="D127" s="80"/>
      <x:c r="E127" s="80"/>
      <x:c r="F127" s="86"/>
      <x:c r="G127" s="80"/>
      <x:c r="H127" s="95"/>
      <x:c r="I127" s="95"/>
      <x:c r="J127" s="96"/>
      <x:c r="K127" s="97"/>
      <x:c r="L127" s="98"/>
      <x:c r="M127" s="98"/>
      <x:c r="N127" s="98"/>
      <x:c r="O127" s="98"/>
      <x:c r="P127" s="98"/>
      <x:c r="Q127" s="80"/>
      <x:c r="R127" s="80"/>
      <x:c r="S127" s="80"/>
      <x:c r="T127" s="80"/>
      <x:c r="U127" s="80"/>
      <x:c r="V127" s="89" t="str">
        <x:f>IF(A127="","",IF(U127="","",IF(U127="Выигрыш",J127-1,IF(U127="Полувыигрыш",(J127-1)/2,IF(U127="Возврат",0,IF(U127="Полупроигрыш",-0.5,IF(U127="Поражение",-1,"Проверить результат")))))))</x:f>
      </x:c>
      <x:c r="W127" s="80" t="str">
        <x:f>IF(A127="","",IF(U127="","Открыт",IF(ISNUMBER(V127),"Рассчитан","Проверить результат")))</x:f>
      </x:c>
      <x:c r="X127" s="98"/>
      <x:c r="Y127" s="5"/>
      <x:c r="Z127" s="5"/>
      <x:c r="AA127" s="5"/>
      <x:c r="AB127" s="118"/>
      <x:c r="AC127" s="119"/>
      <x:c r="AD127" s="119"/>
      <x:c r="AE127" s="5" t="str">
        <x:f>IF(A127="","",IF(Z127="","Нет ID пары",IF(AND(COUNTIFS($Z$59:$Z$505,Z127,$Y$59:$Y$505,"Оптимальный",$W$59:$W$505,"Рассчитан")=1,COUNTIFS($Z$59:$Z$505,Z127,$Y$59:$Y$505,"Агрессивный",$W$59:$W$505,"Рассчитан")=1),"Да","Нет")))</x:f>
      </x:c>
      <x:c r="AF127" s="5"/>
      <x:c r="AG127" s="5"/>
    </x:row>
    <x:row r="128">
      <x:c r="A128" s="80"/>
      <x:c r="B128" s="80"/>
      <x:c r="C128" s="83"/>
      <x:c r="D128" s="80"/>
      <x:c r="E128" s="80"/>
      <x:c r="F128" s="86"/>
      <x:c r="G128" s="80"/>
      <x:c r="H128" s="95"/>
      <x:c r="I128" s="95"/>
      <x:c r="J128" s="96"/>
      <x:c r="K128" s="97"/>
      <x:c r="L128" s="98"/>
      <x:c r="M128" s="98"/>
      <x:c r="N128" s="98"/>
      <x:c r="O128" s="98"/>
      <x:c r="P128" s="98"/>
      <x:c r="Q128" s="80"/>
      <x:c r="R128" s="80"/>
      <x:c r="S128" s="80"/>
      <x:c r="T128" s="80"/>
      <x:c r="U128" s="80"/>
      <x:c r="V128" s="89" t="str">
        <x:f>IF(A128="","",IF(U128="","",IF(U128="Выигрыш",J128-1,IF(U128="Полувыигрыш",(J128-1)/2,IF(U128="Возврат",0,IF(U128="Полупроигрыш",-0.5,IF(U128="Поражение",-1,"Проверить результат")))))))</x:f>
      </x:c>
      <x:c r="W128" s="80" t="str">
        <x:f>IF(A128="","",IF(U128="","Открыт",IF(ISNUMBER(V128),"Рассчитан","Проверить результат")))</x:f>
      </x:c>
      <x:c r="X128" s="98"/>
      <x:c r="Y128" s="5"/>
      <x:c r="Z128" s="5"/>
      <x:c r="AA128" s="5"/>
      <x:c r="AB128" s="118"/>
      <x:c r="AC128" s="119"/>
      <x:c r="AD128" s="119"/>
      <x:c r="AE128" s="5" t="str">
        <x:f>IF(A128="","",IF(Z128="","Нет ID пары",IF(AND(COUNTIFS($Z$59:$Z$505,Z128,$Y$59:$Y$505,"Оптимальный",$W$59:$W$505,"Рассчитан")=1,COUNTIFS($Z$59:$Z$505,Z128,$Y$59:$Y$505,"Агрессивный",$W$59:$W$505,"Рассчитан")=1),"Да","Нет")))</x:f>
      </x:c>
      <x:c r="AF128" s="5"/>
      <x:c r="AG128" s="5"/>
    </x:row>
    <x:row r="129">
      <x:c r="A129" s="80"/>
      <x:c r="B129" s="80"/>
      <x:c r="C129" s="83"/>
      <x:c r="D129" s="80"/>
      <x:c r="E129" s="80"/>
      <x:c r="F129" s="86"/>
      <x:c r="G129" s="80"/>
      <x:c r="H129" s="95"/>
      <x:c r="I129" s="95"/>
      <x:c r="J129" s="96"/>
      <x:c r="K129" s="97"/>
      <x:c r="L129" s="98"/>
      <x:c r="M129" s="98"/>
      <x:c r="N129" s="98"/>
      <x:c r="O129" s="98"/>
      <x:c r="P129" s="98"/>
      <x:c r="Q129" s="80"/>
      <x:c r="R129" s="80"/>
      <x:c r="S129" s="80"/>
      <x:c r="T129" s="80"/>
      <x:c r="U129" s="80"/>
      <x:c r="V129" s="89" t="str">
        <x:f>IF(A129="","",IF(U129="","",IF(U129="Выигрыш",J129-1,IF(U129="Полувыигрыш",(J129-1)/2,IF(U129="Возврат",0,IF(U129="Полупроигрыш",-0.5,IF(U129="Поражение",-1,"Проверить результат")))))))</x:f>
      </x:c>
      <x:c r="W129" s="80" t="str">
        <x:f>IF(A129="","",IF(U129="","Открыт",IF(ISNUMBER(V129),"Рассчитан","Проверить результат")))</x:f>
      </x:c>
      <x:c r="X129" s="98"/>
      <x:c r="Y129" s="5"/>
      <x:c r="Z129" s="5"/>
      <x:c r="AA129" s="5"/>
      <x:c r="AB129" s="118"/>
      <x:c r="AC129" s="119"/>
      <x:c r="AD129" s="119"/>
      <x:c r="AE129" s="5" t="str">
        <x:f>IF(A129="","",IF(Z129="","Нет ID пары",IF(AND(COUNTIFS($Z$59:$Z$505,Z129,$Y$59:$Y$505,"Оптимальный",$W$59:$W$505,"Рассчитан")=1,COUNTIFS($Z$59:$Z$505,Z129,$Y$59:$Y$505,"Агрессивный",$W$59:$W$505,"Рассчитан")=1),"Да","Нет")))</x:f>
      </x:c>
      <x:c r="AF129" s="5"/>
      <x:c r="AG129" s="5"/>
    </x:row>
    <x:row r="130">
      <x:c r="A130" s="80"/>
      <x:c r="B130" s="80"/>
      <x:c r="C130" s="83"/>
      <x:c r="D130" s="80"/>
      <x:c r="E130" s="80"/>
      <x:c r="F130" s="86"/>
      <x:c r="G130" s="80"/>
      <x:c r="H130" s="95"/>
      <x:c r="I130" s="95"/>
      <x:c r="J130" s="96"/>
      <x:c r="K130" s="97"/>
      <x:c r="L130" s="98"/>
      <x:c r="M130" s="98"/>
      <x:c r="N130" s="98"/>
      <x:c r="O130" s="98"/>
      <x:c r="P130" s="98"/>
      <x:c r="Q130" s="80"/>
      <x:c r="R130" s="80"/>
      <x:c r="S130" s="80"/>
      <x:c r="T130" s="80"/>
      <x:c r="U130" s="80"/>
      <x:c r="V130" s="89" t="str">
        <x:f>IF(A130="","",IF(U130="","",IF(U130="Выигрыш",J130-1,IF(U130="Полувыигрыш",(J130-1)/2,IF(U130="Возврат",0,IF(U130="Полупроигрыш",-0.5,IF(U130="Поражение",-1,"Проверить результат")))))))</x:f>
      </x:c>
      <x:c r="W130" s="80" t="str">
        <x:f>IF(A130="","",IF(U130="","Открыт",IF(ISNUMBER(V130),"Рассчитан","Проверить результат")))</x:f>
      </x:c>
      <x:c r="X130" s="98"/>
      <x:c r="Y130" s="5"/>
      <x:c r="Z130" s="5"/>
      <x:c r="AA130" s="5"/>
      <x:c r="AB130" s="118"/>
      <x:c r="AC130" s="119"/>
      <x:c r="AD130" s="119"/>
      <x:c r="AE130" s="5" t="str">
        <x:f>IF(A130="","",IF(Z130="","Нет ID пары",IF(AND(COUNTIFS($Z$59:$Z$505,Z130,$Y$59:$Y$505,"Оптимальный",$W$59:$W$505,"Рассчитан")=1,COUNTIFS($Z$59:$Z$505,Z130,$Y$59:$Y$505,"Агрессивный",$W$59:$W$505,"Рассчитан")=1),"Да","Нет")))</x:f>
      </x:c>
      <x:c r="AF130" s="5"/>
      <x:c r="AG130" s="5"/>
    </x:row>
    <x:row r="131">
      <x:c r="A131" s="80"/>
      <x:c r="B131" s="80"/>
      <x:c r="C131" s="83"/>
      <x:c r="D131" s="80"/>
      <x:c r="E131" s="80"/>
      <x:c r="F131" s="86"/>
      <x:c r="G131" s="80"/>
      <x:c r="H131" s="95"/>
      <x:c r="I131" s="95"/>
      <x:c r="J131" s="96"/>
      <x:c r="K131" s="97"/>
      <x:c r="L131" s="98"/>
      <x:c r="M131" s="98"/>
      <x:c r="N131" s="98"/>
      <x:c r="O131" s="98"/>
      <x:c r="P131" s="98"/>
      <x:c r="Q131" s="80"/>
      <x:c r="R131" s="80"/>
      <x:c r="S131" s="80"/>
      <x:c r="T131" s="80"/>
      <x:c r="U131" s="80"/>
      <x:c r="V131" s="89" t="str">
        <x:f>IF(A131="","",IF(U131="","",IF(U131="Выигрыш",J131-1,IF(U131="Полувыигрыш",(J131-1)/2,IF(U131="Возврат",0,IF(U131="Полупроигрыш",-0.5,IF(U131="Поражение",-1,"Проверить результат")))))))</x:f>
      </x:c>
      <x:c r="W131" s="80" t="str">
        <x:f>IF(A131="","",IF(U131="","Открыт",IF(ISNUMBER(V131),"Рассчитан","Проверить результат")))</x:f>
      </x:c>
      <x:c r="X131" s="98"/>
      <x:c r="Y131" s="5"/>
      <x:c r="Z131" s="5"/>
      <x:c r="AA131" s="5"/>
      <x:c r="AB131" s="118"/>
      <x:c r="AC131" s="119"/>
      <x:c r="AD131" s="119"/>
      <x:c r="AE131" s="5" t="str">
        <x:f>IF(A131="","",IF(Z131="","Нет ID пары",IF(AND(COUNTIFS($Z$59:$Z$505,Z131,$Y$59:$Y$505,"Оптимальный",$W$59:$W$505,"Рассчитан")=1,COUNTIFS($Z$59:$Z$505,Z131,$Y$59:$Y$505,"Агрессивный",$W$59:$W$505,"Рассчитан")=1),"Да","Нет")))</x:f>
      </x:c>
      <x:c r="AF131" s="5"/>
      <x:c r="AG131" s="5"/>
    </x:row>
    <x:row r="132">
      <x:c r="A132" s="80"/>
      <x:c r="B132" s="80"/>
      <x:c r="C132" s="83"/>
      <x:c r="D132" s="80"/>
      <x:c r="E132" s="80"/>
      <x:c r="F132" s="86"/>
      <x:c r="G132" s="80"/>
      <x:c r="H132" s="95"/>
      <x:c r="I132" s="95"/>
      <x:c r="J132" s="96"/>
      <x:c r="K132" s="97"/>
      <x:c r="L132" s="98"/>
      <x:c r="M132" s="98"/>
      <x:c r="N132" s="98"/>
      <x:c r="O132" s="98"/>
      <x:c r="P132" s="98"/>
      <x:c r="Q132" s="80"/>
      <x:c r="R132" s="80"/>
      <x:c r="S132" s="80"/>
      <x:c r="T132" s="80"/>
      <x:c r="U132" s="80"/>
      <x:c r="V132" s="89" t="str">
        <x:f>IF(A132="","",IF(U132="","",IF(U132="Выигрыш",J132-1,IF(U132="Полувыигрыш",(J132-1)/2,IF(U132="Возврат",0,IF(U132="Полупроигрыш",-0.5,IF(U132="Поражение",-1,"Проверить результат")))))))</x:f>
      </x:c>
      <x:c r="W132" s="80" t="str">
        <x:f>IF(A132="","",IF(U132="","Открыт",IF(ISNUMBER(V132),"Рассчитан","Проверить результат")))</x:f>
      </x:c>
      <x:c r="X132" s="98"/>
      <x:c r="Y132" s="5"/>
      <x:c r="Z132" s="5"/>
      <x:c r="AA132" s="5"/>
      <x:c r="AB132" s="118"/>
      <x:c r="AC132" s="119"/>
      <x:c r="AD132" s="119"/>
      <x:c r="AE132" s="5" t="str">
        <x:f>IF(A132="","",IF(Z132="","Нет ID пары",IF(AND(COUNTIFS($Z$59:$Z$505,Z132,$Y$59:$Y$505,"Оптимальный",$W$59:$W$505,"Рассчитан")=1,COUNTIFS($Z$59:$Z$505,Z132,$Y$59:$Y$505,"Агрессивный",$W$59:$W$505,"Рассчитан")=1),"Да","Нет")))</x:f>
      </x:c>
      <x:c r="AF132" s="5"/>
      <x:c r="AG132" s="5"/>
    </x:row>
    <x:row r="133">
      <x:c r="A133" s="80"/>
      <x:c r="B133" s="80"/>
      <x:c r="C133" s="83"/>
      <x:c r="D133" s="80"/>
      <x:c r="E133" s="80"/>
      <x:c r="F133" s="86"/>
      <x:c r="G133" s="80"/>
      <x:c r="H133" s="95"/>
      <x:c r="I133" s="95"/>
      <x:c r="J133" s="96"/>
      <x:c r="K133" s="97"/>
      <x:c r="L133" s="98"/>
      <x:c r="M133" s="98"/>
      <x:c r="N133" s="98"/>
      <x:c r="O133" s="98"/>
      <x:c r="P133" s="98"/>
      <x:c r="Q133" s="80"/>
      <x:c r="R133" s="80"/>
      <x:c r="S133" s="80"/>
      <x:c r="T133" s="80"/>
      <x:c r="U133" s="80"/>
      <x:c r="V133" s="89" t="str">
        <x:f>IF(A133="","",IF(U133="","",IF(U133="Выигрыш",J133-1,IF(U133="Полувыигрыш",(J133-1)/2,IF(U133="Возврат",0,IF(U133="Полупроигрыш",-0.5,IF(U133="Поражение",-1,"Проверить результат")))))))</x:f>
      </x:c>
      <x:c r="W133" s="80" t="str">
        <x:f>IF(A133="","",IF(U133="","Открыт",IF(ISNUMBER(V133),"Рассчитан","Проверить результат")))</x:f>
      </x:c>
      <x:c r="X133" s="98"/>
      <x:c r="Y133" s="5"/>
      <x:c r="Z133" s="5"/>
      <x:c r="AA133" s="5"/>
      <x:c r="AB133" s="118"/>
      <x:c r="AC133" s="119"/>
      <x:c r="AD133" s="119"/>
      <x:c r="AE133" s="5" t="str">
        <x:f>IF(A133="","",IF(Z133="","Нет ID пары",IF(AND(COUNTIFS($Z$59:$Z$505,Z133,$Y$59:$Y$505,"Оптимальный",$W$59:$W$505,"Рассчитан")=1,COUNTIFS($Z$59:$Z$505,Z133,$Y$59:$Y$505,"Агрессивный",$W$59:$W$505,"Рассчитан")=1),"Да","Нет")))</x:f>
      </x:c>
      <x:c r="AF133" s="5"/>
      <x:c r="AG133" s="5"/>
    </x:row>
    <x:row r="134">
      <x:c r="A134" s="80"/>
      <x:c r="B134" s="80"/>
      <x:c r="C134" s="83"/>
      <x:c r="D134" s="80"/>
      <x:c r="E134" s="80"/>
      <x:c r="F134" s="86"/>
      <x:c r="G134" s="80"/>
      <x:c r="H134" s="95"/>
      <x:c r="I134" s="95"/>
      <x:c r="J134" s="96"/>
      <x:c r="K134" s="97"/>
      <x:c r="L134" s="98"/>
      <x:c r="M134" s="98"/>
      <x:c r="N134" s="98"/>
      <x:c r="O134" s="98"/>
      <x:c r="P134" s="98"/>
      <x:c r="Q134" s="80"/>
      <x:c r="R134" s="80"/>
      <x:c r="S134" s="80"/>
      <x:c r="T134" s="80"/>
      <x:c r="U134" s="80"/>
      <x:c r="V134" s="89" t="str">
        <x:f>IF(A134="","",IF(U134="","",IF(U134="Выигрыш",J134-1,IF(U134="Полувыигрыш",(J134-1)/2,IF(U134="Возврат",0,IF(U134="Полупроигрыш",-0.5,IF(U134="Поражение",-1,"Проверить результат")))))))</x:f>
      </x:c>
      <x:c r="W134" s="80" t="str">
        <x:f>IF(A134="","",IF(U134="","Открыт",IF(ISNUMBER(V134),"Рассчитан","Проверить результат")))</x:f>
      </x:c>
      <x:c r="X134" s="98"/>
      <x:c r="Y134" s="5"/>
      <x:c r="Z134" s="5"/>
      <x:c r="AA134" s="5"/>
      <x:c r="AB134" s="118"/>
      <x:c r="AC134" s="119"/>
      <x:c r="AD134" s="119"/>
      <x:c r="AE134" s="5" t="str">
        <x:f>IF(A134="","",IF(Z134="","Нет ID пары",IF(AND(COUNTIFS($Z$59:$Z$505,Z134,$Y$59:$Y$505,"Оптимальный",$W$59:$W$505,"Рассчитан")=1,COUNTIFS($Z$59:$Z$505,Z134,$Y$59:$Y$505,"Агрессивный",$W$59:$W$505,"Рассчитан")=1),"Да","Нет")))</x:f>
      </x:c>
      <x:c r="AF134" s="5"/>
      <x:c r="AG134" s="5"/>
    </x:row>
    <x:row r="135">
      <x:c r="A135" s="80"/>
      <x:c r="B135" s="80"/>
      <x:c r="C135" s="83"/>
      <x:c r="D135" s="80"/>
      <x:c r="E135" s="80"/>
      <x:c r="F135" s="86"/>
      <x:c r="G135" s="80"/>
      <x:c r="H135" s="95"/>
      <x:c r="I135" s="95"/>
      <x:c r="J135" s="96"/>
      <x:c r="K135" s="97"/>
      <x:c r="L135" s="98"/>
      <x:c r="M135" s="98"/>
      <x:c r="N135" s="98"/>
      <x:c r="O135" s="98"/>
      <x:c r="P135" s="98"/>
      <x:c r="Q135" s="80"/>
      <x:c r="R135" s="80"/>
      <x:c r="S135" s="80"/>
      <x:c r="T135" s="80"/>
      <x:c r="U135" s="80"/>
      <x:c r="V135" s="89" t="str">
        <x:f>IF(A135="","",IF(U135="","",IF(U135="Выигрыш",J135-1,IF(U135="Полувыигрыш",(J135-1)/2,IF(U135="Возврат",0,IF(U135="Полупроигрыш",-0.5,IF(U135="Поражение",-1,"Проверить результат")))))))</x:f>
      </x:c>
      <x:c r="W135" s="80" t="str">
        <x:f>IF(A135="","",IF(U135="","Открыт",IF(ISNUMBER(V135),"Рассчитан","Проверить результат")))</x:f>
      </x:c>
      <x:c r="X135" s="98"/>
      <x:c r="Y135" s="5"/>
      <x:c r="Z135" s="5"/>
      <x:c r="AA135" s="5"/>
      <x:c r="AB135" s="118"/>
      <x:c r="AC135" s="119"/>
      <x:c r="AD135" s="119"/>
      <x:c r="AE135" s="5" t="str">
        <x:f>IF(A135="","",IF(Z135="","Нет ID пары",IF(AND(COUNTIFS($Z$59:$Z$505,Z135,$Y$59:$Y$505,"Оптимальный",$W$59:$W$505,"Рассчитан")=1,COUNTIFS($Z$59:$Z$505,Z135,$Y$59:$Y$505,"Агрессивный",$W$59:$W$505,"Рассчитан")=1),"Да","Нет")))</x:f>
      </x:c>
      <x:c r="AF135" s="5"/>
      <x:c r="AG135" s="5"/>
    </x:row>
    <x:row r="136">
      <x:c r="A136" s="80"/>
      <x:c r="B136" s="80"/>
      <x:c r="C136" s="83"/>
      <x:c r="D136" s="80"/>
      <x:c r="E136" s="80"/>
      <x:c r="F136" s="86"/>
      <x:c r="G136" s="80"/>
      <x:c r="H136" s="95"/>
      <x:c r="I136" s="95"/>
      <x:c r="J136" s="96"/>
      <x:c r="K136" s="97"/>
      <x:c r="L136" s="98"/>
      <x:c r="M136" s="98"/>
      <x:c r="N136" s="98"/>
      <x:c r="O136" s="98"/>
      <x:c r="P136" s="98"/>
      <x:c r="Q136" s="80"/>
      <x:c r="R136" s="80"/>
      <x:c r="S136" s="80"/>
      <x:c r="T136" s="80"/>
      <x:c r="U136" s="80"/>
      <x:c r="V136" s="89" t="str">
        <x:f>IF(A136="","",IF(U136="","",IF(U136="Выигрыш",J136-1,IF(U136="Полувыигрыш",(J136-1)/2,IF(U136="Возврат",0,IF(U136="Полупроигрыш",-0.5,IF(U136="Поражение",-1,"Проверить результат")))))))</x:f>
      </x:c>
      <x:c r="W136" s="80" t="str">
        <x:f>IF(A136="","",IF(U136="","Открыт",IF(ISNUMBER(V136),"Рассчитан","Проверить результат")))</x:f>
      </x:c>
      <x:c r="X136" s="98"/>
      <x:c r="Y136" s="5"/>
      <x:c r="Z136" s="5"/>
      <x:c r="AA136" s="5"/>
      <x:c r="AB136" s="118"/>
      <x:c r="AC136" s="119"/>
      <x:c r="AD136" s="119"/>
      <x:c r="AE136" s="5" t="str">
        <x:f>IF(A136="","",IF(Z136="","Нет ID пары",IF(AND(COUNTIFS($Z$59:$Z$505,Z136,$Y$59:$Y$505,"Оптимальный",$W$59:$W$505,"Рассчитан")=1,COUNTIFS($Z$59:$Z$505,Z136,$Y$59:$Y$505,"Агрессивный",$W$59:$W$505,"Рассчитан")=1),"Да","Нет")))</x:f>
      </x:c>
      <x:c r="AF136" s="5"/>
      <x:c r="AG136" s="5"/>
    </x:row>
    <x:row r="137">
      <x:c r="A137" s="80"/>
      <x:c r="B137" s="80"/>
      <x:c r="C137" s="83"/>
      <x:c r="D137" s="80"/>
      <x:c r="E137" s="80"/>
      <x:c r="F137" s="86"/>
      <x:c r="G137" s="80"/>
      <x:c r="H137" s="95"/>
      <x:c r="I137" s="95"/>
      <x:c r="J137" s="96"/>
      <x:c r="K137" s="97"/>
      <x:c r="L137" s="98"/>
      <x:c r="M137" s="98"/>
      <x:c r="N137" s="98"/>
      <x:c r="O137" s="98"/>
      <x:c r="P137" s="98"/>
      <x:c r="Q137" s="80"/>
      <x:c r="R137" s="80"/>
      <x:c r="S137" s="80"/>
      <x:c r="T137" s="80"/>
      <x:c r="U137" s="80"/>
      <x:c r="V137" s="89" t="str">
        <x:f>IF(A137="","",IF(U137="","",IF(U137="Выигрыш",J137-1,IF(U137="Полувыигрыш",(J137-1)/2,IF(U137="Возврат",0,IF(U137="Полупроигрыш",-0.5,IF(U137="Поражение",-1,"Проверить результат")))))))</x:f>
      </x:c>
      <x:c r="W137" s="80" t="str">
        <x:f>IF(A137="","",IF(U137="","Открыт",IF(ISNUMBER(V137),"Рассчитан","Проверить результат")))</x:f>
      </x:c>
      <x:c r="X137" s="98"/>
      <x:c r="Y137" s="5"/>
      <x:c r="Z137" s="5"/>
      <x:c r="AA137" s="5"/>
      <x:c r="AB137" s="118"/>
      <x:c r="AC137" s="119"/>
      <x:c r="AD137" s="119"/>
      <x:c r="AE137" s="5" t="str">
        <x:f>IF(A137="","",IF(Z137="","Нет ID пары",IF(AND(COUNTIFS($Z$59:$Z$505,Z137,$Y$59:$Y$505,"Оптимальный",$W$59:$W$505,"Рассчитан")=1,COUNTIFS($Z$59:$Z$505,Z137,$Y$59:$Y$505,"Агрессивный",$W$59:$W$505,"Рассчитан")=1),"Да","Нет")))</x:f>
      </x:c>
      <x:c r="AF137" s="5"/>
      <x:c r="AG137" s="5"/>
    </x:row>
    <x:row r="138">
      <x:c r="A138" s="80"/>
      <x:c r="B138" s="80"/>
      <x:c r="C138" s="83"/>
      <x:c r="D138" s="80"/>
      <x:c r="E138" s="80"/>
      <x:c r="F138" s="86"/>
      <x:c r="G138" s="80"/>
      <x:c r="H138" s="95"/>
      <x:c r="I138" s="95"/>
      <x:c r="J138" s="96"/>
      <x:c r="K138" s="97"/>
      <x:c r="L138" s="98"/>
      <x:c r="M138" s="98"/>
      <x:c r="N138" s="98"/>
      <x:c r="O138" s="98"/>
      <x:c r="P138" s="98"/>
      <x:c r="Q138" s="80"/>
      <x:c r="R138" s="80"/>
      <x:c r="S138" s="80"/>
      <x:c r="T138" s="80"/>
      <x:c r="U138" s="80"/>
      <x:c r="V138" s="89" t="str">
        <x:f>IF(A138="","",IF(U138="","",IF(U138="Выигрыш",J138-1,IF(U138="Полувыигрыш",(J138-1)/2,IF(U138="Возврат",0,IF(U138="Полупроигрыш",-0.5,IF(U138="Поражение",-1,"Проверить результат")))))))</x:f>
      </x:c>
      <x:c r="W138" s="80" t="str">
        <x:f>IF(A138="","",IF(U138="","Открыт",IF(ISNUMBER(V138),"Рассчитан","Проверить результат")))</x:f>
      </x:c>
      <x:c r="X138" s="98"/>
      <x:c r="Y138" s="5"/>
      <x:c r="Z138" s="5"/>
      <x:c r="AA138" s="5"/>
      <x:c r="AB138" s="118"/>
      <x:c r="AC138" s="119"/>
      <x:c r="AD138" s="119"/>
      <x:c r="AE138" s="5" t="str">
        <x:f>IF(A138="","",IF(Z138="","Нет ID пары",IF(AND(COUNTIFS($Z$59:$Z$505,Z138,$Y$59:$Y$505,"Оптимальный",$W$59:$W$505,"Рассчитан")=1,COUNTIFS($Z$59:$Z$505,Z138,$Y$59:$Y$505,"Агрессивный",$W$59:$W$505,"Рассчитан")=1),"Да","Нет")))</x:f>
      </x:c>
      <x:c r="AF138" s="5"/>
      <x:c r="AG138" s="5"/>
    </x:row>
    <x:row r="139">
      <x:c r="A139" s="80"/>
      <x:c r="B139" s="80"/>
      <x:c r="C139" s="83"/>
      <x:c r="D139" s="80"/>
      <x:c r="E139" s="80"/>
      <x:c r="F139" s="86"/>
      <x:c r="G139" s="80"/>
      <x:c r="H139" s="95"/>
      <x:c r="I139" s="95"/>
      <x:c r="J139" s="96"/>
      <x:c r="K139" s="97"/>
      <x:c r="L139" s="98"/>
      <x:c r="M139" s="98"/>
      <x:c r="N139" s="98"/>
      <x:c r="O139" s="98"/>
      <x:c r="P139" s="98"/>
      <x:c r="Q139" s="80"/>
      <x:c r="R139" s="80"/>
      <x:c r="S139" s="80"/>
      <x:c r="T139" s="80"/>
      <x:c r="U139" s="80"/>
      <x:c r="V139" s="89" t="str">
        <x:f>IF(A139="","",IF(U139="","",IF(U139="Выигрыш",J139-1,IF(U139="Полувыигрыш",(J139-1)/2,IF(U139="Возврат",0,IF(U139="Полупроигрыш",-0.5,IF(U139="Поражение",-1,"Проверить результат")))))))</x:f>
      </x:c>
      <x:c r="W139" s="80" t="str">
        <x:f>IF(A139="","",IF(U139="","Открыт",IF(ISNUMBER(V139),"Рассчитан","Проверить результат")))</x:f>
      </x:c>
      <x:c r="X139" s="98"/>
      <x:c r="Y139" s="5"/>
      <x:c r="Z139" s="5"/>
      <x:c r="AA139" s="5"/>
      <x:c r="AB139" s="118"/>
      <x:c r="AC139" s="119"/>
      <x:c r="AD139" s="119"/>
      <x:c r="AE139" s="5" t="str">
        <x:f>IF(A139="","",IF(Z139="","Нет ID пары",IF(AND(COUNTIFS($Z$59:$Z$505,Z139,$Y$59:$Y$505,"Оптимальный",$W$59:$W$505,"Рассчитан")=1,COUNTIFS($Z$59:$Z$505,Z139,$Y$59:$Y$505,"Агрессивный",$W$59:$W$505,"Рассчитан")=1),"Да","Нет")))</x:f>
      </x:c>
      <x:c r="AF139" s="5"/>
      <x:c r="AG139" s="5"/>
    </x:row>
    <x:row r="140">
      <x:c r="A140" s="80"/>
      <x:c r="B140" s="80"/>
      <x:c r="C140" s="83"/>
      <x:c r="D140" s="80"/>
      <x:c r="E140" s="80"/>
      <x:c r="F140" s="86"/>
      <x:c r="G140" s="80"/>
      <x:c r="H140" s="95"/>
      <x:c r="I140" s="95"/>
      <x:c r="J140" s="96"/>
      <x:c r="K140" s="97"/>
      <x:c r="L140" s="98"/>
      <x:c r="M140" s="98"/>
      <x:c r="N140" s="98"/>
      <x:c r="O140" s="98"/>
      <x:c r="P140" s="98"/>
      <x:c r="Q140" s="80"/>
      <x:c r="R140" s="80"/>
      <x:c r="S140" s="80"/>
      <x:c r="T140" s="80"/>
      <x:c r="U140" s="80"/>
      <x:c r="V140" s="89" t="str">
        <x:f>IF(A140="","",IF(U140="","",IF(U140="Выигрыш",J140-1,IF(U140="Полувыигрыш",(J140-1)/2,IF(U140="Возврат",0,IF(U140="Полупроигрыш",-0.5,IF(U140="Поражение",-1,"Проверить результат")))))))</x:f>
      </x:c>
      <x:c r="W140" s="80" t="str">
        <x:f>IF(A140="","",IF(U140="","Открыт",IF(ISNUMBER(V140),"Рассчитан","Проверить результат")))</x:f>
      </x:c>
      <x:c r="X140" s="98"/>
      <x:c r="Y140" s="5"/>
      <x:c r="Z140" s="5"/>
      <x:c r="AA140" s="5"/>
      <x:c r="AB140" s="118"/>
      <x:c r="AC140" s="119"/>
      <x:c r="AD140" s="119"/>
      <x:c r="AE140" s="5" t="str">
        <x:f>IF(A140="","",IF(Z140="","Нет ID пары",IF(AND(COUNTIFS($Z$59:$Z$505,Z140,$Y$59:$Y$505,"Оптимальный",$W$59:$W$505,"Рассчитан")=1,COUNTIFS($Z$59:$Z$505,Z140,$Y$59:$Y$505,"Агрессивный",$W$59:$W$505,"Рассчитан")=1),"Да","Нет")))</x:f>
      </x:c>
      <x:c r="AF140" s="5"/>
      <x:c r="AG140" s="5"/>
    </x:row>
    <x:row r="141">
      <x:c r="A141" s="80"/>
      <x:c r="B141" s="80"/>
      <x:c r="C141" s="83"/>
      <x:c r="D141" s="80"/>
      <x:c r="E141" s="80"/>
      <x:c r="F141" s="86"/>
      <x:c r="G141" s="80"/>
      <x:c r="H141" s="95"/>
      <x:c r="I141" s="95"/>
      <x:c r="J141" s="96"/>
      <x:c r="K141" s="97"/>
      <x:c r="L141" s="98"/>
      <x:c r="M141" s="98"/>
      <x:c r="N141" s="98"/>
      <x:c r="O141" s="98"/>
      <x:c r="P141" s="98"/>
      <x:c r="Q141" s="80"/>
      <x:c r="R141" s="80"/>
      <x:c r="S141" s="80"/>
      <x:c r="T141" s="80"/>
      <x:c r="U141" s="80"/>
      <x:c r="V141" s="89" t="str">
        <x:f>IF(A141="","",IF(U141="","",IF(U141="Выигрыш",J141-1,IF(U141="Полувыигрыш",(J141-1)/2,IF(U141="Возврат",0,IF(U141="Полупроигрыш",-0.5,IF(U141="Поражение",-1,"Проверить результат")))))))</x:f>
      </x:c>
      <x:c r="W141" s="80" t="str">
        <x:f>IF(A141="","",IF(U141="","Открыт",IF(ISNUMBER(V141),"Рассчитан","Проверить результат")))</x:f>
      </x:c>
      <x:c r="X141" s="98"/>
      <x:c r="Y141" s="5"/>
      <x:c r="Z141" s="5"/>
      <x:c r="AA141" s="5"/>
      <x:c r="AB141" s="118"/>
      <x:c r="AC141" s="119"/>
      <x:c r="AD141" s="119"/>
      <x:c r="AE141" s="5" t="str">
        <x:f>IF(A141="","",IF(Z141="","Нет ID пары",IF(AND(COUNTIFS($Z$59:$Z$505,Z141,$Y$59:$Y$505,"Оптимальный",$W$59:$W$505,"Рассчитан")=1,COUNTIFS($Z$59:$Z$505,Z141,$Y$59:$Y$505,"Агрессивный",$W$59:$W$505,"Рассчитан")=1),"Да","Нет")))</x:f>
      </x:c>
      <x:c r="AF141" s="5"/>
      <x:c r="AG141" s="5"/>
    </x:row>
    <x:row r="142">
      <x:c r="A142" s="80"/>
      <x:c r="B142" s="80"/>
      <x:c r="C142" s="83"/>
      <x:c r="D142" s="80"/>
      <x:c r="E142" s="80"/>
      <x:c r="F142" s="86"/>
      <x:c r="G142" s="80"/>
      <x:c r="H142" s="95"/>
      <x:c r="I142" s="95"/>
      <x:c r="J142" s="96"/>
      <x:c r="K142" s="97"/>
      <x:c r="L142" s="98"/>
      <x:c r="M142" s="98"/>
      <x:c r="N142" s="98"/>
      <x:c r="O142" s="98"/>
      <x:c r="P142" s="98"/>
      <x:c r="Q142" s="80"/>
      <x:c r="R142" s="80"/>
      <x:c r="S142" s="80"/>
      <x:c r="T142" s="80"/>
      <x:c r="U142" s="80"/>
      <x:c r="V142" s="89" t="str">
        <x:f>IF(A142="","",IF(U142="","",IF(U142="Выигрыш",J142-1,IF(U142="Полувыигрыш",(J142-1)/2,IF(U142="Возврат",0,IF(U142="Полупроигрыш",-0.5,IF(U142="Поражение",-1,"Проверить результат")))))))</x:f>
      </x:c>
      <x:c r="W142" s="80" t="str">
        <x:f>IF(A142="","",IF(U142="","Открыт",IF(ISNUMBER(V142),"Рассчитан","Проверить результат")))</x:f>
      </x:c>
      <x:c r="X142" s="98"/>
      <x:c r="Y142" s="5"/>
      <x:c r="Z142" s="5"/>
      <x:c r="AA142" s="5"/>
      <x:c r="AB142" s="118"/>
      <x:c r="AC142" s="119"/>
      <x:c r="AD142" s="119"/>
      <x:c r="AE142" s="5" t="str">
        <x:f>IF(A142="","",IF(Z142="","Нет ID пары",IF(AND(COUNTIFS($Z$59:$Z$505,Z142,$Y$59:$Y$505,"Оптимальный",$W$59:$W$505,"Рассчитан")=1,COUNTIFS($Z$59:$Z$505,Z142,$Y$59:$Y$505,"Агрессивный",$W$59:$W$505,"Рассчитан")=1),"Да","Нет")))</x:f>
      </x:c>
      <x:c r="AF142" s="5"/>
      <x:c r="AG142" s="5"/>
    </x:row>
    <x:row r="143">
      <x:c r="A143" s="80"/>
      <x:c r="B143" s="80"/>
      <x:c r="C143" s="83"/>
      <x:c r="D143" s="80"/>
      <x:c r="E143" s="80"/>
      <x:c r="F143" s="86"/>
      <x:c r="G143" s="80"/>
      <x:c r="H143" s="95"/>
      <x:c r="I143" s="95"/>
      <x:c r="J143" s="96"/>
      <x:c r="K143" s="97"/>
      <x:c r="L143" s="98"/>
      <x:c r="M143" s="98"/>
      <x:c r="N143" s="98"/>
      <x:c r="O143" s="98"/>
      <x:c r="P143" s="98"/>
      <x:c r="Q143" s="80"/>
      <x:c r="R143" s="80"/>
      <x:c r="S143" s="80"/>
      <x:c r="T143" s="80"/>
      <x:c r="U143" s="80"/>
      <x:c r="V143" s="89" t="str">
        <x:f>IF(A143="","",IF(U143="","",IF(U143="Выигрыш",J143-1,IF(U143="Полувыигрыш",(J143-1)/2,IF(U143="Возврат",0,IF(U143="Полупроигрыш",-0.5,IF(U143="Поражение",-1,"Проверить результат")))))))</x:f>
      </x:c>
      <x:c r="W143" s="80" t="str">
        <x:f>IF(A143="","",IF(U143="","Открыт",IF(ISNUMBER(V143),"Рассчитан","Проверить результат")))</x:f>
      </x:c>
      <x:c r="X143" s="98"/>
      <x:c r="Y143" s="5"/>
      <x:c r="Z143" s="5"/>
      <x:c r="AA143" s="5"/>
      <x:c r="AB143" s="118"/>
      <x:c r="AC143" s="119"/>
      <x:c r="AD143" s="119"/>
      <x:c r="AE143" s="5" t="str">
        <x:f>IF(A143="","",IF(Z143="","Нет ID пары",IF(AND(COUNTIFS($Z$59:$Z$505,Z143,$Y$59:$Y$505,"Оптимальный",$W$59:$W$505,"Рассчитан")=1,COUNTIFS($Z$59:$Z$505,Z143,$Y$59:$Y$505,"Агрессивный",$W$59:$W$505,"Рассчитан")=1),"Да","Нет")))</x:f>
      </x:c>
      <x:c r="AF143" s="5"/>
      <x:c r="AG143" s="5"/>
    </x:row>
    <x:row r="144">
      <x:c r="A144" s="80"/>
      <x:c r="B144" s="80"/>
      <x:c r="C144" s="83"/>
      <x:c r="D144" s="80"/>
      <x:c r="E144" s="80"/>
      <x:c r="F144" s="86"/>
      <x:c r="G144" s="80"/>
      <x:c r="H144" s="95"/>
      <x:c r="I144" s="95"/>
      <x:c r="J144" s="96"/>
      <x:c r="K144" s="97"/>
      <x:c r="L144" s="98"/>
      <x:c r="M144" s="98"/>
      <x:c r="N144" s="98"/>
      <x:c r="O144" s="98"/>
      <x:c r="P144" s="98"/>
      <x:c r="Q144" s="80"/>
      <x:c r="R144" s="80"/>
      <x:c r="S144" s="80"/>
      <x:c r="T144" s="80"/>
      <x:c r="U144" s="80"/>
      <x:c r="V144" s="89" t="str">
        <x:f>IF(A144="","",IF(U144="","",IF(U144="Выигрыш",J144-1,IF(U144="Полувыигрыш",(J144-1)/2,IF(U144="Возврат",0,IF(U144="Полупроигрыш",-0.5,IF(U144="Поражение",-1,"Проверить результат")))))))</x:f>
      </x:c>
      <x:c r="W144" s="80" t="str">
        <x:f>IF(A144="","",IF(U144="","Открыт",IF(ISNUMBER(V144),"Рассчитан","Проверить результат")))</x:f>
      </x:c>
      <x:c r="X144" s="98"/>
      <x:c r="Y144" s="5"/>
      <x:c r="Z144" s="5"/>
      <x:c r="AA144" s="5"/>
      <x:c r="AB144" s="118"/>
      <x:c r="AC144" s="119"/>
      <x:c r="AD144" s="119"/>
      <x:c r="AE144" s="5" t="str">
        <x:f>IF(A144="","",IF(Z144="","Нет ID пары",IF(AND(COUNTIFS($Z$59:$Z$505,Z144,$Y$59:$Y$505,"Оптимальный",$W$59:$W$505,"Рассчитан")=1,COUNTIFS($Z$59:$Z$505,Z144,$Y$59:$Y$505,"Агрессивный",$W$59:$W$505,"Рассчитан")=1),"Да","Нет")))</x:f>
      </x:c>
      <x:c r="AF144" s="5"/>
      <x:c r="AG144" s="5"/>
    </x:row>
    <x:row r="145">
      <x:c r="A145" s="80"/>
      <x:c r="B145" s="80"/>
      <x:c r="C145" s="83"/>
      <x:c r="D145" s="80"/>
      <x:c r="E145" s="80"/>
      <x:c r="F145" s="86"/>
      <x:c r="G145" s="80"/>
      <x:c r="H145" s="95"/>
      <x:c r="I145" s="95"/>
      <x:c r="J145" s="96"/>
      <x:c r="K145" s="97"/>
      <x:c r="L145" s="98"/>
      <x:c r="M145" s="98"/>
      <x:c r="N145" s="98"/>
      <x:c r="O145" s="98"/>
      <x:c r="P145" s="98"/>
      <x:c r="Q145" s="80"/>
      <x:c r="R145" s="80"/>
      <x:c r="S145" s="80"/>
      <x:c r="T145" s="80"/>
      <x:c r="U145" s="80"/>
      <x:c r="V145" s="89" t="str">
        <x:f>IF(A145="","",IF(U145="","",IF(U145="Выигрыш",J145-1,IF(U145="Полувыигрыш",(J145-1)/2,IF(U145="Возврат",0,IF(U145="Полупроигрыш",-0.5,IF(U145="Поражение",-1,"Проверить результат")))))))</x:f>
      </x:c>
      <x:c r="W145" s="80" t="str">
        <x:f>IF(A145="","",IF(U145="","Открыт",IF(ISNUMBER(V145),"Рассчитан","Проверить результат")))</x:f>
      </x:c>
      <x:c r="X145" s="98"/>
      <x:c r="Y145" s="5"/>
      <x:c r="Z145" s="5"/>
      <x:c r="AA145" s="5"/>
      <x:c r="AB145" s="118"/>
      <x:c r="AC145" s="119"/>
      <x:c r="AD145" s="119"/>
      <x:c r="AE145" s="5" t="str">
        <x:f>IF(A145="","",IF(Z145="","Нет ID пары",IF(AND(COUNTIFS($Z$59:$Z$505,Z145,$Y$59:$Y$505,"Оптимальный",$W$59:$W$505,"Рассчитан")=1,COUNTIFS($Z$59:$Z$505,Z145,$Y$59:$Y$505,"Агрессивный",$W$59:$W$505,"Рассчитан")=1),"Да","Нет")))</x:f>
      </x:c>
      <x:c r="AF145" s="5"/>
      <x:c r="AG145" s="5"/>
    </x:row>
    <x:row r="146">
      <x:c r="A146" s="80"/>
      <x:c r="B146" s="80"/>
      <x:c r="C146" s="83"/>
      <x:c r="D146" s="80"/>
      <x:c r="E146" s="80"/>
      <x:c r="F146" s="86"/>
      <x:c r="G146" s="80"/>
      <x:c r="H146" s="95"/>
      <x:c r="I146" s="95"/>
      <x:c r="J146" s="96"/>
      <x:c r="K146" s="97"/>
      <x:c r="L146" s="98"/>
      <x:c r="M146" s="98"/>
      <x:c r="N146" s="98"/>
      <x:c r="O146" s="98"/>
      <x:c r="P146" s="98"/>
      <x:c r="Q146" s="80"/>
      <x:c r="R146" s="80"/>
      <x:c r="S146" s="80"/>
      <x:c r="T146" s="80"/>
      <x:c r="U146" s="80"/>
      <x:c r="V146" s="89" t="str">
        <x:f>IF(A146="","",IF(U146="","",IF(U146="Выигрыш",J146-1,IF(U146="Полувыигрыш",(J146-1)/2,IF(U146="Возврат",0,IF(U146="Полупроигрыш",-0.5,IF(U146="Поражение",-1,"Проверить результат")))))))</x:f>
      </x:c>
      <x:c r="W146" s="80" t="str">
        <x:f>IF(A146="","",IF(U146="","Открыт",IF(ISNUMBER(V146),"Рассчитан","Проверить результат")))</x:f>
      </x:c>
      <x:c r="X146" s="98"/>
      <x:c r="Y146" s="5"/>
      <x:c r="Z146" s="5"/>
      <x:c r="AA146" s="5"/>
      <x:c r="AB146" s="118"/>
      <x:c r="AC146" s="119"/>
      <x:c r="AD146" s="119"/>
      <x:c r="AE146" s="5" t="str">
        <x:f>IF(A146="","",IF(Z146="","Нет ID пары",IF(AND(COUNTIFS($Z$59:$Z$505,Z146,$Y$59:$Y$505,"Оптимальный",$W$59:$W$505,"Рассчитан")=1,COUNTIFS($Z$59:$Z$505,Z146,$Y$59:$Y$505,"Агрессивный",$W$59:$W$505,"Рассчитан")=1),"Да","Нет")))</x:f>
      </x:c>
      <x:c r="AF146" s="5"/>
      <x:c r="AG146" s="5"/>
    </x:row>
    <x:row r="147">
      <x:c r="A147" s="80"/>
      <x:c r="B147" s="80"/>
      <x:c r="C147" s="83"/>
      <x:c r="D147" s="80"/>
      <x:c r="E147" s="80"/>
      <x:c r="F147" s="86"/>
      <x:c r="G147" s="80"/>
      <x:c r="H147" s="95"/>
      <x:c r="I147" s="95"/>
      <x:c r="J147" s="96"/>
      <x:c r="K147" s="97"/>
      <x:c r="L147" s="98"/>
      <x:c r="M147" s="98"/>
      <x:c r="N147" s="98"/>
      <x:c r="O147" s="98"/>
      <x:c r="P147" s="98"/>
      <x:c r="Q147" s="80"/>
      <x:c r="R147" s="80"/>
      <x:c r="S147" s="80"/>
      <x:c r="T147" s="80"/>
      <x:c r="U147" s="80"/>
      <x:c r="V147" s="89" t="str">
        <x:f>IF(A147="","",IF(U147="","",IF(U147="Выигрыш",J147-1,IF(U147="Полувыигрыш",(J147-1)/2,IF(U147="Возврат",0,IF(U147="Полупроигрыш",-0.5,IF(U147="Поражение",-1,"Проверить результат")))))))</x:f>
      </x:c>
      <x:c r="W147" s="80" t="str">
        <x:f>IF(A147="","",IF(U147="","Открыт",IF(ISNUMBER(V147),"Рассчитан","Проверить результат")))</x:f>
      </x:c>
      <x:c r="X147" s="98"/>
      <x:c r="Y147" s="5"/>
      <x:c r="Z147" s="5"/>
      <x:c r="AA147" s="5"/>
      <x:c r="AB147" s="118"/>
      <x:c r="AC147" s="119"/>
      <x:c r="AD147" s="119"/>
      <x:c r="AE147" s="5" t="str">
        <x:f>IF(A147="","",IF(Z147="","Нет ID пары",IF(AND(COUNTIFS($Z$59:$Z$505,Z147,$Y$59:$Y$505,"Оптимальный",$W$59:$W$505,"Рассчитан")=1,COUNTIFS($Z$59:$Z$505,Z147,$Y$59:$Y$505,"Агрессивный",$W$59:$W$505,"Рассчитан")=1),"Да","Нет")))</x:f>
      </x:c>
      <x:c r="AF147" s="5"/>
      <x:c r="AG147" s="5"/>
    </x:row>
    <x:row r="148">
      <x:c r="A148" s="80"/>
      <x:c r="B148" s="80"/>
      <x:c r="C148" s="83"/>
      <x:c r="D148" s="80"/>
      <x:c r="E148" s="80"/>
      <x:c r="F148" s="86"/>
      <x:c r="G148" s="80"/>
      <x:c r="H148" s="95"/>
      <x:c r="I148" s="95"/>
      <x:c r="J148" s="96"/>
      <x:c r="K148" s="97"/>
      <x:c r="L148" s="98"/>
      <x:c r="M148" s="98"/>
      <x:c r="N148" s="98"/>
      <x:c r="O148" s="98"/>
      <x:c r="P148" s="98"/>
      <x:c r="Q148" s="80"/>
      <x:c r="R148" s="80"/>
      <x:c r="S148" s="80"/>
      <x:c r="T148" s="80"/>
      <x:c r="U148" s="80"/>
      <x:c r="V148" s="89" t="str">
        <x:f>IF(A148="","",IF(U148="","",IF(U148="Выигрыш",J148-1,IF(U148="Полувыигрыш",(J148-1)/2,IF(U148="Возврат",0,IF(U148="Полупроигрыш",-0.5,IF(U148="Поражение",-1,"Проверить результат")))))))</x:f>
      </x:c>
      <x:c r="W148" s="80" t="str">
        <x:f>IF(A148="","",IF(U148="","Открыт",IF(ISNUMBER(V148),"Рассчитан","Проверить результат")))</x:f>
      </x:c>
      <x:c r="X148" s="98"/>
      <x:c r="Y148" s="5"/>
      <x:c r="Z148" s="5"/>
      <x:c r="AA148" s="5"/>
      <x:c r="AB148" s="118"/>
      <x:c r="AC148" s="119"/>
      <x:c r="AD148" s="119"/>
      <x:c r="AE148" s="5" t="str">
        <x:f>IF(A148="","",IF(Z148="","Нет ID пары",IF(AND(COUNTIFS($Z$59:$Z$505,Z148,$Y$59:$Y$505,"Оптимальный",$W$59:$W$505,"Рассчитан")=1,COUNTIFS($Z$59:$Z$505,Z148,$Y$59:$Y$505,"Агрессивный",$W$59:$W$505,"Рассчитан")=1),"Да","Нет")))</x:f>
      </x:c>
      <x:c r="AF148" s="5"/>
      <x:c r="AG148" s="5"/>
    </x:row>
    <x:row r="149">
      <x:c r="A149" s="80"/>
      <x:c r="B149" s="80"/>
      <x:c r="C149" s="83"/>
      <x:c r="D149" s="80"/>
      <x:c r="E149" s="80"/>
      <x:c r="F149" s="86"/>
      <x:c r="G149" s="80"/>
      <x:c r="H149" s="95"/>
      <x:c r="I149" s="95"/>
      <x:c r="J149" s="96"/>
      <x:c r="K149" s="97"/>
      <x:c r="L149" s="98"/>
      <x:c r="M149" s="98"/>
      <x:c r="N149" s="98"/>
      <x:c r="O149" s="98"/>
      <x:c r="P149" s="98"/>
      <x:c r="Q149" s="80"/>
      <x:c r="R149" s="80"/>
      <x:c r="S149" s="80"/>
      <x:c r="T149" s="80"/>
      <x:c r="U149" s="80"/>
      <x:c r="V149" s="89" t="str">
        <x:f>IF(A149="","",IF(U149="","",IF(U149="Выигрыш",J149-1,IF(U149="Полувыигрыш",(J149-1)/2,IF(U149="Возврат",0,IF(U149="Полупроигрыш",-0.5,IF(U149="Поражение",-1,"Проверить результат")))))))</x:f>
      </x:c>
      <x:c r="W149" s="80" t="str">
        <x:f>IF(A149="","",IF(U149="","Открыт",IF(ISNUMBER(V149),"Рассчитан","Проверить результат")))</x:f>
      </x:c>
      <x:c r="X149" s="98"/>
      <x:c r="Y149" s="5"/>
      <x:c r="Z149" s="5"/>
      <x:c r="AA149" s="5"/>
      <x:c r="AB149" s="118"/>
      <x:c r="AC149" s="119"/>
      <x:c r="AD149" s="119"/>
      <x:c r="AE149" s="5" t="str">
        <x:f>IF(A149="","",IF(Z149="","Нет ID пары",IF(AND(COUNTIFS($Z$59:$Z$505,Z149,$Y$59:$Y$505,"Оптимальный",$W$59:$W$505,"Рассчитан")=1,COUNTIFS($Z$59:$Z$505,Z149,$Y$59:$Y$505,"Агрессивный",$W$59:$W$505,"Рассчитан")=1),"Да","Нет")))</x:f>
      </x:c>
      <x:c r="AF149" s="5"/>
      <x:c r="AG149" s="5"/>
    </x:row>
    <x:row r="150">
      <x:c r="A150" s="80"/>
      <x:c r="B150" s="80"/>
      <x:c r="C150" s="83"/>
      <x:c r="D150" s="80"/>
      <x:c r="E150" s="80"/>
      <x:c r="F150" s="86"/>
      <x:c r="G150" s="80"/>
      <x:c r="H150" s="95"/>
      <x:c r="I150" s="95"/>
      <x:c r="J150" s="96"/>
      <x:c r="K150" s="97"/>
      <x:c r="L150" s="98"/>
      <x:c r="M150" s="98"/>
      <x:c r="N150" s="98"/>
      <x:c r="O150" s="98"/>
      <x:c r="P150" s="98"/>
      <x:c r="Q150" s="80"/>
      <x:c r="R150" s="80"/>
      <x:c r="S150" s="80"/>
      <x:c r="T150" s="80"/>
      <x:c r="U150" s="80"/>
      <x:c r="V150" s="89" t="str">
        <x:f>IF(A150="","",IF(U150="","",IF(U150="Выигрыш",J150-1,IF(U150="Полувыигрыш",(J150-1)/2,IF(U150="Возврат",0,IF(U150="Полупроигрыш",-0.5,IF(U150="Поражение",-1,"Проверить результат")))))))</x:f>
      </x:c>
      <x:c r="W150" s="80" t="str">
        <x:f>IF(A150="","",IF(U150="","Открыт",IF(ISNUMBER(V150),"Рассчитан","Проверить результат")))</x:f>
      </x:c>
      <x:c r="X150" s="98"/>
      <x:c r="Y150" s="5"/>
      <x:c r="Z150" s="5"/>
      <x:c r="AA150" s="5"/>
      <x:c r="AB150" s="118"/>
      <x:c r="AC150" s="119"/>
      <x:c r="AD150" s="119"/>
      <x:c r="AE150" s="5" t="str">
        <x:f>IF(A150="","",IF(Z150="","Нет ID пары",IF(AND(COUNTIFS($Z$59:$Z$505,Z150,$Y$59:$Y$505,"Оптимальный",$W$59:$W$505,"Рассчитан")=1,COUNTIFS($Z$59:$Z$505,Z150,$Y$59:$Y$505,"Агрессивный",$W$59:$W$505,"Рассчитан")=1),"Да","Нет")))</x:f>
      </x:c>
      <x:c r="AF150" s="5"/>
      <x:c r="AG150" s="5"/>
    </x:row>
    <x:row r="151">
      <x:c r="A151" s="80"/>
      <x:c r="B151" s="80"/>
      <x:c r="C151" s="83"/>
      <x:c r="D151" s="80"/>
      <x:c r="E151" s="80"/>
      <x:c r="F151" s="86"/>
      <x:c r="G151" s="80"/>
      <x:c r="H151" s="95"/>
      <x:c r="I151" s="95"/>
      <x:c r="J151" s="96"/>
      <x:c r="K151" s="97"/>
      <x:c r="L151" s="98"/>
      <x:c r="M151" s="98"/>
      <x:c r="N151" s="98"/>
      <x:c r="O151" s="98"/>
      <x:c r="P151" s="98"/>
      <x:c r="Q151" s="80"/>
      <x:c r="R151" s="80"/>
      <x:c r="S151" s="80"/>
      <x:c r="T151" s="80"/>
      <x:c r="U151" s="80"/>
      <x:c r="V151" s="89" t="str">
        <x:f>IF(A151="","",IF(U151="","",IF(U151="Выигрыш",J151-1,IF(U151="Полувыигрыш",(J151-1)/2,IF(U151="Возврат",0,IF(U151="Полупроигрыш",-0.5,IF(U151="Поражение",-1,"Проверить результат")))))))</x:f>
      </x:c>
      <x:c r="W151" s="80" t="str">
        <x:f>IF(A151="","",IF(U151="","Открыт",IF(ISNUMBER(V151),"Рассчитан","Проверить результат")))</x:f>
      </x:c>
      <x:c r="X151" s="98"/>
      <x:c r="Y151" s="5"/>
      <x:c r="Z151" s="5"/>
      <x:c r="AA151" s="5"/>
      <x:c r="AB151" s="118"/>
      <x:c r="AC151" s="119"/>
      <x:c r="AD151" s="119"/>
      <x:c r="AE151" s="5" t="str">
        <x:f>IF(A151="","",IF(Z151="","Нет ID пары",IF(AND(COUNTIFS($Z$59:$Z$505,Z151,$Y$59:$Y$505,"Оптимальный",$W$59:$W$505,"Рассчитан")=1,COUNTIFS($Z$59:$Z$505,Z151,$Y$59:$Y$505,"Агрессивный",$W$59:$W$505,"Рассчитан")=1),"Да","Нет")))</x:f>
      </x:c>
      <x:c r="AF151" s="5"/>
      <x:c r="AG151" s="5"/>
    </x:row>
    <x:row r="152">
      <x:c r="A152" s="80"/>
      <x:c r="B152" s="80"/>
      <x:c r="C152" s="83"/>
      <x:c r="D152" s="80"/>
      <x:c r="E152" s="80"/>
      <x:c r="F152" s="86"/>
      <x:c r="G152" s="80"/>
      <x:c r="H152" s="95"/>
      <x:c r="I152" s="95"/>
      <x:c r="J152" s="96"/>
      <x:c r="K152" s="97"/>
      <x:c r="L152" s="98"/>
      <x:c r="M152" s="98"/>
      <x:c r="N152" s="98"/>
      <x:c r="O152" s="98"/>
      <x:c r="P152" s="98"/>
      <x:c r="Q152" s="80"/>
      <x:c r="R152" s="80"/>
      <x:c r="S152" s="80"/>
      <x:c r="T152" s="80"/>
      <x:c r="U152" s="80"/>
      <x:c r="V152" s="89" t="str">
        <x:f>IF(A152="","",IF(U152="","",IF(U152="Выигрыш",J152-1,IF(U152="Полувыигрыш",(J152-1)/2,IF(U152="Возврат",0,IF(U152="Полупроигрыш",-0.5,IF(U152="Поражение",-1,"Проверить результат")))))))</x:f>
      </x:c>
      <x:c r="W152" s="80" t="str">
        <x:f>IF(A152="","",IF(U152="","Открыт",IF(ISNUMBER(V152),"Рассчитан","Проверить результат")))</x:f>
      </x:c>
      <x:c r="X152" s="98"/>
      <x:c r="Y152" s="5"/>
      <x:c r="Z152" s="5"/>
      <x:c r="AA152" s="5"/>
      <x:c r="AB152" s="118"/>
      <x:c r="AC152" s="119"/>
      <x:c r="AD152" s="119"/>
      <x:c r="AE152" s="5" t="str">
        <x:f>IF(A152="","",IF(Z152="","Нет ID пары",IF(AND(COUNTIFS($Z$59:$Z$505,Z152,$Y$59:$Y$505,"Оптимальный",$W$59:$W$505,"Рассчитан")=1,COUNTIFS($Z$59:$Z$505,Z152,$Y$59:$Y$505,"Агрессивный",$W$59:$W$505,"Рассчитан")=1),"Да","Нет")))</x:f>
      </x:c>
      <x:c r="AF152" s="5"/>
      <x:c r="AG152" s="5"/>
    </x:row>
    <x:row r="153">
      <x:c r="A153" s="80"/>
      <x:c r="B153" s="80"/>
      <x:c r="C153" s="83"/>
      <x:c r="D153" s="80"/>
      <x:c r="E153" s="80"/>
      <x:c r="F153" s="86"/>
      <x:c r="G153" s="80"/>
      <x:c r="H153" s="95"/>
      <x:c r="I153" s="95"/>
      <x:c r="J153" s="96"/>
      <x:c r="K153" s="97"/>
      <x:c r="L153" s="98"/>
      <x:c r="M153" s="98"/>
      <x:c r="N153" s="98"/>
      <x:c r="O153" s="98"/>
      <x:c r="P153" s="98"/>
      <x:c r="Q153" s="80"/>
      <x:c r="R153" s="80"/>
      <x:c r="S153" s="80"/>
      <x:c r="T153" s="80"/>
      <x:c r="U153" s="80"/>
      <x:c r="V153" s="89" t="str">
        <x:f>IF(A153="","",IF(U153="","",IF(U153="Выигрыш",J153-1,IF(U153="Полувыигрыш",(J153-1)/2,IF(U153="Возврат",0,IF(U153="Полупроигрыш",-0.5,IF(U153="Поражение",-1,"Проверить результат")))))))</x:f>
      </x:c>
      <x:c r="W153" s="80" t="str">
        <x:f>IF(A153="","",IF(U153="","Открыт",IF(ISNUMBER(V153),"Рассчитан","Проверить результат")))</x:f>
      </x:c>
      <x:c r="X153" s="98"/>
      <x:c r="Y153" s="5"/>
      <x:c r="Z153" s="5"/>
      <x:c r="AA153" s="5"/>
      <x:c r="AB153" s="118"/>
      <x:c r="AC153" s="119"/>
      <x:c r="AD153" s="119"/>
      <x:c r="AE153" s="5" t="str">
        <x:f>IF(A153="","",IF(Z153="","Нет ID пары",IF(AND(COUNTIFS($Z$59:$Z$505,Z153,$Y$59:$Y$505,"Оптимальный",$W$59:$W$505,"Рассчитан")=1,COUNTIFS($Z$59:$Z$505,Z153,$Y$59:$Y$505,"Агрессивный",$W$59:$W$505,"Рассчитан")=1),"Да","Нет")))</x:f>
      </x:c>
      <x:c r="AF153" s="5"/>
      <x:c r="AG153" s="5"/>
    </x:row>
    <x:row r="154">
      <x:c r="A154" s="80"/>
      <x:c r="B154" s="80"/>
      <x:c r="C154" s="83"/>
      <x:c r="D154" s="80"/>
      <x:c r="E154" s="80"/>
      <x:c r="F154" s="86"/>
      <x:c r="G154" s="80"/>
      <x:c r="H154" s="95"/>
      <x:c r="I154" s="95"/>
      <x:c r="J154" s="96"/>
      <x:c r="K154" s="97"/>
      <x:c r="L154" s="98"/>
      <x:c r="M154" s="98"/>
      <x:c r="N154" s="98"/>
      <x:c r="O154" s="98"/>
      <x:c r="P154" s="98"/>
      <x:c r="Q154" s="80"/>
      <x:c r="R154" s="80"/>
      <x:c r="S154" s="80"/>
      <x:c r="T154" s="80"/>
      <x:c r="U154" s="80"/>
      <x:c r="V154" s="89" t="str">
        <x:f>IF(A154="","",IF(U154="","",IF(U154="Выигрыш",J154-1,IF(U154="Полувыигрыш",(J154-1)/2,IF(U154="Возврат",0,IF(U154="Полупроигрыш",-0.5,IF(U154="Поражение",-1,"Проверить результат")))))))</x:f>
      </x:c>
      <x:c r="W154" s="80" t="str">
        <x:f>IF(A154="","",IF(U154="","Открыт",IF(ISNUMBER(V154),"Рассчитан","Проверить результат")))</x:f>
      </x:c>
      <x:c r="X154" s="98"/>
      <x:c r="Y154" s="5"/>
      <x:c r="Z154" s="5"/>
      <x:c r="AA154" s="5"/>
      <x:c r="AB154" s="118"/>
      <x:c r="AC154" s="119"/>
      <x:c r="AD154" s="119"/>
      <x:c r="AE154" s="5" t="str">
        <x:f>IF(A154="","",IF(Z154="","Нет ID пары",IF(AND(COUNTIFS($Z$59:$Z$505,Z154,$Y$59:$Y$505,"Оптимальный",$W$59:$W$505,"Рассчитан")=1,COUNTIFS($Z$59:$Z$505,Z154,$Y$59:$Y$505,"Агрессивный",$W$59:$W$505,"Рассчитан")=1),"Да","Нет")))</x:f>
      </x:c>
      <x:c r="AF154" s="5"/>
      <x:c r="AG154" s="5"/>
    </x:row>
    <x:row r="155">
      <x:c r="A155" s="80"/>
      <x:c r="B155" s="80"/>
      <x:c r="C155" s="83"/>
      <x:c r="D155" s="80"/>
      <x:c r="E155" s="80"/>
      <x:c r="F155" s="86"/>
      <x:c r="G155" s="80"/>
      <x:c r="H155" s="95"/>
      <x:c r="I155" s="95"/>
      <x:c r="J155" s="96"/>
      <x:c r="K155" s="97"/>
      <x:c r="L155" s="98"/>
      <x:c r="M155" s="98"/>
      <x:c r="N155" s="98"/>
      <x:c r="O155" s="98"/>
      <x:c r="P155" s="98"/>
      <x:c r="Q155" s="80"/>
      <x:c r="R155" s="80"/>
      <x:c r="S155" s="80"/>
      <x:c r="T155" s="80"/>
      <x:c r="U155" s="80"/>
      <x:c r="V155" s="89" t="str">
        <x:f>IF(A155="","",IF(U155="","",IF(U155="Выигрыш",J155-1,IF(U155="Полувыигрыш",(J155-1)/2,IF(U155="Возврат",0,IF(U155="Полупроигрыш",-0.5,IF(U155="Поражение",-1,"Проверить результат")))))))</x:f>
      </x:c>
      <x:c r="W155" s="80" t="str">
        <x:f>IF(A155="","",IF(U155="","Открыт",IF(ISNUMBER(V155),"Рассчитан","Проверить результат")))</x:f>
      </x:c>
      <x:c r="X155" s="98"/>
      <x:c r="Y155" s="5"/>
      <x:c r="Z155" s="5"/>
      <x:c r="AA155" s="5"/>
      <x:c r="AB155" s="118"/>
      <x:c r="AC155" s="119"/>
      <x:c r="AD155" s="119"/>
      <x:c r="AE155" s="5" t="str">
        <x:f>IF(A155="","",IF(Z155="","Нет ID пары",IF(AND(COUNTIFS($Z$59:$Z$505,Z155,$Y$59:$Y$505,"Оптимальный",$W$59:$W$505,"Рассчитан")=1,COUNTIFS($Z$59:$Z$505,Z155,$Y$59:$Y$505,"Агрессивный",$W$59:$W$505,"Рассчитан")=1),"Да","Нет")))</x:f>
      </x:c>
      <x:c r="AF155" s="5"/>
      <x:c r="AG155" s="5"/>
    </x:row>
    <x:row r="156">
      <x:c r="A156" s="80"/>
      <x:c r="B156" s="80"/>
      <x:c r="C156" s="83"/>
      <x:c r="D156" s="80"/>
      <x:c r="E156" s="80"/>
      <x:c r="F156" s="86"/>
      <x:c r="G156" s="80"/>
      <x:c r="H156" s="95"/>
      <x:c r="I156" s="95"/>
      <x:c r="J156" s="96"/>
      <x:c r="K156" s="97"/>
      <x:c r="L156" s="98"/>
      <x:c r="M156" s="98"/>
      <x:c r="N156" s="98"/>
      <x:c r="O156" s="98"/>
      <x:c r="P156" s="98"/>
      <x:c r="Q156" s="80"/>
      <x:c r="R156" s="80"/>
      <x:c r="S156" s="80"/>
      <x:c r="T156" s="80"/>
      <x:c r="U156" s="80"/>
      <x:c r="V156" s="89" t="str">
        <x:f>IF(A156="","",IF(U156="","",IF(U156="Выигрыш",J156-1,IF(U156="Полувыигрыш",(J156-1)/2,IF(U156="Возврат",0,IF(U156="Полупроигрыш",-0.5,IF(U156="Поражение",-1,"Проверить результат")))))))</x:f>
      </x:c>
      <x:c r="W156" s="80" t="str">
        <x:f>IF(A156="","",IF(U156="","Открыт",IF(ISNUMBER(V156),"Рассчитан","Проверить результат")))</x:f>
      </x:c>
      <x:c r="X156" s="98"/>
      <x:c r="Y156" s="5"/>
      <x:c r="Z156" s="5"/>
      <x:c r="AA156" s="5"/>
      <x:c r="AB156" s="118"/>
      <x:c r="AC156" s="119"/>
      <x:c r="AD156" s="119"/>
      <x:c r="AE156" s="5" t="str">
        <x:f>IF(A156="","",IF(Z156="","Нет ID пары",IF(AND(COUNTIFS($Z$59:$Z$505,Z156,$Y$59:$Y$505,"Оптимальный",$W$59:$W$505,"Рассчитан")=1,COUNTIFS($Z$59:$Z$505,Z156,$Y$59:$Y$505,"Агрессивный",$W$59:$W$505,"Рассчитан")=1),"Да","Нет")))</x:f>
      </x:c>
      <x:c r="AF156" s="5"/>
      <x:c r="AG156" s="5"/>
    </x:row>
    <x:row r="157">
      <x:c r="A157" s="80"/>
      <x:c r="B157" s="80"/>
      <x:c r="C157" s="83"/>
      <x:c r="D157" s="80"/>
      <x:c r="E157" s="80"/>
      <x:c r="F157" s="86"/>
      <x:c r="G157" s="80"/>
      <x:c r="H157" s="95"/>
      <x:c r="I157" s="95"/>
      <x:c r="J157" s="96"/>
      <x:c r="K157" s="97"/>
      <x:c r="L157" s="98"/>
      <x:c r="M157" s="98"/>
      <x:c r="N157" s="98"/>
      <x:c r="O157" s="98"/>
      <x:c r="P157" s="98"/>
      <x:c r="Q157" s="80"/>
      <x:c r="R157" s="80"/>
      <x:c r="S157" s="80"/>
      <x:c r="T157" s="80"/>
      <x:c r="U157" s="80"/>
      <x:c r="V157" s="89" t="str">
        <x:f>IF(A157="","",IF(U157="","",IF(U157="Выигрыш",J157-1,IF(U157="Полувыигрыш",(J157-1)/2,IF(U157="Возврат",0,IF(U157="Полупроигрыш",-0.5,IF(U157="Поражение",-1,"Проверить результат")))))))</x:f>
      </x:c>
      <x:c r="W157" s="80" t="str">
        <x:f>IF(A157="","",IF(U157="","Открыт",IF(ISNUMBER(V157),"Рассчитан","Проверить результат")))</x:f>
      </x:c>
      <x:c r="X157" s="98"/>
      <x:c r="Y157" s="5"/>
      <x:c r="Z157" s="5"/>
      <x:c r="AA157" s="5"/>
      <x:c r="AB157" s="118"/>
      <x:c r="AC157" s="119"/>
      <x:c r="AD157" s="119"/>
      <x:c r="AE157" s="5" t="str">
        <x:f>IF(A157="","",IF(Z157="","Нет ID пары",IF(AND(COUNTIFS($Z$59:$Z$505,Z157,$Y$59:$Y$505,"Оптимальный",$W$59:$W$505,"Рассчитан")=1,COUNTIFS($Z$59:$Z$505,Z157,$Y$59:$Y$505,"Агрессивный",$W$59:$W$505,"Рассчитан")=1),"Да","Нет")))</x:f>
      </x:c>
      <x:c r="AF157" s="5"/>
      <x:c r="AG157" s="5"/>
    </x:row>
    <x:row r="158">
      <x:c r="A158" s="80"/>
      <x:c r="B158" s="80"/>
      <x:c r="C158" s="83"/>
      <x:c r="D158" s="80"/>
      <x:c r="E158" s="80"/>
      <x:c r="F158" s="86"/>
      <x:c r="G158" s="80"/>
      <x:c r="H158" s="95"/>
      <x:c r="I158" s="95"/>
      <x:c r="J158" s="96"/>
      <x:c r="K158" s="97"/>
      <x:c r="L158" s="98"/>
      <x:c r="M158" s="98"/>
      <x:c r="N158" s="98"/>
      <x:c r="O158" s="98"/>
      <x:c r="P158" s="98"/>
      <x:c r="Q158" s="80"/>
      <x:c r="R158" s="80"/>
      <x:c r="S158" s="80"/>
      <x:c r="T158" s="80"/>
      <x:c r="U158" s="80"/>
      <x:c r="V158" s="89" t="str">
        <x:f>IF(A158="","",IF(U158="","",IF(U158="Выигрыш",J158-1,IF(U158="Полувыигрыш",(J158-1)/2,IF(U158="Возврат",0,IF(U158="Полупроигрыш",-0.5,IF(U158="Поражение",-1,"Проверить результат")))))))</x:f>
      </x:c>
      <x:c r="W158" s="80" t="str">
        <x:f>IF(A158="","",IF(U158="","Открыт",IF(ISNUMBER(V158),"Рассчитан","Проверить результат")))</x:f>
      </x:c>
      <x:c r="X158" s="98"/>
      <x:c r="Y158" s="5"/>
      <x:c r="Z158" s="5"/>
      <x:c r="AA158" s="5"/>
      <x:c r="AB158" s="118"/>
      <x:c r="AC158" s="119"/>
      <x:c r="AD158" s="119"/>
      <x:c r="AE158" s="5" t="str">
        <x:f>IF(A158="","",IF(Z158="","Нет ID пары",IF(AND(COUNTIFS($Z$59:$Z$505,Z158,$Y$59:$Y$505,"Оптимальный",$W$59:$W$505,"Рассчитан")=1,COUNTIFS($Z$59:$Z$505,Z158,$Y$59:$Y$505,"Агрессивный",$W$59:$W$505,"Рассчитан")=1),"Да","Нет")))</x:f>
      </x:c>
      <x:c r="AF158" s="5"/>
      <x:c r="AG158" s="5"/>
    </x:row>
    <x:row r="159">
      <x:c r="A159" s="80"/>
      <x:c r="B159" s="80"/>
      <x:c r="C159" s="83"/>
      <x:c r="D159" s="80"/>
      <x:c r="E159" s="80"/>
      <x:c r="F159" s="86"/>
      <x:c r="G159" s="80"/>
      <x:c r="H159" s="95"/>
      <x:c r="I159" s="95"/>
      <x:c r="J159" s="96"/>
      <x:c r="K159" s="97"/>
      <x:c r="L159" s="98"/>
      <x:c r="M159" s="98"/>
      <x:c r="N159" s="98"/>
      <x:c r="O159" s="98"/>
      <x:c r="P159" s="98"/>
      <x:c r="Q159" s="80"/>
      <x:c r="R159" s="80"/>
      <x:c r="S159" s="80"/>
      <x:c r="T159" s="80"/>
      <x:c r="U159" s="80"/>
      <x:c r="V159" s="89" t="str">
        <x:f>IF(A159="","",IF(U159="","",IF(U159="Выигрыш",J159-1,IF(U159="Полувыигрыш",(J159-1)/2,IF(U159="Возврат",0,IF(U159="Полупроигрыш",-0.5,IF(U159="Поражение",-1,"Проверить результат")))))))</x:f>
      </x:c>
      <x:c r="W159" s="80" t="str">
        <x:f>IF(A159="","",IF(U159="","Открыт",IF(ISNUMBER(V159),"Рассчитан","Проверить результат")))</x:f>
      </x:c>
      <x:c r="X159" s="98"/>
      <x:c r="Y159" s="5"/>
      <x:c r="Z159" s="5"/>
      <x:c r="AA159" s="5"/>
      <x:c r="AB159" s="118"/>
      <x:c r="AC159" s="119"/>
      <x:c r="AD159" s="119"/>
      <x:c r="AE159" s="5" t="str">
        <x:f>IF(A159="","",IF(Z159="","Нет ID пары",IF(AND(COUNTIFS($Z$59:$Z$505,Z159,$Y$59:$Y$505,"Оптимальный",$W$59:$W$505,"Рассчитан")=1,COUNTIFS($Z$59:$Z$505,Z159,$Y$59:$Y$505,"Агрессивный",$W$59:$W$505,"Рассчитан")=1),"Да","Нет")))</x:f>
      </x:c>
      <x:c r="AF159" s="5"/>
      <x:c r="AG159" s="5"/>
    </x:row>
    <x:row r="160">
      <x:c r="A160" s="80"/>
      <x:c r="B160" s="80"/>
      <x:c r="C160" s="83"/>
      <x:c r="D160" s="80"/>
      <x:c r="E160" s="80"/>
      <x:c r="F160" s="86"/>
      <x:c r="G160" s="80"/>
      <x:c r="H160" s="95"/>
      <x:c r="I160" s="95"/>
      <x:c r="J160" s="96"/>
      <x:c r="K160" s="97"/>
      <x:c r="L160" s="98"/>
      <x:c r="M160" s="98"/>
      <x:c r="N160" s="98"/>
      <x:c r="O160" s="98"/>
      <x:c r="P160" s="98"/>
      <x:c r="Q160" s="80"/>
      <x:c r="R160" s="80"/>
      <x:c r="S160" s="80"/>
      <x:c r="T160" s="80"/>
      <x:c r="U160" s="80"/>
      <x:c r="V160" s="89" t="str">
        <x:f>IF(A160="","",IF(U160="","",IF(U160="Выигрыш",J160-1,IF(U160="Полувыигрыш",(J160-1)/2,IF(U160="Возврат",0,IF(U160="Полупроигрыш",-0.5,IF(U160="Поражение",-1,"Проверить результат")))))))</x:f>
      </x:c>
      <x:c r="W160" s="80" t="str">
        <x:f>IF(A160="","",IF(U160="","Открыт",IF(ISNUMBER(V160),"Рассчитан","Проверить результат")))</x:f>
      </x:c>
      <x:c r="X160" s="98"/>
      <x:c r="Y160" s="5"/>
      <x:c r="Z160" s="5"/>
      <x:c r="AA160" s="5"/>
      <x:c r="AB160" s="118"/>
      <x:c r="AC160" s="119"/>
      <x:c r="AD160" s="119"/>
      <x:c r="AE160" s="5" t="str">
        <x:f>IF(A160="","",IF(Z160="","Нет ID пары",IF(AND(COUNTIFS($Z$59:$Z$505,Z160,$Y$59:$Y$505,"Оптимальный",$W$59:$W$505,"Рассчитан")=1,COUNTIFS($Z$59:$Z$505,Z160,$Y$59:$Y$505,"Агрессивный",$W$59:$W$505,"Рассчитан")=1),"Да","Нет")))</x:f>
      </x:c>
      <x:c r="AF160" s="5"/>
      <x:c r="AG160" s="5"/>
    </x:row>
    <x:row r="161">
      <x:c r="A161" s="80"/>
      <x:c r="B161" s="80"/>
      <x:c r="C161" s="83"/>
      <x:c r="D161" s="80"/>
      <x:c r="E161" s="80"/>
      <x:c r="F161" s="86"/>
      <x:c r="G161" s="80"/>
      <x:c r="H161" s="95"/>
      <x:c r="I161" s="95"/>
      <x:c r="J161" s="96"/>
      <x:c r="K161" s="97"/>
      <x:c r="L161" s="98"/>
      <x:c r="M161" s="98"/>
      <x:c r="N161" s="98"/>
      <x:c r="O161" s="98"/>
      <x:c r="P161" s="98"/>
      <x:c r="Q161" s="80"/>
      <x:c r="R161" s="80"/>
      <x:c r="S161" s="80"/>
      <x:c r="T161" s="80"/>
      <x:c r="U161" s="80"/>
      <x:c r="V161" s="89" t="str">
        <x:f>IF(A161="","",IF(U161="","",IF(U161="Выигрыш",J161-1,IF(U161="Полувыигрыш",(J161-1)/2,IF(U161="Возврат",0,IF(U161="Полупроигрыш",-0.5,IF(U161="Поражение",-1,"Проверить результат")))))))</x:f>
      </x:c>
      <x:c r="W161" s="80" t="str">
        <x:f>IF(A161="","",IF(U161="","Открыт",IF(ISNUMBER(V161),"Рассчитан","Проверить результат")))</x:f>
      </x:c>
      <x:c r="X161" s="98"/>
      <x:c r="Y161" s="5"/>
      <x:c r="Z161" s="5"/>
      <x:c r="AA161" s="5"/>
      <x:c r="AB161" s="118"/>
      <x:c r="AC161" s="119"/>
      <x:c r="AD161" s="119"/>
      <x:c r="AE161" s="5" t="str">
        <x:f>IF(A161="","",IF(Z161="","Нет ID пары",IF(AND(COUNTIFS($Z$59:$Z$505,Z161,$Y$59:$Y$505,"Оптимальный",$W$59:$W$505,"Рассчитан")=1,COUNTIFS($Z$59:$Z$505,Z161,$Y$59:$Y$505,"Агрессивный",$W$59:$W$505,"Рассчитан")=1),"Да","Нет")))</x:f>
      </x:c>
      <x:c r="AF161" s="5"/>
      <x:c r="AG161" s="5"/>
    </x:row>
    <x:row r="162">
      <x:c r="A162" s="80"/>
      <x:c r="B162" s="80"/>
      <x:c r="C162" s="83"/>
      <x:c r="D162" s="80"/>
      <x:c r="E162" s="80"/>
      <x:c r="F162" s="86"/>
      <x:c r="G162" s="80"/>
      <x:c r="H162" s="95"/>
      <x:c r="I162" s="95"/>
      <x:c r="J162" s="96"/>
      <x:c r="K162" s="97"/>
      <x:c r="L162" s="98"/>
      <x:c r="M162" s="98"/>
      <x:c r="N162" s="98"/>
      <x:c r="O162" s="98"/>
      <x:c r="P162" s="98"/>
      <x:c r="Q162" s="80"/>
      <x:c r="R162" s="80"/>
      <x:c r="S162" s="80"/>
      <x:c r="T162" s="80"/>
      <x:c r="U162" s="80"/>
      <x:c r="V162" s="89" t="str">
        <x:f>IF(A162="","",IF(U162="","",IF(U162="Выигрыш",J162-1,IF(U162="Полувыигрыш",(J162-1)/2,IF(U162="Возврат",0,IF(U162="Полупроигрыш",-0.5,IF(U162="Поражение",-1,"Проверить результат")))))))</x:f>
      </x:c>
      <x:c r="W162" s="80" t="str">
        <x:f>IF(A162="","",IF(U162="","Открыт",IF(ISNUMBER(V162),"Рассчитан","Проверить результат")))</x:f>
      </x:c>
      <x:c r="X162" s="98"/>
      <x:c r="Y162" s="5"/>
      <x:c r="Z162" s="5"/>
      <x:c r="AA162" s="5"/>
      <x:c r="AB162" s="118"/>
      <x:c r="AC162" s="119"/>
      <x:c r="AD162" s="119"/>
      <x:c r="AE162" s="5" t="str">
        <x:f>IF(A162="","",IF(Z162="","Нет ID пары",IF(AND(COUNTIFS($Z$59:$Z$505,Z162,$Y$59:$Y$505,"Оптимальный",$W$59:$W$505,"Рассчитан")=1,COUNTIFS($Z$59:$Z$505,Z162,$Y$59:$Y$505,"Агрессивный",$W$59:$W$505,"Рассчитан")=1),"Да","Нет")))</x:f>
      </x:c>
      <x:c r="AF162" s="5"/>
      <x:c r="AG162" s="5"/>
    </x:row>
    <x:row r="163">
      <x:c r="A163" s="80"/>
      <x:c r="B163" s="80"/>
      <x:c r="C163" s="83"/>
      <x:c r="D163" s="80"/>
      <x:c r="E163" s="80"/>
      <x:c r="F163" s="86"/>
      <x:c r="G163" s="80"/>
      <x:c r="H163" s="95"/>
      <x:c r="I163" s="95"/>
      <x:c r="J163" s="96"/>
      <x:c r="K163" s="97"/>
      <x:c r="L163" s="98"/>
      <x:c r="M163" s="98"/>
      <x:c r="N163" s="98"/>
      <x:c r="O163" s="98"/>
      <x:c r="P163" s="98"/>
      <x:c r="Q163" s="80"/>
      <x:c r="R163" s="80"/>
      <x:c r="S163" s="80"/>
      <x:c r="T163" s="80"/>
      <x:c r="U163" s="80"/>
      <x:c r="V163" s="89" t="str">
        <x:f>IF(A163="","",IF(U163="","",IF(U163="Выигрыш",J163-1,IF(U163="Полувыигрыш",(J163-1)/2,IF(U163="Возврат",0,IF(U163="Полупроигрыш",-0.5,IF(U163="Поражение",-1,"Проверить результат")))))))</x:f>
      </x:c>
      <x:c r="W163" s="80" t="str">
        <x:f>IF(A163="","",IF(U163="","Открыт",IF(ISNUMBER(V163),"Рассчитан","Проверить результат")))</x:f>
      </x:c>
      <x:c r="X163" s="98"/>
      <x:c r="Y163" s="5"/>
      <x:c r="Z163" s="5"/>
      <x:c r="AA163" s="5"/>
      <x:c r="AB163" s="118"/>
      <x:c r="AC163" s="119"/>
      <x:c r="AD163" s="119"/>
      <x:c r="AE163" s="5" t="str">
        <x:f>IF(A163="","",IF(Z163="","Нет ID пары",IF(AND(COUNTIFS($Z$59:$Z$505,Z163,$Y$59:$Y$505,"Оптимальный",$W$59:$W$505,"Рассчитан")=1,COUNTIFS($Z$59:$Z$505,Z163,$Y$59:$Y$505,"Агрессивный",$W$59:$W$505,"Рассчитан")=1),"Да","Нет")))</x:f>
      </x:c>
      <x:c r="AF163" s="5"/>
      <x:c r="AG163" s="5"/>
    </x:row>
    <x:row r="164">
      <x:c r="A164" s="80"/>
      <x:c r="B164" s="80"/>
      <x:c r="C164" s="83"/>
      <x:c r="D164" s="80"/>
      <x:c r="E164" s="80"/>
      <x:c r="F164" s="86"/>
      <x:c r="G164" s="80"/>
      <x:c r="H164" s="95"/>
      <x:c r="I164" s="95"/>
      <x:c r="J164" s="96"/>
      <x:c r="K164" s="97"/>
      <x:c r="L164" s="98"/>
      <x:c r="M164" s="98"/>
      <x:c r="N164" s="98"/>
      <x:c r="O164" s="98"/>
      <x:c r="P164" s="98"/>
      <x:c r="Q164" s="80"/>
      <x:c r="R164" s="80"/>
      <x:c r="S164" s="80"/>
      <x:c r="T164" s="80"/>
      <x:c r="U164" s="80"/>
      <x:c r="V164" s="89" t="str">
        <x:f>IF(A164="","",IF(U164="","",IF(U164="Выигрыш",J164-1,IF(U164="Полувыигрыш",(J164-1)/2,IF(U164="Возврат",0,IF(U164="Полупроигрыш",-0.5,IF(U164="Поражение",-1,"Проверить результат")))))))</x:f>
      </x:c>
      <x:c r="W164" s="80" t="str">
        <x:f>IF(A164="","",IF(U164="","Открыт",IF(ISNUMBER(V164),"Рассчитан","Проверить результат")))</x:f>
      </x:c>
      <x:c r="X164" s="98"/>
      <x:c r="Y164" s="5"/>
      <x:c r="Z164" s="5"/>
      <x:c r="AA164" s="5"/>
      <x:c r="AB164" s="118"/>
      <x:c r="AC164" s="119"/>
      <x:c r="AD164" s="119"/>
      <x:c r="AE164" s="5" t="str">
        <x:f>IF(A164="","",IF(Z164="","Нет ID пары",IF(AND(COUNTIFS($Z$59:$Z$505,Z164,$Y$59:$Y$505,"Оптимальный",$W$59:$W$505,"Рассчитан")=1,COUNTIFS($Z$59:$Z$505,Z164,$Y$59:$Y$505,"Агрессивный",$W$59:$W$505,"Рассчитан")=1),"Да","Нет")))</x:f>
      </x:c>
      <x:c r="AF164" s="5"/>
      <x:c r="AG164" s="5"/>
    </x:row>
    <x:row r="165">
      <x:c r="A165" s="80"/>
      <x:c r="B165" s="80"/>
      <x:c r="C165" s="83"/>
      <x:c r="D165" s="80"/>
      <x:c r="E165" s="80"/>
      <x:c r="F165" s="86"/>
      <x:c r="G165" s="80"/>
      <x:c r="H165" s="95"/>
      <x:c r="I165" s="95"/>
      <x:c r="J165" s="96"/>
      <x:c r="K165" s="97"/>
      <x:c r="L165" s="98"/>
      <x:c r="M165" s="98"/>
      <x:c r="N165" s="98"/>
      <x:c r="O165" s="98"/>
      <x:c r="P165" s="98"/>
      <x:c r="Q165" s="80"/>
      <x:c r="R165" s="80"/>
      <x:c r="S165" s="80"/>
      <x:c r="T165" s="80"/>
      <x:c r="U165" s="80"/>
      <x:c r="V165" s="89" t="str">
        <x:f>IF(A165="","",IF(U165="","",IF(U165="Выигрыш",J165-1,IF(U165="Полувыигрыш",(J165-1)/2,IF(U165="Возврат",0,IF(U165="Полупроигрыш",-0.5,IF(U165="Поражение",-1,"Проверить результат")))))))</x:f>
      </x:c>
      <x:c r="W165" s="80" t="str">
        <x:f>IF(A165="","",IF(U165="","Открыт",IF(ISNUMBER(V165),"Рассчитан","Проверить результат")))</x:f>
      </x:c>
      <x:c r="X165" s="98"/>
      <x:c r="Y165" s="5"/>
      <x:c r="Z165" s="5"/>
      <x:c r="AA165" s="5"/>
      <x:c r="AB165" s="118"/>
      <x:c r="AC165" s="119"/>
      <x:c r="AD165" s="119"/>
      <x:c r="AE165" s="5" t="str">
        <x:f>IF(A165="","",IF(Z165="","Нет ID пары",IF(AND(COUNTIFS($Z$59:$Z$505,Z165,$Y$59:$Y$505,"Оптимальный",$W$59:$W$505,"Рассчитан")=1,COUNTIFS($Z$59:$Z$505,Z165,$Y$59:$Y$505,"Агрессивный",$W$59:$W$505,"Рассчитан")=1),"Да","Нет")))</x:f>
      </x:c>
      <x:c r="AF165" s="5"/>
      <x:c r="AG165" s="5"/>
    </x:row>
    <x:row r="166">
      <x:c r="A166" s="80"/>
      <x:c r="B166" s="80"/>
      <x:c r="C166" s="83"/>
      <x:c r="D166" s="80"/>
      <x:c r="E166" s="80"/>
      <x:c r="F166" s="86"/>
      <x:c r="G166" s="80"/>
      <x:c r="H166" s="95"/>
      <x:c r="I166" s="95"/>
      <x:c r="J166" s="96"/>
      <x:c r="K166" s="97"/>
      <x:c r="L166" s="98"/>
      <x:c r="M166" s="98"/>
      <x:c r="N166" s="98"/>
      <x:c r="O166" s="98"/>
      <x:c r="P166" s="98"/>
      <x:c r="Q166" s="80"/>
      <x:c r="R166" s="80"/>
      <x:c r="S166" s="80"/>
      <x:c r="T166" s="80"/>
      <x:c r="U166" s="80"/>
      <x:c r="V166" s="89" t="str">
        <x:f>IF(A166="","",IF(U166="","",IF(U166="Выигрыш",J166-1,IF(U166="Полувыигрыш",(J166-1)/2,IF(U166="Возврат",0,IF(U166="Полупроигрыш",-0.5,IF(U166="Поражение",-1,"Проверить результат")))))))</x:f>
      </x:c>
      <x:c r="W166" s="80" t="str">
        <x:f>IF(A166="","",IF(U166="","Открыт",IF(ISNUMBER(V166),"Рассчитан","Проверить результат")))</x:f>
      </x:c>
      <x:c r="X166" s="98"/>
      <x:c r="Y166" s="5"/>
      <x:c r="Z166" s="5"/>
      <x:c r="AA166" s="5"/>
      <x:c r="AB166" s="118"/>
      <x:c r="AC166" s="119"/>
      <x:c r="AD166" s="119"/>
      <x:c r="AE166" s="5" t="str">
        <x:f>IF(A166="","",IF(Z166="","Нет ID пары",IF(AND(COUNTIFS($Z$59:$Z$505,Z166,$Y$59:$Y$505,"Оптимальный",$W$59:$W$505,"Рассчитан")=1,COUNTIFS($Z$59:$Z$505,Z166,$Y$59:$Y$505,"Агрессивный",$W$59:$W$505,"Рассчитан")=1),"Да","Нет")))</x:f>
      </x:c>
      <x:c r="AF166" s="5"/>
      <x:c r="AG166" s="5"/>
    </x:row>
    <x:row r="167">
      <x:c r="A167" s="80"/>
      <x:c r="B167" s="80"/>
      <x:c r="C167" s="83"/>
      <x:c r="D167" s="80"/>
      <x:c r="E167" s="80"/>
      <x:c r="F167" s="86"/>
      <x:c r="G167" s="80"/>
      <x:c r="H167" s="95"/>
      <x:c r="I167" s="95"/>
      <x:c r="J167" s="96"/>
      <x:c r="K167" s="97"/>
      <x:c r="L167" s="98"/>
      <x:c r="M167" s="98"/>
      <x:c r="N167" s="98"/>
      <x:c r="O167" s="98"/>
      <x:c r="P167" s="98"/>
      <x:c r="Q167" s="80"/>
      <x:c r="R167" s="80"/>
      <x:c r="S167" s="80"/>
      <x:c r="T167" s="80"/>
      <x:c r="U167" s="80"/>
      <x:c r="V167" s="89" t="str">
        <x:f>IF(A167="","",IF(U167="","",IF(U167="Выигрыш",J167-1,IF(U167="Полувыигрыш",(J167-1)/2,IF(U167="Возврат",0,IF(U167="Полупроигрыш",-0.5,IF(U167="Поражение",-1,"Проверить результат")))))))</x:f>
      </x:c>
      <x:c r="W167" s="80" t="str">
        <x:f>IF(A167="","",IF(U167="","Открыт",IF(ISNUMBER(V167),"Рассчитан","Проверить результат")))</x:f>
      </x:c>
      <x:c r="X167" s="98"/>
      <x:c r="Y167" s="5"/>
      <x:c r="Z167" s="5"/>
      <x:c r="AA167" s="5"/>
      <x:c r="AB167" s="118"/>
      <x:c r="AC167" s="119"/>
      <x:c r="AD167" s="119"/>
      <x:c r="AE167" s="5" t="str">
        <x:f>IF(A167="","",IF(Z167="","Нет ID пары",IF(AND(COUNTIFS($Z$59:$Z$505,Z167,$Y$59:$Y$505,"Оптимальный",$W$59:$W$505,"Рассчитан")=1,COUNTIFS($Z$59:$Z$505,Z167,$Y$59:$Y$505,"Агрессивный",$W$59:$W$505,"Рассчитан")=1),"Да","Нет")))</x:f>
      </x:c>
      <x:c r="AF167" s="5"/>
      <x:c r="AG167" s="5"/>
    </x:row>
    <x:row r="168">
      <x:c r="A168" s="80"/>
      <x:c r="B168" s="80"/>
      <x:c r="C168" s="83"/>
      <x:c r="D168" s="80"/>
      <x:c r="E168" s="80"/>
      <x:c r="F168" s="86"/>
      <x:c r="G168" s="80"/>
      <x:c r="H168" s="95"/>
      <x:c r="I168" s="95"/>
      <x:c r="J168" s="96"/>
      <x:c r="K168" s="97"/>
      <x:c r="L168" s="98"/>
      <x:c r="M168" s="98"/>
      <x:c r="N168" s="98"/>
      <x:c r="O168" s="98"/>
      <x:c r="P168" s="98"/>
      <x:c r="Q168" s="80"/>
      <x:c r="R168" s="80"/>
      <x:c r="S168" s="80"/>
      <x:c r="T168" s="80"/>
      <x:c r="U168" s="80"/>
      <x:c r="V168" s="89" t="str">
        <x:f>IF(A168="","",IF(U168="","",IF(U168="Выигрыш",J168-1,IF(U168="Полувыигрыш",(J168-1)/2,IF(U168="Возврат",0,IF(U168="Полупроигрыш",-0.5,IF(U168="Поражение",-1,"Проверить результат")))))))</x:f>
      </x:c>
      <x:c r="W168" s="80" t="str">
        <x:f>IF(A168="","",IF(U168="","Открыт",IF(ISNUMBER(V168),"Рассчитан","Проверить результат")))</x:f>
      </x:c>
      <x:c r="X168" s="98"/>
      <x:c r="Y168" s="5"/>
      <x:c r="Z168" s="5"/>
      <x:c r="AA168" s="5"/>
      <x:c r="AB168" s="118"/>
      <x:c r="AC168" s="119"/>
      <x:c r="AD168" s="119"/>
      <x:c r="AE168" s="5" t="str">
        <x:f>IF(A168="","",IF(Z168="","Нет ID пары",IF(AND(COUNTIFS($Z$59:$Z$505,Z168,$Y$59:$Y$505,"Оптимальный",$W$59:$W$505,"Рассчитан")=1,COUNTIFS($Z$59:$Z$505,Z168,$Y$59:$Y$505,"Агрессивный",$W$59:$W$505,"Рассчитан")=1),"Да","Нет")))</x:f>
      </x:c>
      <x:c r="AF168" s="5"/>
      <x:c r="AG168" s="5"/>
    </x:row>
    <x:row r="169">
      <x:c r="A169" s="80"/>
      <x:c r="B169" s="80"/>
      <x:c r="C169" s="83"/>
      <x:c r="D169" s="80"/>
      <x:c r="E169" s="80"/>
      <x:c r="F169" s="86"/>
      <x:c r="G169" s="80"/>
      <x:c r="H169" s="95"/>
      <x:c r="I169" s="95"/>
      <x:c r="J169" s="96"/>
      <x:c r="K169" s="97"/>
      <x:c r="L169" s="98"/>
      <x:c r="M169" s="98"/>
      <x:c r="N169" s="98"/>
      <x:c r="O169" s="98"/>
      <x:c r="P169" s="98"/>
      <x:c r="Q169" s="80"/>
      <x:c r="R169" s="80"/>
      <x:c r="S169" s="80"/>
      <x:c r="T169" s="80"/>
      <x:c r="U169" s="80"/>
      <x:c r="V169" s="89" t="str">
        <x:f>IF(A169="","",IF(U169="","",IF(U169="Выигрыш",J169-1,IF(U169="Полувыигрыш",(J169-1)/2,IF(U169="Возврат",0,IF(U169="Полупроигрыш",-0.5,IF(U169="Поражение",-1,"Проверить результат")))))))</x:f>
      </x:c>
      <x:c r="W169" s="80" t="str">
        <x:f>IF(A169="","",IF(U169="","Открыт",IF(ISNUMBER(V169),"Рассчитан","Проверить результат")))</x:f>
      </x:c>
      <x:c r="X169" s="98"/>
      <x:c r="Y169" s="5"/>
      <x:c r="Z169" s="5"/>
      <x:c r="AA169" s="5"/>
      <x:c r="AB169" s="118"/>
      <x:c r="AC169" s="119"/>
      <x:c r="AD169" s="119"/>
      <x:c r="AE169" s="5" t="str">
        <x:f>IF(A169="","",IF(Z169="","Нет ID пары",IF(AND(COUNTIFS($Z$59:$Z$505,Z169,$Y$59:$Y$505,"Оптимальный",$W$59:$W$505,"Рассчитан")=1,COUNTIFS($Z$59:$Z$505,Z169,$Y$59:$Y$505,"Агрессивный",$W$59:$W$505,"Рассчитан")=1),"Да","Нет")))</x:f>
      </x:c>
      <x:c r="AF169" s="5"/>
      <x:c r="AG169" s="5"/>
    </x:row>
    <x:row r="170">
      <x:c r="A170" s="80"/>
      <x:c r="B170" s="80"/>
      <x:c r="C170" s="83"/>
      <x:c r="D170" s="80"/>
      <x:c r="E170" s="80"/>
      <x:c r="F170" s="86"/>
      <x:c r="G170" s="80"/>
      <x:c r="H170" s="95"/>
      <x:c r="I170" s="95"/>
      <x:c r="J170" s="96"/>
      <x:c r="K170" s="97"/>
      <x:c r="L170" s="98"/>
      <x:c r="M170" s="98"/>
      <x:c r="N170" s="98"/>
      <x:c r="O170" s="98"/>
      <x:c r="P170" s="98"/>
      <x:c r="Q170" s="80"/>
      <x:c r="R170" s="80"/>
      <x:c r="S170" s="80"/>
      <x:c r="T170" s="80"/>
      <x:c r="U170" s="80"/>
      <x:c r="V170" s="89" t="str">
        <x:f>IF(A170="","",IF(U170="","",IF(U170="Выигрыш",J170-1,IF(U170="Полувыигрыш",(J170-1)/2,IF(U170="Возврат",0,IF(U170="Полупроигрыш",-0.5,IF(U170="Поражение",-1,"Проверить результат")))))))</x:f>
      </x:c>
      <x:c r="W170" s="80" t="str">
        <x:f>IF(A170="","",IF(U170="","Открыт",IF(ISNUMBER(V170),"Рассчитан","Проверить результат")))</x:f>
      </x:c>
      <x:c r="X170" s="98"/>
      <x:c r="Y170" s="5"/>
      <x:c r="Z170" s="5"/>
      <x:c r="AA170" s="5"/>
      <x:c r="AB170" s="118"/>
      <x:c r="AC170" s="119"/>
      <x:c r="AD170" s="119"/>
      <x:c r="AE170" s="5" t="str">
        <x:f>IF(A170="","",IF(Z170="","Нет ID пары",IF(AND(COUNTIFS($Z$59:$Z$505,Z170,$Y$59:$Y$505,"Оптимальный",$W$59:$W$505,"Рассчитан")=1,COUNTIFS($Z$59:$Z$505,Z170,$Y$59:$Y$505,"Агрессивный",$W$59:$W$505,"Рассчитан")=1),"Да","Нет")))</x:f>
      </x:c>
      <x:c r="AF170" s="5"/>
      <x:c r="AG170" s="5"/>
    </x:row>
    <x:row r="171">
      <x:c r="A171" s="80"/>
      <x:c r="B171" s="80"/>
      <x:c r="C171" s="83"/>
      <x:c r="D171" s="80"/>
      <x:c r="E171" s="80"/>
      <x:c r="F171" s="86"/>
      <x:c r="G171" s="80"/>
      <x:c r="H171" s="95"/>
      <x:c r="I171" s="95"/>
      <x:c r="J171" s="96"/>
      <x:c r="K171" s="97"/>
      <x:c r="L171" s="98"/>
      <x:c r="M171" s="98"/>
      <x:c r="N171" s="98"/>
      <x:c r="O171" s="98"/>
      <x:c r="P171" s="98"/>
      <x:c r="Q171" s="80"/>
      <x:c r="R171" s="80"/>
      <x:c r="S171" s="80"/>
      <x:c r="T171" s="80"/>
      <x:c r="U171" s="80"/>
      <x:c r="V171" s="89" t="str">
        <x:f>IF(A171="","",IF(U171="","",IF(U171="Выигрыш",J171-1,IF(U171="Полувыигрыш",(J171-1)/2,IF(U171="Возврат",0,IF(U171="Полупроигрыш",-0.5,IF(U171="Поражение",-1,"Проверить результат")))))))</x:f>
      </x:c>
      <x:c r="W171" s="80" t="str">
        <x:f>IF(A171="","",IF(U171="","Открыт",IF(ISNUMBER(V171),"Рассчитан","Проверить результат")))</x:f>
      </x:c>
      <x:c r="X171" s="98"/>
      <x:c r="Y171" s="5"/>
      <x:c r="Z171" s="5"/>
      <x:c r="AA171" s="5"/>
      <x:c r="AB171" s="118"/>
      <x:c r="AC171" s="119"/>
      <x:c r="AD171" s="119"/>
      <x:c r="AE171" s="5" t="str">
        <x:f>IF(A171="","",IF(Z171="","Нет ID пары",IF(AND(COUNTIFS($Z$59:$Z$505,Z171,$Y$59:$Y$505,"Оптимальный",$W$59:$W$505,"Рассчитан")=1,COUNTIFS($Z$59:$Z$505,Z171,$Y$59:$Y$505,"Агрессивный",$W$59:$W$505,"Рассчитан")=1),"Да","Нет")))</x:f>
      </x:c>
      <x:c r="AF171" s="5"/>
      <x:c r="AG171" s="5"/>
    </x:row>
    <x:row r="172">
      <x:c r="A172" s="80"/>
      <x:c r="B172" s="80"/>
      <x:c r="C172" s="83"/>
      <x:c r="D172" s="80"/>
      <x:c r="E172" s="80"/>
      <x:c r="F172" s="86"/>
      <x:c r="G172" s="80"/>
      <x:c r="H172" s="95"/>
      <x:c r="I172" s="95"/>
      <x:c r="J172" s="96"/>
      <x:c r="K172" s="97"/>
      <x:c r="L172" s="98"/>
      <x:c r="M172" s="98"/>
      <x:c r="N172" s="98"/>
      <x:c r="O172" s="98"/>
      <x:c r="P172" s="98"/>
      <x:c r="Q172" s="80"/>
      <x:c r="R172" s="80"/>
      <x:c r="S172" s="80"/>
      <x:c r="T172" s="80"/>
      <x:c r="U172" s="80"/>
      <x:c r="V172" s="89" t="str">
        <x:f>IF(A172="","",IF(U172="","",IF(U172="Выигрыш",J172-1,IF(U172="Полувыигрыш",(J172-1)/2,IF(U172="Возврат",0,IF(U172="Полупроигрыш",-0.5,IF(U172="Поражение",-1,"Проверить результат")))))))</x:f>
      </x:c>
      <x:c r="W172" s="80" t="str">
        <x:f>IF(A172="","",IF(U172="","Открыт",IF(ISNUMBER(V172),"Рассчитан","Проверить результат")))</x:f>
      </x:c>
      <x:c r="X172" s="98"/>
      <x:c r="Y172" s="5"/>
      <x:c r="Z172" s="5"/>
      <x:c r="AA172" s="5"/>
      <x:c r="AB172" s="118"/>
      <x:c r="AC172" s="119"/>
      <x:c r="AD172" s="119"/>
      <x:c r="AE172" s="5" t="str">
        <x:f>IF(A172="","",IF(Z172="","Нет ID пары",IF(AND(COUNTIFS($Z$59:$Z$505,Z172,$Y$59:$Y$505,"Оптимальный",$W$59:$W$505,"Рассчитан")=1,COUNTIFS($Z$59:$Z$505,Z172,$Y$59:$Y$505,"Агрессивный",$W$59:$W$505,"Рассчитан")=1),"Да","Нет")))</x:f>
      </x:c>
      <x:c r="AF172" s="5"/>
      <x:c r="AG172" s="5"/>
    </x:row>
    <x:row r="173">
      <x:c r="A173" s="80"/>
      <x:c r="B173" s="80"/>
      <x:c r="C173" s="83"/>
      <x:c r="D173" s="80"/>
      <x:c r="E173" s="80"/>
      <x:c r="F173" s="86"/>
      <x:c r="G173" s="80"/>
      <x:c r="H173" s="95"/>
      <x:c r="I173" s="95"/>
      <x:c r="J173" s="96"/>
      <x:c r="K173" s="97"/>
      <x:c r="L173" s="98"/>
      <x:c r="M173" s="98"/>
      <x:c r="N173" s="98"/>
      <x:c r="O173" s="98"/>
      <x:c r="P173" s="98"/>
      <x:c r="Q173" s="80"/>
      <x:c r="R173" s="80"/>
      <x:c r="S173" s="80"/>
      <x:c r="T173" s="80"/>
      <x:c r="U173" s="80"/>
      <x:c r="V173" s="89" t="str">
        <x:f>IF(A173="","",IF(U173="","",IF(U173="Выигрыш",J173-1,IF(U173="Полувыигрыш",(J173-1)/2,IF(U173="Возврат",0,IF(U173="Полупроигрыш",-0.5,IF(U173="Поражение",-1,"Проверить результат")))))))</x:f>
      </x:c>
      <x:c r="W173" s="80" t="str">
        <x:f>IF(A173="","",IF(U173="","Открыт",IF(ISNUMBER(V173),"Рассчитан","Проверить результат")))</x:f>
      </x:c>
      <x:c r="X173" s="98"/>
      <x:c r="Y173" s="5"/>
      <x:c r="Z173" s="5"/>
      <x:c r="AA173" s="5"/>
      <x:c r="AB173" s="118"/>
      <x:c r="AC173" s="119"/>
      <x:c r="AD173" s="119"/>
      <x:c r="AE173" s="5" t="str">
        <x:f>IF(A173="","",IF(Z173="","Нет ID пары",IF(AND(COUNTIFS($Z$59:$Z$505,Z173,$Y$59:$Y$505,"Оптимальный",$W$59:$W$505,"Рассчитан")=1,COUNTIFS($Z$59:$Z$505,Z173,$Y$59:$Y$505,"Агрессивный",$W$59:$W$505,"Рассчитан")=1),"Да","Нет")))</x:f>
      </x:c>
      <x:c r="AF173" s="5"/>
      <x:c r="AG173" s="5"/>
    </x:row>
    <x:row r="174">
      <x:c r="A174" s="80"/>
      <x:c r="B174" s="80"/>
      <x:c r="C174" s="83"/>
      <x:c r="D174" s="80"/>
      <x:c r="E174" s="80"/>
      <x:c r="F174" s="86"/>
      <x:c r="G174" s="80"/>
      <x:c r="H174" s="95"/>
      <x:c r="I174" s="95"/>
      <x:c r="J174" s="96"/>
      <x:c r="K174" s="97"/>
      <x:c r="L174" s="98"/>
      <x:c r="M174" s="98"/>
      <x:c r="N174" s="98"/>
      <x:c r="O174" s="98"/>
      <x:c r="P174" s="98"/>
      <x:c r="Q174" s="80"/>
      <x:c r="R174" s="80"/>
      <x:c r="S174" s="80"/>
      <x:c r="T174" s="80"/>
      <x:c r="U174" s="80"/>
      <x:c r="V174" s="89" t="str">
        <x:f>IF(A174="","",IF(U174="","",IF(U174="Выигрыш",J174-1,IF(U174="Полувыигрыш",(J174-1)/2,IF(U174="Возврат",0,IF(U174="Полупроигрыш",-0.5,IF(U174="Поражение",-1,"Проверить результат")))))))</x:f>
      </x:c>
      <x:c r="W174" s="80" t="str">
        <x:f>IF(A174="","",IF(U174="","Открыт",IF(ISNUMBER(V174),"Рассчитан","Проверить результат")))</x:f>
      </x:c>
      <x:c r="X174" s="98"/>
      <x:c r="Y174" s="5"/>
      <x:c r="Z174" s="5"/>
      <x:c r="AA174" s="5"/>
      <x:c r="AB174" s="118"/>
      <x:c r="AC174" s="119"/>
      <x:c r="AD174" s="119"/>
      <x:c r="AE174" s="5" t="str">
        <x:f>IF(A174="","",IF(Z174="","Нет ID пары",IF(AND(COUNTIFS($Z$59:$Z$505,Z174,$Y$59:$Y$505,"Оптимальный",$W$59:$W$505,"Рассчитан")=1,COUNTIFS($Z$59:$Z$505,Z174,$Y$59:$Y$505,"Агрессивный",$W$59:$W$505,"Рассчитан")=1),"Да","Нет")))</x:f>
      </x:c>
      <x:c r="AF174" s="5"/>
      <x:c r="AG174" s="5"/>
    </x:row>
    <x:row r="175">
      <x:c r="A175" s="80"/>
      <x:c r="B175" s="80"/>
      <x:c r="C175" s="83"/>
      <x:c r="D175" s="80"/>
      <x:c r="E175" s="80"/>
      <x:c r="F175" s="86"/>
      <x:c r="G175" s="80"/>
      <x:c r="H175" s="95"/>
      <x:c r="I175" s="95"/>
      <x:c r="J175" s="96"/>
      <x:c r="K175" s="97"/>
      <x:c r="L175" s="98"/>
      <x:c r="M175" s="98"/>
      <x:c r="N175" s="98"/>
      <x:c r="O175" s="98"/>
      <x:c r="P175" s="98"/>
      <x:c r="Q175" s="80"/>
      <x:c r="R175" s="80"/>
      <x:c r="S175" s="80"/>
      <x:c r="T175" s="80"/>
      <x:c r="U175" s="80"/>
      <x:c r="V175" s="89" t="str">
        <x:f>IF(A175="","",IF(U175="","",IF(U175="Выигрыш",J175-1,IF(U175="Полувыигрыш",(J175-1)/2,IF(U175="Возврат",0,IF(U175="Полупроигрыш",-0.5,IF(U175="Поражение",-1,"Проверить результат")))))))</x:f>
      </x:c>
      <x:c r="W175" s="80" t="str">
        <x:f>IF(A175="","",IF(U175="","Открыт",IF(ISNUMBER(V175),"Рассчитан","Проверить результат")))</x:f>
      </x:c>
      <x:c r="X175" s="98"/>
      <x:c r="Y175" s="5"/>
      <x:c r="Z175" s="5"/>
      <x:c r="AA175" s="5"/>
      <x:c r="AB175" s="118"/>
      <x:c r="AC175" s="119"/>
      <x:c r="AD175" s="119"/>
      <x:c r="AE175" s="5" t="str">
        <x:f>IF(A175="","",IF(Z175="","Нет ID пары",IF(AND(COUNTIFS($Z$59:$Z$505,Z175,$Y$59:$Y$505,"Оптимальный",$W$59:$W$505,"Рассчитан")=1,COUNTIFS($Z$59:$Z$505,Z175,$Y$59:$Y$505,"Агрессивный",$W$59:$W$505,"Рассчитан")=1),"Да","Нет")))</x:f>
      </x:c>
      <x:c r="AF175" s="5"/>
      <x:c r="AG175" s="5"/>
    </x:row>
    <x:row r="176">
      <x:c r="A176" s="80"/>
      <x:c r="B176" s="80"/>
      <x:c r="C176" s="83"/>
      <x:c r="D176" s="80"/>
      <x:c r="E176" s="80"/>
      <x:c r="F176" s="86"/>
      <x:c r="G176" s="80"/>
      <x:c r="H176" s="95"/>
      <x:c r="I176" s="95"/>
      <x:c r="J176" s="96"/>
      <x:c r="K176" s="97"/>
      <x:c r="L176" s="98"/>
      <x:c r="M176" s="98"/>
      <x:c r="N176" s="98"/>
      <x:c r="O176" s="98"/>
      <x:c r="P176" s="98"/>
      <x:c r="Q176" s="80"/>
      <x:c r="R176" s="80"/>
      <x:c r="S176" s="80"/>
      <x:c r="T176" s="80"/>
      <x:c r="U176" s="80"/>
      <x:c r="V176" s="89" t="str">
        <x:f>IF(A176="","",IF(U176="","",IF(U176="Выигрыш",J176-1,IF(U176="Полувыигрыш",(J176-1)/2,IF(U176="Возврат",0,IF(U176="Полупроигрыш",-0.5,IF(U176="Поражение",-1,"Проверить результат")))))))</x:f>
      </x:c>
      <x:c r="W176" s="80" t="str">
        <x:f>IF(A176="","",IF(U176="","Открыт",IF(ISNUMBER(V176),"Рассчитан","Проверить результат")))</x:f>
      </x:c>
      <x:c r="X176" s="98"/>
      <x:c r="Y176" s="5"/>
      <x:c r="Z176" s="5"/>
      <x:c r="AA176" s="5"/>
      <x:c r="AB176" s="118"/>
      <x:c r="AC176" s="119"/>
      <x:c r="AD176" s="119"/>
      <x:c r="AE176" s="5" t="str">
        <x:f>IF(A176="","",IF(Z176="","Нет ID пары",IF(AND(COUNTIFS($Z$59:$Z$505,Z176,$Y$59:$Y$505,"Оптимальный",$W$59:$W$505,"Рассчитан")=1,COUNTIFS($Z$59:$Z$505,Z176,$Y$59:$Y$505,"Агрессивный",$W$59:$W$505,"Рассчитан")=1),"Да","Нет")))</x:f>
      </x:c>
      <x:c r="AF176" s="5"/>
      <x:c r="AG176" s="5"/>
    </x:row>
    <x:row r="177">
      <x:c r="A177" s="80"/>
      <x:c r="B177" s="80"/>
      <x:c r="C177" s="83"/>
      <x:c r="D177" s="80"/>
      <x:c r="E177" s="80"/>
      <x:c r="F177" s="86"/>
      <x:c r="G177" s="80"/>
      <x:c r="H177" s="95"/>
      <x:c r="I177" s="95"/>
      <x:c r="J177" s="96"/>
      <x:c r="K177" s="97"/>
      <x:c r="L177" s="98"/>
      <x:c r="M177" s="98"/>
      <x:c r="N177" s="98"/>
      <x:c r="O177" s="98"/>
      <x:c r="P177" s="98"/>
      <x:c r="Q177" s="80"/>
      <x:c r="R177" s="80"/>
      <x:c r="S177" s="80"/>
      <x:c r="T177" s="80"/>
      <x:c r="U177" s="80"/>
      <x:c r="V177" s="89" t="str">
        <x:f>IF(A177="","",IF(U177="","",IF(U177="Выигрыш",J177-1,IF(U177="Полувыигрыш",(J177-1)/2,IF(U177="Возврат",0,IF(U177="Полупроигрыш",-0.5,IF(U177="Поражение",-1,"Проверить результат")))))))</x:f>
      </x:c>
      <x:c r="W177" s="80" t="str">
        <x:f>IF(A177="","",IF(U177="","Открыт",IF(ISNUMBER(V177),"Рассчитан","Проверить результат")))</x:f>
      </x:c>
      <x:c r="X177" s="98"/>
      <x:c r="Y177" s="5"/>
      <x:c r="Z177" s="5"/>
      <x:c r="AA177" s="5"/>
      <x:c r="AB177" s="118"/>
      <x:c r="AC177" s="119"/>
      <x:c r="AD177" s="119"/>
      <x:c r="AE177" s="5" t="str">
        <x:f>IF(A177="","",IF(Z177="","Нет ID пары",IF(AND(COUNTIFS($Z$59:$Z$505,Z177,$Y$59:$Y$505,"Оптимальный",$W$59:$W$505,"Рассчитан")=1,COUNTIFS($Z$59:$Z$505,Z177,$Y$59:$Y$505,"Агрессивный",$W$59:$W$505,"Рассчитан")=1),"Да","Нет")))</x:f>
      </x:c>
      <x:c r="AF177" s="5"/>
      <x:c r="AG177" s="5"/>
    </x:row>
    <x:row r="178">
      <x:c r="A178" s="80"/>
      <x:c r="B178" s="80"/>
      <x:c r="C178" s="83"/>
      <x:c r="D178" s="80"/>
      <x:c r="E178" s="80"/>
      <x:c r="F178" s="86"/>
      <x:c r="G178" s="80"/>
      <x:c r="H178" s="95"/>
      <x:c r="I178" s="95"/>
      <x:c r="J178" s="96"/>
      <x:c r="K178" s="97"/>
      <x:c r="L178" s="98"/>
      <x:c r="M178" s="98"/>
      <x:c r="N178" s="98"/>
      <x:c r="O178" s="98"/>
      <x:c r="P178" s="98"/>
      <x:c r="Q178" s="80"/>
      <x:c r="R178" s="80"/>
      <x:c r="S178" s="80"/>
      <x:c r="T178" s="80"/>
      <x:c r="U178" s="80"/>
      <x:c r="V178" s="89" t="str">
        <x:f>IF(A178="","",IF(U178="","",IF(U178="Выигрыш",J178-1,IF(U178="Полувыигрыш",(J178-1)/2,IF(U178="Возврат",0,IF(U178="Полупроигрыш",-0.5,IF(U178="Поражение",-1,"Проверить результат")))))))</x:f>
      </x:c>
      <x:c r="W178" s="80" t="str">
        <x:f>IF(A178="","",IF(U178="","Открыт",IF(ISNUMBER(V178),"Рассчитан","Проверить результат")))</x:f>
      </x:c>
      <x:c r="X178" s="98"/>
      <x:c r="Y178" s="5"/>
      <x:c r="Z178" s="5"/>
      <x:c r="AA178" s="5"/>
      <x:c r="AB178" s="118"/>
      <x:c r="AC178" s="119"/>
      <x:c r="AD178" s="119"/>
      <x:c r="AE178" s="5" t="str">
        <x:f>IF(A178="","",IF(Z178="","Нет ID пары",IF(AND(COUNTIFS($Z$59:$Z$505,Z178,$Y$59:$Y$505,"Оптимальный",$W$59:$W$505,"Рассчитан")=1,COUNTIFS($Z$59:$Z$505,Z178,$Y$59:$Y$505,"Агрессивный",$W$59:$W$505,"Рассчитан")=1),"Да","Нет")))</x:f>
      </x:c>
      <x:c r="AF178" s="5"/>
      <x:c r="AG178" s="5"/>
    </x:row>
    <x:row r="179">
      <x:c r="A179" s="80"/>
      <x:c r="B179" s="80"/>
      <x:c r="C179" s="83"/>
      <x:c r="D179" s="80"/>
      <x:c r="E179" s="80"/>
      <x:c r="F179" s="86"/>
      <x:c r="G179" s="80"/>
      <x:c r="H179" s="95"/>
      <x:c r="I179" s="95"/>
      <x:c r="J179" s="96"/>
      <x:c r="K179" s="97"/>
      <x:c r="L179" s="98"/>
      <x:c r="M179" s="98"/>
      <x:c r="N179" s="98"/>
      <x:c r="O179" s="98"/>
      <x:c r="P179" s="98"/>
      <x:c r="Q179" s="80"/>
      <x:c r="R179" s="80"/>
      <x:c r="S179" s="80"/>
      <x:c r="T179" s="80"/>
      <x:c r="U179" s="80"/>
      <x:c r="V179" s="89" t="str">
        <x:f>IF(A179="","",IF(U179="","",IF(U179="Выигрыш",J179-1,IF(U179="Полувыигрыш",(J179-1)/2,IF(U179="Возврат",0,IF(U179="Полупроигрыш",-0.5,IF(U179="Поражение",-1,"Проверить результат")))))))</x:f>
      </x:c>
      <x:c r="W179" s="80" t="str">
        <x:f>IF(A179="","",IF(U179="","Открыт",IF(ISNUMBER(V179),"Рассчитан","Проверить результат")))</x:f>
      </x:c>
      <x:c r="X179" s="98"/>
      <x:c r="Y179" s="5"/>
      <x:c r="Z179" s="5"/>
      <x:c r="AA179" s="5"/>
      <x:c r="AB179" s="118"/>
      <x:c r="AC179" s="119"/>
      <x:c r="AD179" s="119"/>
      <x:c r="AE179" s="5" t="str">
        <x:f>IF(A179="","",IF(Z179="","Нет ID пары",IF(AND(COUNTIFS($Z$59:$Z$505,Z179,$Y$59:$Y$505,"Оптимальный",$W$59:$W$505,"Рассчитан")=1,COUNTIFS($Z$59:$Z$505,Z179,$Y$59:$Y$505,"Агрессивный",$W$59:$W$505,"Рассчитан")=1),"Да","Нет")))</x:f>
      </x:c>
      <x:c r="AF179" s="5"/>
      <x:c r="AG179" s="5"/>
    </x:row>
    <x:row r="180">
      <x:c r="A180" s="80"/>
      <x:c r="B180" s="80"/>
      <x:c r="C180" s="83"/>
      <x:c r="D180" s="80"/>
      <x:c r="E180" s="80"/>
      <x:c r="F180" s="86"/>
      <x:c r="G180" s="80"/>
      <x:c r="H180" s="95"/>
      <x:c r="I180" s="95"/>
      <x:c r="J180" s="96"/>
      <x:c r="K180" s="97"/>
      <x:c r="L180" s="98"/>
      <x:c r="M180" s="98"/>
      <x:c r="N180" s="98"/>
      <x:c r="O180" s="98"/>
      <x:c r="P180" s="98"/>
      <x:c r="Q180" s="80"/>
      <x:c r="R180" s="80"/>
      <x:c r="S180" s="80"/>
      <x:c r="T180" s="80"/>
      <x:c r="U180" s="80"/>
      <x:c r="V180" s="89" t="str">
        <x:f>IF(A180="","",IF(U180="","",IF(U180="Выигрыш",J180-1,IF(U180="Полувыигрыш",(J180-1)/2,IF(U180="Возврат",0,IF(U180="Полупроигрыш",-0.5,IF(U180="Поражение",-1,"Проверить результат")))))))</x:f>
      </x:c>
      <x:c r="W180" s="80" t="str">
        <x:f>IF(A180="","",IF(U180="","Открыт",IF(ISNUMBER(V180),"Рассчитан","Проверить результат")))</x:f>
      </x:c>
      <x:c r="X180" s="98"/>
      <x:c r="Y180" s="5"/>
      <x:c r="Z180" s="5"/>
      <x:c r="AA180" s="5"/>
      <x:c r="AB180" s="118"/>
      <x:c r="AC180" s="119"/>
      <x:c r="AD180" s="119"/>
      <x:c r="AE180" s="5" t="str">
        <x:f>IF(A180="","",IF(Z180="","Нет ID пары",IF(AND(COUNTIFS($Z$59:$Z$505,Z180,$Y$59:$Y$505,"Оптимальный",$W$59:$W$505,"Рассчитан")=1,COUNTIFS($Z$59:$Z$505,Z180,$Y$59:$Y$505,"Агрессивный",$W$59:$W$505,"Рассчитан")=1),"Да","Нет")))</x:f>
      </x:c>
      <x:c r="AF180" s="5"/>
      <x:c r="AG180" s="5"/>
    </x:row>
    <x:row r="181">
      <x:c r="A181" s="80"/>
      <x:c r="B181" s="80"/>
      <x:c r="C181" s="83"/>
      <x:c r="D181" s="80"/>
      <x:c r="E181" s="80"/>
      <x:c r="F181" s="86"/>
      <x:c r="G181" s="80"/>
      <x:c r="H181" s="95"/>
      <x:c r="I181" s="95"/>
      <x:c r="J181" s="96"/>
      <x:c r="K181" s="97"/>
      <x:c r="L181" s="98"/>
      <x:c r="M181" s="98"/>
      <x:c r="N181" s="98"/>
      <x:c r="O181" s="98"/>
      <x:c r="P181" s="98"/>
      <x:c r="Q181" s="80"/>
      <x:c r="R181" s="80"/>
      <x:c r="S181" s="80"/>
      <x:c r="T181" s="80"/>
      <x:c r="U181" s="80"/>
      <x:c r="V181" s="89" t="str">
        <x:f>IF(A181="","",IF(U181="","",IF(U181="Выигрыш",J181-1,IF(U181="Полувыигрыш",(J181-1)/2,IF(U181="Возврат",0,IF(U181="Полупроигрыш",-0.5,IF(U181="Поражение",-1,"Проверить результат")))))))</x:f>
      </x:c>
      <x:c r="W181" s="80" t="str">
        <x:f>IF(A181="","",IF(U181="","Открыт",IF(ISNUMBER(V181),"Рассчитан","Проверить результат")))</x:f>
      </x:c>
      <x:c r="X181" s="98"/>
      <x:c r="Y181" s="5"/>
      <x:c r="Z181" s="5"/>
      <x:c r="AA181" s="5"/>
      <x:c r="AB181" s="118"/>
      <x:c r="AC181" s="119"/>
      <x:c r="AD181" s="119"/>
      <x:c r="AE181" s="5" t="str">
        <x:f>IF(A181="","",IF(Z181="","Нет ID пары",IF(AND(COUNTIFS($Z$59:$Z$505,Z181,$Y$59:$Y$505,"Оптимальный",$W$59:$W$505,"Рассчитан")=1,COUNTIFS($Z$59:$Z$505,Z181,$Y$59:$Y$505,"Агрессивный",$W$59:$W$505,"Рассчитан")=1),"Да","Нет")))</x:f>
      </x:c>
      <x:c r="AF181" s="5"/>
      <x:c r="AG181" s="5"/>
    </x:row>
    <x:row r="182">
      <x:c r="A182" s="80"/>
      <x:c r="B182" s="80"/>
      <x:c r="C182" s="83"/>
      <x:c r="D182" s="80"/>
      <x:c r="E182" s="80"/>
      <x:c r="F182" s="86"/>
      <x:c r="G182" s="80"/>
      <x:c r="H182" s="95"/>
      <x:c r="I182" s="95"/>
      <x:c r="J182" s="96"/>
      <x:c r="K182" s="97"/>
      <x:c r="L182" s="98"/>
      <x:c r="M182" s="98"/>
      <x:c r="N182" s="98"/>
      <x:c r="O182" s="98"/>
      <x:c r="P182" s="98"/>
      <x:c r="Q182" s="80"/>
      <x:c r="R182" s="80"/>
      <x:c r="S182" s="80"/>
      <x:c r="T182" s="80"/>
      <x:c r="U182" s="80"/>
      <x:c r="V182" s="89" t="str">
        <x:f>IF(A182="","",IF(U182="","",IF(U182="Выигрыш",J182-1,IF(U182="Полувыигрыш",(J182-1)/2,IF(U182="Возврат",0,IF(U182="Полупроигрыш",-0.5,IF(U182="Поражение",-1,"Проверить результат")))))))</x:f>
      </x:c>
      <x:c r="W182" s="80" t="str">
        <x:f>IF(A182="","",IF(U182="","Открыт",IF(ISNUMBER(V182),"Рассчитан","Проверить результат")))</x:f>
      </x:c>
      <x:c r="X182" s="98"/>
      <x:c r="Y182" s="5"/>
      <x:c r="Z182" s="5"/>
      <x:c r="AA182" s="5"/>
      <x:c r="AB182" s="118"/>
      <x:c r="AC182" s="119"/>
      <x:c r="AD182" s="119"/>
      <x:c r="AE182" s="5" t="str">
        <x:f>IF(A182="","",IF(Z182="","Нет ID пары",IF(AND(COUNTIFS($Z$59:$Z$505,Z182,$Y$59:$Y$505,"Оптимальный",$W$59:$W$505,"Рассчитан")=1,COUNTIFS($Z$59:$Z$505,Z182,$Y$59:$Y$505,"Агрессивный",$W$59:$W$505,"Рассчитан")=1),"Да","Нет")))</x:f>
      </x:c>
      <x:c r="AF182" s="5"/>
      <x:c r="AG182" s="5"/>
    </x:row>
    <x:row r="183">
      <x:c r="A183" s="80"/>
      <x:c r="B183" s="80"/>
      <x:c r="C183" s="83"/>
      <x:c r="D183" s="80"/>
      <x:c r="E183" s="80"/>
      <x:c r="F183" s="86"/>
      <x:c r="G183" s="80"/>
      <x:c r="H183" s="95"/>
      <x:c r="I183" s="95"/>
      <x:c r="J183" s="96"/>
      <x:c r="K183" s="97"/>
      <x:c r="L183" s="98"/>
      <x:c r="M183" s="98"/>
      <x:c r="N183" s="98"/>
      <x:c r="O183" s="98"/>
      <x:c r="P183" s="98"/>
      <x:c r="Q183" s="80"/>
      <x:c r="R183" s="80"/>
      <x:c r="S183" s="80"/>
      <x:c r="T183" s="80"/>
      <x:c r="U183" s="80"/>
      <x:c r="V183" s="89" t="str">
        <x:f>IF(A183="","",IF(U183="","",IF(U183="Выигрыш",J183-1,IF(U183="Полувыигрыш",(J183-1)/2,IF(U183="Возврат",0,IF(U183="Полупроигрыш",-0.5,IF(U183="Поражение",-1,"Проверить результат")))))))</x:f>
      </x:c>
      <x:c r="W183" s="80" t="str">
        <x:f>IF(A183="","",IF(U183="","Открыт",IF(ISNUMBER(V183),"Рассчитан","Проверить результат")))</x:f>
      </x:c>
      <x:c r="X183" s="98"/>
      <x:c r="Y183" s="5"/>
      <x:c r="Z183" s="5"/>
      <x:c r="AA183" s="5"/>
      <x:c r="AB183" s="118"/>
      <x:c r="AC183" s="119"/>
      <x:c r="AD183" s="119"/>
      <x:c r="AE183" s="5" t="str">
        <x:f>IF(A183="","",IF(Z183="","Нет ID пары",IF(AND(COUNTIFS($Z$59:$Z$505,Z183,$Y$59:$Y$505,"Оптимальный",$W$59:$W$505,"Рассчитан")=1,COUNTIFS($Z$59:$Z$505,Z183,$Y$59:$Y$505,"Агрессивный",$W$59:$W$505,"Рассчитан")=1),"Да","Нет")))</x:f>
      </x:c>
      <x:c r="AF183" s="5"/>
      <x:c r="AG183" s="5"/>
    </x:row>
    <x:row r="184">
      <x:c r="A184" s="80"/>
      <x:c r="B184" s="80"/>
      <x:c r="C184" s="83"/>
      <x:c r="D184" s="80"/>
      <x:c r="E184" s="80"/>
      <x:c r="F184" s="86"/>
      <x:c r="G184" s="80"/>
      <x:c r="H184" s="95"/>
      <x:c r="I184" s="95"/>
      <x:c r="J184" s="96"/>
      <x:c r="K184" s="97"/>
      <x:c r="L184" s="98"/>
      <x:c r="M184" s="98"/>
      <x:c r="N184" s="98"/>
      <x:c r="O184" s="98"/>
      <x:c r="P184" s="98"/>
      <x:c r="Q184" s="80"/>
      <x:c r="R184" s="80"/>
      <x:c r="S184" s="80"/>
      <x:c r="T184" s="80"/>
      <x:c r="U184" s="80"/>
      <x:c r="V184" s="89" t="str">
        <x:f>IF(A184="","",IF(U184="","",IF(U184="Выигрыш",J184-1,IF(U184="Полувыигрыш",(J184-1)/2,IF(U184="Возврат",0,IF(U184="Полупроигрыш",-0.5,IF(U184="Поражение",-1,"Проверить результат")))))))</x:f>
      </x:c>
      <x:c r="W184" s="80" t="str">
        <x:f>IF(A184="","",IF(U184="","Открыт",IF(ISNUMBER(V184),"Рассчитан","Проверить результат")))</x:f>
      </x:c>
      <x:c r="X184" s="98"/>
      <x:c r="Y184" s="5"/>
      <x:c r="Z184" s="5"/>
      <x:c r="AA184" s="5"/>
      <x:c r="AB184" s="118"/>
      <x:c r="AC184" s="119"/>
      <x:c r="AD184" s="119"/>
      <x:c r="AE184" s="5" t="str">
        <x:f>IF(A184="","",IF(Z184="","Нет ID пары",IF(AND(COUNTIFS($Z$59:$Z$505,Z184,$Y$59:$Y$505,"Оптимальный",$W$59:$W$505,"Рассчитан")=1,COUNTIFS($Z$59:$Z$505,Z184,$Y$59:$Y$505,"Агрессивный",$W$59:$W$505,"Рассчитан")=1),"Да","Нет")))</x:f>
      </x:c>
      <x:c r="AF184" s="5"/>
      <x:c r="AG184" s="5"/>
    </x:row>
    <x:row r="185">
      <x:c r="A185" s="80"/>
      <x:c r="B185" s="80"/>
      <x:c r="C185" s="83"/>
      <x:c r="D185" s="80"/>
      <x:c r="E185" s="80"/>
      <x:c r="F185" s="86"/>
      <x:c r="G185" s="80"/>
      <x:c r="H185" s="95"/>
      <x:c r="I185" s="95"/>
      <x:c r="J185" s="96"/>
      <x:c r="K185" s="97"/>
      <x:c r="L185" s="98"/>
      <x:c r="M185" s="98"/>
      <x:c r="N185" s="98"/>
      <x:c r="O185" s="98"/>
      <x:c r="P185" s="98"/>
      <x:c r="Q185" s="80"/>
      <x:c r="R185" s="80"/>
      <x:c r="S185" s="80"/>
      <x:c r="T185" s="80"/>
      <x:c r="U185" s="80"/>
      <x:c r="V185" s="89" t="str">
        <x:f>IF(A185="","",IF(U185="","",IF(U185="Выигрыш",J185-1,IF(U185="Полувыигрыш",(J185-1)/2,IF(U185="Возврат",0,IF(U185="Полупроигрыш",-0.5,IF(U185="Поражение",-1,"Проверить результат")))))))</x:f>
      </x:c>
      <x:c r="W185" s="80" t="str">
        <x:f>IF(A185="","",IF(U185="","Открыт",IF(ISNUMBER(V185),"Рассчитан","Проверить результат")))</x:f>
      </x:c>
      <x:c r="X185" s="98"/>
      <x:c r="Y185" s="5"/>
      <x:c r="Z185" s="5"/>
      <x:c r="AA185" s="5"/>
      <x:c r="AB185" s="118"/>
      <x:c r="AC185" s="119"/>
      <x:c r="AD185" s="119"/>
      <x:c r="AE185" s="5" t="str">
        <x:f>IF(A185="","",IF(Z185="","Нет ID пары",IF(AND(COUNTIFS($Z$59:$Z$505,Z185,$Y$59:$Y$505,"Оптимальный",$W$59:$W$505,"Рассчитан")=1,COUNTIFS($Z$59:$Z$505,Z185,$Y$59:$Y$505,"Агрессивный",$W$59:$W$505,"Рассчитан")=1),"Да","Нет")))</x:f>
      </x:c>
      <x:c r="AF185" s="5"/>
      <x:c r="AG185" s="5"/>
    </x:row>
    <x:row r="186">
      <x:c r="A186" s="80"/>
      <x:c r="B186" s="80"/>
      <x:c r="C186" s="83"/>
      <x:c r="D186" s="80"/>
      <x:c r="E186" s="80"/>
      <x:c r="F186" s="86"/>
      <x:c r="G186" s="80"/>
      <x:c r="H186" s="95"/>
      <x:c r="I186" s="95"/>
      <x:c r="J186" s="96"/>
      <x:c r="K186" s="97"/>
      <x:c r="L186" s="98"/>
      <x:c r="M186" s="98"/>
      <x:c r="N186" s="98"/>
      <x:c r="O186" s="98"/>
      <x:c r="P186" s="98"/>
      <x:c r="Q186" s="80"/>
      <x:c r="R186" s="80"/>
      <x:c r="S186" s="80"/>
      <x:c r="T186" s="80"/>
      <x:c r="U186" s="80"/>
      <x:c r="V186" s="89" t="str">
        <x:f>IF(A186="","",IF(U186="","",IF(U186="Выигрыш",J186-1,IF(U186="Полувыигрыш",(J186-1)/2,IF(U186="Возврат",0,IF(U186="Полупроигрыш",-0.5,IF(U186="Поражение",-1,"Проверить результат")))))))</x:f>
      </x:c>
      <x:c r="W186" s="80" t="str">
        <x:f>IF(A186="","",IF(U186="","Открыт",IF(ISNUMBER(V186),"Рассчитан","Проверить результат")))</x:f>
      </x:c>
      <x:c r="X186" s="98"/>
      <x:c r="Y186" s="5"/>
      <x:c r="Z186" s="5"/>
      <x:c r="AA186" s="5"/>
      <x:c r="AB186" s="118"/>
      <x:c r="AC186" s="119"/>
      <x:c r="AD186" s="119"/>
      <x:c r="AE186" s="5" t="str">
        <x:f>IF(A186="","",IF(Z186="","Нет ID пары",IF(AND(COUNTIFS($Z$59:$Z$505,Z186,$Y$59:$Y$505,"Оптимальный",$W$59:$W$505,"Рассчитан")=1,COUNTIFS($Z$59:$Z$505,Z186,$Y$59:$Y$505,"Агрессивный",$W$59:$W$505,"Рассчитан")=1),"Да","Нет")))</x:f>
      </x:c>
      <x:c r="AF186" s="5"/>
      <x:c r="AG186" s="5"/>
    </x:row>
    <x:row r="187">
      <x:c r="A187" s="80"/>
      <x:c r="B187" s="80"/>
      <x:c r="C187" s="83"/>
      <x:c r="D187" s="80"/>
      <x:c r="E187" s="80"/>
      <x:c r="F187" s="86"/>
      <x:c r="G187" s="80"/>
      <x:c r="H187" s="95"/>
      <x:c r="I187" s="95"/>
      <x:c r="J187" s="96"/>
      <x:c r="K187" s="97"/>
      <x:c r="L187" s="98"/>
      <x:c r="M187" s="98"/>
      <x:c r="N187" s="98"/>
      <x:c r="O187" s="98"/>
      <x:c r="P187" s="98"/>
      <x:c r="Q187" s="80"/>
      <x:c r="R187" s="80"/>
      <x:c r="S187" s="80"/>
      <x:c r="T187" s="80"/>
      <x:c r="U187" s="80"/>
      <x:c r="V187" s="89" t="str">
        <x:f>IF(A187="","",IF(U187="","",IF(U187="Выигрыш",J187-1,IF(U187="Полувыигрыш",(J187-1)/2,IF(U187="Возврат",0,IF(U187="Полупроигрыш",-0.5,IF(U187="Поражение",-1,"Проверить результат")))))))</x:f>
      </x:c>
      <x:c r="W187" s="80" t="str">
        <x:f>IF(A187="","",IF(U187="","Открыт",IF(ISNUMBER(V187),"Рассчитан","Проверить результат")))</x:f>
      </x:c>
      <x:c r="X187" s="98"/>
      <x:c r="Y187" s="5"/>
      <x:c r="Z187" s="5"/>
      <x:c r="AA187" s="5"/>
      <x:c r="AB187" s="118"/>
      <x:c r="AC187" s="119"/>
      <x:c r="AD187" s="119"/>
      <x:c r="AE187" s="5" t="str">
        <x:f>IF(A187="","",IF(Z187="","Нет ID пары",IF(AND(COUNTIFS($Z$59:$Z$505,Z187,$Y$59:$Y$505,"Оптимальный",$W$59:$W$505,"Рассчитан")=1,COUNTIFS($Z$59:$Z$505,Z187,$Y$59:$Y$505,"Агрессивный",$W$59:$W$505,"Рассчитан")=1),"Да","Нет")))</x:f>
      </x:c>
      <x:c r="AF187" s="5"/>
      <x:c r="AG187" s="5"/>
    </x:row>
    <x:row r="188">
      <x:c r="A188" s="80"/>
      <x:c r="B188" s="80"/>
      <x:c r="C188" s="83"/>
      <x:c r="D188" s="80"/>
      <x:c r="E188" s="80"/>
      <x:c r="F188" s="86"/>
      <x:c r="G188" s="80"/>
      <x:c r="H188" s="95"/>
      <x:c r="I188" s="95"/>
      <x:c r="J188" s="96"/>
      <x:c r="K188" s="97"/>
      <x:c r="L188" s="98"/>
      <x:c r="M188" s="98"/>
      <x:c r="N188" s="98"/>
      <x:c r="O188" s="98"/>
      <x:c r="P188" s="98"/>
      <x:c r="Q188" s="80"/>
      <x:c r="R188" s="80"/>
      <x:c r="S188" s="80"/>
      <x:c r="T188" s="80"/>
      <x:c r="U188" s="80"/>
      <x:c r="V188" s="89" t="str">
        <x:f>IF(A188="","",IF(U188="","",IF(U188="Выигрыш",J188-1,IF(U188="Полувыигрыш",(J188-1)/2,IF(U188="Возврат",0,IF(U188="Полупроигрыш",-0.5,IF(U188="Поражение",-1,"Проверить результат")))))))</x:f>
      </x:c>
      <x:c r="W188" s="80" t="str">
        <x:f>IF(A188="","",IF(U188="","Открыт",IF(ISNUMBER(V188),"Рассчитан","Проверить результат")))</x:f>
      </x:c>
      <x:c r="X188" s="98"/>
      <x:c r="Y188" s="5"/>
      <x:c r="Z188" s="5"/>
      <x:c r="AA188" s="5"/>
      <x:c r="AB188" s="118"/>
      <x:c r="AC188" s="119"/>
      <x:c r="AD188" s="119"/>
      <x:c r="AE188" s="5" t="str">
        <x:f>IF(A188="","",IF(Z188="","Нет ID пары",IF(AND(COUNTIFS($Z$59:$Z$505,Z188,$Y$59:$Y$505,"Оптимальный",$W$59:$W$505,"Рассчитан")=1,COUNTIFS($Z$59:$Z$505,Z188,$Y$59:$Y$505,"Агрессивный",$W$59:$W$505,"Рассчитан")=1),"Да","Нет")))</x:f>
      </x:c>
      <x:c r="AF188" s="5"/>
      <x:c r="AG188" s="5"/>
    </x:row>
    <x:row r="189">
      <x:c r="A189" s="80"/>
      <x:c r="B189" s="80"/>
      <x:c r="C189" s="83"/>
      <x:c r="D189" s="80"/>
      <x:c r="E189" s="80"/>
      <x:c r="F189" s="86"/>
      <x:c r="G189" s="80"/>
      <x:c r="H189" s="95"/>
      <x:c r="I189" s="95"/>
      <x:c r="J189" s="96"/>
      <x:c r="K189" s="97"/>
      <x:c r="L189" s="98"/>
      <x:c r="M189" s="98"/>
      <x:c r="N189" s="98"/>
      <x:c r="O189" s="98"/>
      <x:c r="P189" s="98"/>
      <x:c r="Q189" s="80"/>
      <x:c r="R189" s="80"/>
      <x:c r="S189" s="80"/>
      <x:c r="T189" s="80"/>
      <x:c r="U189" s="80"/>
      <x:c r="V189" s="89" t="str">
        <x:f>IF(A189="","",IF(U189="","",IF(U189="Выигрыш",J189-1,IF(U189="Полувыигрыш",(J189-1)/2,IF(U189="Возврат",0,IF(U189="Полупроигрыш",-0.5,IF(U189="Поражение",-1,"Проверить результат")))))))</x:f>
      </x:c>
      <x:c r="W189" s="80" t="str">
        <x:f>IF(A189="","",IF(U189="","Открыт",IF(ISNUMBER(V189),"Рассчитан","Проверить результат")))</x:f>
      </x:c>
      <x:c r="X189" s="98"/>
      <x:c r="Y189" s="5"/>
      <x:c r="Z189" s="5"/>
      <x:c r="AA189" s="5"/>
      <x:c r="AB189" s="118"/>
      <x:c r="AC189" s="119"/>
      <x:c r="AD189" s="119"/>
      <x:c r="AE189" s="5" t="str">
        <x:f>IF(A189="","",IF(Z189="","Нет ID пары",IF(AND(COUNTIFS($Z$59:$Z$505,Z189,$Y$59:$Y$505,"Оптимальный",$W$59:$W$505,"Рассчитан")=1,COUNTIFS($Z$59:$Z$505,Z189,$Y$59:$Y$505,"Агрессивный",$W$59:$W$505,"Рассчитан")=1),"Да","Нет")))</x:f>
      </x:c>
      <x:c r="AF189" s="5"/>
      <x:c r="AG189" s="5"/>
    </x:row>
    <x:row r="190">
      <x:c r="A190" s="80"/>
      <x:c r="B190" s="80"/>
      <x:c r="C190" s="83"/>
      <x:c r="D190" s="80"/>
      <x:c r="E190" s="80"/>
      <x:c r="F190" s="86"/>
      <x:c r="G190" s="80"/>
      <x:c r="H190" s="95"/>
      <x:c r="I190" s="95"/>
      <x:c r="J190" s="96"/>
      <x:c r="K190" s="97"/>
      <x:c r="L190" s="98"/>
      <x:c r="M190" s="98"/>
      <x:c r="N190" s="98"/>
      <x:c r="O190" s="98"/>
      <x:c r="P190" s="98"/>
      <x:c r="Q190" s="80"/>
      <x:c r="R190" s="80"/>
      <x:c r="S190" s="80"/>
      <x:c r="T190" s="80"/>
      <x:c r="U190" s="80"/>
      <x:c r="V190" s="89" t="str">
        <x:f>IF(A190="","",IF(U190="","",IF(U190="Выигрыш",J190-1,IF(U190="Полувыигрыш",(J190-1)/2,IF(U190="Возврат",0,IF(U190="Полупроигрыш",-0.5,IF(U190="Поражение",-1,"Проверить результат")))))))</x:f>
      </x:c>
      <x:c r="W190" s="80" t="str">
        <x:f>IF(A190="","",IF(U190="","Открыт",IF(ISNUMBER(V190),"Рассчитан","Проверить результат")))</x:f>
      </x:c>
      <x:c r="X190" s="98"/>
      <x:c r="Y190" s="5"/>
      <x:c r="Z190" s="5"/>
      <x:c r="AA190" s="5"/>
      <x:c r="AB190" s="118"/>
      <x:c r="AC190" s="119"/>
      <x:c r="AD190" s="119"/>
      <x:c r="AE190" s="5" t="str">
        <x:f>IF(A190="","",IF(Z190="","Нет ID пары",IF(AND(COUNTIFS($Z$59:$Z$505,Z190,$Y$59:$Y$505,"Оптимальный",$W$59:$W$505,"Рассчитан")=1,COUNTIFS($Z$59:$Z$505,Z190,$Y$59:$Y$505,"Агрессивный",$W$59:$W$505,"Рассчитан")=1),"Да","Нет")))</x:f>
      </x:c>
      <x:c r="AF190" s="5"/>
      <x:c r="AG190" s="5"/>
    </x:row>
    <x:row r="191">
      <x:c r="A191" s="80"/>
      <x:c r="B191" s="80"/>
      <x:c r="C191" s="83"/>
      <x:c r="D191" s="80"/>
      <x:c r="E191" s="80"/>
      <x:c r="F191" s="86"/>
      <x:c r="G191" s="80"/>
      <x:c r="H191" s="95"/>
      <x:c r="I191" s="95"/>
      <x:c r="J191" s="96"/>
      <x:c r="K191" s="97"/>
      <x:c r="L191" s="98"/>
      <x:c r="M191" s="98"/>
      <x:c r="N191" s="98"/>
      <x:c r="O191" s="98"/>
      <x:c r="P191" s="98"/>
      <x:c r="Q191" s="80"/>
      <x:c r="R191" s="80"/>
      <x:c r="S191" s="80"/>
      <x:c r="T191" s="80"/>
      <x:c r="U191" s="80"/>
      <x:c r="V191" s="89" t="str">
        <x:f>IF(A191="","",IF(U191="","",IF(U191="Выигрыш",J191-1,IF(U191="Полувыигрыш",(J191-1)/2,IF(U191="Возврат",0,IF(U191="Полупроигрыш",-0.5,IF(U191="Поражение",-1,"Проверить результат")))))))</x:f>
      </x:c>
      <x:c r="W191" s="80" t="str">
        <x:f>IF(A191="","",IF(U191="","Открыт",IF(ISNUMBER(V191),"Рассчитан","Проверить результат")))</x:f>
      </x:c>
      <x:c r="X191" s="98"/>
      <x:c r="Y191" s="5"/>
      <x:c r="Z191" s="5"/>
      <x:c r="AA191" s="5"/>
      <x:c r="AB191" s="118"/>
      <x:c r="AC191" s="119"/>
      <x:c r="AD191" s="119"/>
      <x:c r="AE191" s="5" t="str">
        <x:f>IF(A191="","",IF(Z191="","Нет ID пары",IF(AND(COUNTIFS($Z$59:$Z$505,Z191,$Y$59:$Y$505,"Оптимальный",$W$59:$W$505,"Рассчитан")=1,COUNTIFS($Z$59:$Z$505,Z191,$Y$59:$Y$505,"Агрессивный",$W$59:$W$505,"Рассчитан")=1),"Да","Нет")))</x:f>
      </x:c>
      <x:c r="AF191" s="5"/>
      <x:c r="AG191" s="5"/>
    </x:row>
    <x:row r="192">
      <x:c r="A192" s="80"/>
      <x:c r="B192" s="80"/>
      <x:c r="C192" s="83"/>
      <x:c r="D192" s="80"/>
      <x:c r="E192" s="80"/>
      <x:c r="F192" s="86"/>
      <x:c r="G192" s="80"/>
      <x:c r="H192" s="95"/>
      <x:c r="I192" s="95"/>
      <x:c r="J192" s="96"/>
      <x:c r="K192" s="97"/>
      <x:c r="L192" s="98"/>
      <x:c r="M192" s="98"/>
      <x:c r="N192" s="98"/>
      <x:c r="O192" s="98"/>
      <x:c r="P192" s="98"/>
      <x:c r="Q192" s="80"/>
      <x:c r="R192" s="80"/>
      <x:c r="S192" s="80"/>
      <x:c r="T192" s="80"/>
      <x:c r="U192" s="80"/>
      <x:c r="V192" s="89" t="str">
        <x:f>IF(A192="","",IF(U192="","",IF(U192="Выигрыш",J192-1,IF(U192="Полувыигрыш",(J192-1)/2,IF(U192="Возврат",0,IF(U192="Полупроигрыш",-0.5,IF(U192="Поражение",-1,"Проверить результат")))))))</x:f>
      </x:c>
      <x:c r="W192" s="80" t="str">
        <x:f>IF(A192="","",IF(U192="","Открыт",IF(ISNUMBER(V192),"Рассчитан","Проверить результат")))</x:f>
      </x:c>
      <x:c r="X192" s="98"/>
      <x:c r="Y192" s="5"/>
      <x:c r="Z192" s="5"/>
      <x:c r="AA192" s="5"/>
      <x:c r="AB192" s="118"/>
      <x:c r="AC192" s="119"/>
      <x:c r="AD192" s="119"/>
      <x:c r="AE192" s="5" t="str">
        <x:f>IF(A192="","",IF(Z192="","Нет ID пары",IF(AND(COUNTIFS($Z$59:$Z$505,Z192,$Y$59:$Y$505,"Оптимальный",$W$59:$W$505,"Рассчитан")=1,COUNTIFS($Z$59:$Z$505,Z192,$Y$59:$Y$505,"Агрессивный",$W$59:$W$505,"Рассчитан")=1),"Да","Нет")))</x:f>
      </x:c>
      <x:c r="AF192" s="5"/>
      <x:c r="AG192" s="5"/>
    </x:row>
    <x:row r="193">
      <x:c r="A193" s="80"/>
      <x:c r="B193" s="80"/>
      <x:c r="C193" s="83"/>
      <x:c r="D193" s="80"/>
      <x:c r="E193" s="80"/>
      <x:c r="F193" s="86"/>
      <x:c r="G193" s="80"/>
      <x:c r="H193" s="95"/>
      <x:c r="I193" s="95"/>
      <x:c r="J193" s="96"/>
      <x:c r="K193" s="97"/>
      <x:c r="L193" s="98"/>
      <x:c r="M193" s="98"/>
      <x:c r="N193" s="98"/>
      <x:c r="O193" s="98"/>
      <x:c r="P193" s="98"/>
      <x:c r="Q193" s="80"/>
      <x:c r="R193" s="80"/>
      <x:c r="S193" s="80"/>
      <x:c r="T193" s="80"/>
      <x:c r="U193" s="80"/>
      <x:c r="V193" s="89" t="str">
        <x:f>IF(A193="","",IF(U193="","",IF(U193="Выигрыш",J193-1,IF(U193="Полувыигрыш",(J193-1)/2,IF(U193="Возврат",0,IF(U193="Полупроигрыш",-0.5,IF(U193="Поражение",-1,"Проверить результат")))))))</x:f>
      </x:c>
      <x:c r="W193" s="80" t="str">
        <x:f>IF(A193="","",IF(U193="","Открыт",IF(ISNUMBER(V193),"Рассчитан","Проверить результат")))</x:f>
      </x:c>
      <x:c r="X193" s="98"/>
      <x:c r="Y193" s="5"/>
      <x:c r="Z193" s="5"/>
      <x:c r="AA193" s="5"/>
      <x:c r="AB193" s="118"/>
      <x:c r="AC193" s="119"/>
      <x:c r="AD193" s="119"/>
      <x:c r="AE193" s="5" t="str">
        <x:f>IF(A193="","",IF(Z193="","Нет ID пары",IF(AND(COUNTIFS($Z$59:$Z$505,Z193,$Y$59:$Y$505,"Оптимальный",$W$59:$W$505,"Рассчитан")=1,COUNTIFS($Z$59:$Z$505,Z193,$Y$59:$Y$505,"Агрессивный",$W$59:$W$505,"Рассчитан")=1),"Да","Нет")))</x:f>
      </x:c>
      <x:c r="AF193" s="5"/>
      <x:c r="AG193" s="5"/>
    </x:row>
    <x:row r="194">
      <x:c r="A194" s="80"/>
      <x:c r="B194" s="80"/>
      <x:c r="C194" s="83"/>
      <x:c r="D194" s="80"/>
      <x:c r="E194" s="80"/>
      <x:c r="F194" s="86"/>
      <x:c r="G194" s="80"/>
      <x:c r="H194" s="95"/>
      <x:c r="I194" s="95"/>
      <x:c r="J194" s="96"/>
      <x:c r="K194" s="97"/>
      <x:c r="L194" s="98"/>
      <x:c r="M194" s="98"/>
      <x:c r="N194" s="98"/>
      <x:c r="O194" s="98"/>
      <x:c r="P194" s="98"/>
      <x:c r="Q194" s="80"/>
      <x:c r="R194" s="80"/>
      <x:c r="S194" s="80"/>
      <x:c r="T194" s="80"/>
      <x:c r="U194" s="80"/>
      <x:c r="V194" s="89" t="str">
        <x:f>IF(A194="","",IF(U194="","",IF(U194="Выигрыш",J194-1,IF(U194="Полувыигрыш",(J194-1)/2,IF(U194="Возврат",0,IF(U194="Полупроигрыш",-0.5,IF(U194="Поражение",-1,"Проверить результат")))))))</x:f>
      </x:c>
      <x:c r="W194" s="80" t="str">
        <x:f>IF(A194="","",IF(U194="","Открыт",IF(ISNUMBER(V194),"Рассчитан","Проверить результат")))</x:f>
      </x:c>
      <x:c r="X194" s="98"/>
      <x:c r="Y194" s="5"/>
      <x:c r="Z194" s="5"/>
      <x:c r="AA194" s="5"/>
      <x:c r="AB194" s="118"/>
      <x:c r="AC194" s="119"/>
      <x:c r="AD194" s="119"/>
      <x:c r="AE194" s="5" t="str">
        <x:f>IF(A194="","",IF(Z194="","Нет ID пары",IF(AND(COUNTIFS($Z$59:$Z$505,Z194,$Y$59:$Y$505,"Оптимальный",$W$59:$W$505,"Рассчитан")=1,COUNTIFS($Z$59:$Z$505,Z194,$Y$59:$Y$505,"Агрессивный",$W$59:$W$505,"Рассчитан")=1),"Да","Нет")))</x:f>
      </x:c>
      <x:c r="AF194" s="5"/>
      <x:c r="AG194" s="5"/>
    </x:row>
    <x:row r="195">
      <x:c r="A195" s="80"/>
      <x:c r="B195" s="80"/>
      <x:c r="C195" s="83"/>
      <x:c r="D195" s="80"/>
      <x:c r="E195" s="80"/>
      <x:c r="F195" s="86"/>
      <x:c r="G195" s="80"/>
      <x:c r="H195" s="95"/>
      <x:c r="I195" s="95"/>
      <x:c r="J195" s="96"/>
      <x:c r="K195" s="97"/>
      <x:c r="L195" s="98"/>
      <x:c r="M195" s="98"/>
      <x:c r="N195" s="98"/>
      <x:c r="O195" s="98"/>
      <x:c r="P195" s="98"/>
      <x:c r="Q195" s="80"/>
      <x:c r="R195" s="80"/>
      <x:c r="S195" s="80"/>
      <x:c r="T195" s="80"/>
      <x:c r="U195" s="80"/>
      <x:c r="V195" s="89" t="str">
        <x:f>IF(A195="","",IF(U195="","",IF(U195="Выигрыш",J195-1,IF(U195="Полувыигрыш",(J195-1)/2,IF(U195="Возврат",0,IF(U195="Полупроигрыш",-0.5,IF(U195="Поражение",-1,"Проверить результат")))))))</x:f>
      </x:c>
      <x:c r="W195" s="80" t="str">
        <x:f>IF(A195="","",IF(U195="","Открыт",IF(ISNUMBER(V195),"Рассчитан","Проверить результат")))</x:f>
      </x:c>
      <x:c r="X195" s="98"/>
      <x:c r="Y195" s="5"/>
      <x:c r="Z195" s="5"/>
      <x:c r="AA195" s="5"/>
      <x:c r="AB195" s="118"/>
      <x:c r="AC195" s="119"/>
      <x:c r="AD195" s="119"/>
      <x:c r="AE195" s="5" t="str">
        <x:f>IF(A195="","",IF(Z195="","Нет ID пары",IF(AND(COUNTIFS($Z$59:$Z$505,Z195,$Y$59:$Y$505,"Оптимальный",$W$59:$W$505,"Рассчитан")=1,COUNTIFS($Z$59:$Z$505,Z195,$Y$59:$Y$505,"Агрессивный",$W$59:$W$505,"Рассчитан")=1),"Да","Нет")))</x:f>
      </x:c>
      <x:c r="AF195" s="5"/>
      <x:c r="AG195" s="5"/>
    </x:row>
    <x:row r="196">
      <x:c r="A196" s="80"/>
      <x:c r="B196" s="80"/>
      <x:c r="C196" s="83"/>
      <x:c r="D196" s="80"/>
      <x:c r="E196" s="80"/>
      <x:c r="F196" s="86"/>
      <x:c r="G196" s="80"/>
      <x:c r="H196" s="95"/>
      <x:c r="I196" s="95"/>
      <x:c r="J196" s="96"/>
      <x:c r="K196" s="97"/>
      <x:c r="L196" s="98"/>
      <x:c r="M196" s="98"/>
      <x:c r="N196" s="98"/>
      <x:c r="O196" s="98"/>
      <x:c r="P196" s="98"/>
      <x:c r="Q196" s="80"/>
      <x:c r="R196" s="80"/>
      <x:c r="S196" s="80"/>
      <x:c r="T196" s="80"/>
      <x:c r="U196" s="80"/>
      <x:c r="V196" s="89" t="str">
        <x:f>IF(A196="","",IF(U196="","",IF(U196="Выигрыш",J196-1,IF(U196="Полувыигрыш",(J196-1)/2,IF(U196="Возврат",0,IF(U196="Полупроигрыш",-0.5,IF(U196="Поражение",-1,"Проверить результат")))))))</x:f>
      </x:c>
      <x:c r="W196" s="80" t="str">
        <x:f>IF(A196="","",IF(U196="","Открыт",IF(ISNUMBER(V196),"Рассчитан","Проверить результат")))</x:f>
      </x:c>
      <x:c r="X196" s="98"/>
      <x:c r="Y196" s="5"/>
      <x:c r="Z196" s="5"/>
      <x:c r="AA196" s="5"/>
      <x:c r="AB196" s="118"/>
      <x:c r="AC196" s="119"/>
      <x:c r="AD196" s="119"/>
      <x:c r="AE196" s="5" t="str">
        <x:f>IF(A196="","",IF(Z196="","Нет ID пары",IF(AND(COUNTIFS($Z$59:$Z$505,Z196,$Y$59:$Y$505,"Оптимальный",$W$59:$W$505,"Рассчитан")=1,COUNTIFS($Z$59:$Z$505,Z196,$Y$59:$Y$505,"Агрессивный",$W$59:$W$505,"Рассчитан")=1),"Да","Нет")))</x:f>
      </x:c>
      <x:c r="AF196" s="5"/>
      <x:c r="AG196" s="5"/>
    </x:row>
    <x:row r="197">
      <x:c r="A197" s="80"/>
      <x:c r="B197" s="80"/>
      <x:c r="C197" s="83"/>
      <x:c r="D197" s="80"/>
      <x:c r="E197" s="80"/>
      <x:c r="F197" s="86"/>
      <x:c r="G197" s="80"/>
      <x:c r="H197" s="95"/>
      <x:c r="I197" s="95"/>
      <x:c r="J197" s="96"/>
      <x:c r="K197" s="97"/>
      <x:c r="L197" s="98"/>
      <x:c r="M197" s="98"/>
      <x:c r="N197" s="98"/>
      <x:c r="O197" s="98"/>
      <x:c r="P197" s="98"/>
      <x:c r="Q197" s="80"/>
      <x:c r="R197" s="80"/>
      <x:c r="S197" s="80"/>
      <x:c r="T197" s="80"/>
      <x:c r="U197" s="80"/>
      <x:c r="V197" s="89" t="str">
        <x:f>IF(A197="","",IF(U197="","",IF(U197="Выигрыш",J197-1,IF(U197="Полувыигрыш",(J197-1)/2,IF(U197="Возврат",0,IF(U197="Полупроигрыш",-0.5,IF(U197="Поражение",-1,"Проверить результат")))))))</x:f>
      </x:c>
      <x:c r="W197" s="80" t="str">
        <x:f>IF(A197="","",IF(U197="","Открыт",IF(ISNUMBER(V197),"Рассчитан","Проверить результат")))</x:f>
      </x:c>
      <x:c r="X197" s="98"/>
      <x:c r="Y197" s="5"/>
      <x:c r="Z197" s="5"/>
      <x:c r="AA197" s="5"/>
      <x:c r="AB197" s="118"/>
      <x:c r="AC197" s="119"/>
      <x:c r="AD197" s="119"/>
      <x:c r="AE197" s="5" t="str">
        <x:f>IF(A197="","",IF(Z197="","Нет ID пары",IF(AND(COUNTIFS($Z$59:$Z$505,Z197,$Y$59:$Y$505,"Оптимальный",$W$59:$W$505,"Рассчитан")=1,COUNTIFS($Z$59:$Z$505,Z197,$Y$59:$Y$505,"Агрессивный",$W$59:$W$505,"Рассчитан")=1),"Да","Нет")))</x:f>
      </x:c>
      <x:c r="AF197" s="5"/>
      <x:c r="AG197" s="5"/>
    </x:row>
    <x:row r="198">
      <x:c r="A198" s="80"/>
      <x:c r="B198" s="80"/>
      <x:c r="C198" s="83"/>
      <x:c r="D198" s="80"/>
      <x:c r="E198" s="80"/>
      <x:c r="F198" s="86"/>
      <x:c r="G198" s="80"/>
      <x:c r="H198" s="95"/>
      <x:c r="I198" s="95"/>
      <x:c r="J198" s="96"/>
      <x:c r="K198" s="97"/>
      <x:c r="L198" s="98"/>
      <x:c r="M198" s="98"/>
      <x:c r="N198" s="98"/>
      <x:c r="O198" s="98"/>
      <x:c r="P198" s="98"/>
      <x:c r="Q198" s="80"/>
      <x:c r="R198" s="80"/>
      <x:c r="S198" s="80"/>
      <x:c r="T198" s="80"/>
      <x:c r="U198" s="80"/>
      <x:c r="V198" s="89" t="str">
        <x:f>IF(A198="","",IF(U198="","",IF(U198="Выигрыш",J198-1,IF(U198="Полувыигрыш",(J198-1)/2,IF(U198="Возврат",0,IF(U198="Полупроигрыш",-0.5,IF(U198="Поражение",-1,"Проверить результат")))))))</x:f>
      </x:c>
      <x:c r="W198" s="80" t="str">
        <x:f>IF(A198="","",IF(U198="","Открыт",IF(ISNUMBER(V198),"Рассчитан","Проверить результат")))</x:f>
      </x:c>
      <x:c r="X198" s="98"/>
      <x:c r="Y198" s="5"/>
      <x:c r="Z198" s="5"/>
      <x:c r="AA198" s="5"/>
      <x:c r="AB198" s="118"/>
      <x:c r="AC198" s="119"/>
      <x:c r="AD198" s="119"/>
      <x:c r="AE198" s="5" t="str">
        <x:f>IF(A198="","",IF(Z198="","Нет ID пары",IF(AND(COUNTIFS($Z$59:$Z$505,Z198,$Y$59:$Y$505,"Оптимальный",$W$59:$W$505,"Рассчитан")=1,COUNTIFS($Z$59:$Z$505,Z198,$Y$59:$Y$505,"Агрессивный",$W$59:$W$505,"Рассчитан")=1),"Да","Нет")))</x:f>
      </x:c>
      <x:c r="AF198" s="5"/>
      <x:c r="AG198" s="5"/>
    </x:row>
    <x:row r="199">
      <x:c r="A199" s="80"/>
      <x:c r="B199" s="80"/>
      <x:c r="C199" s="83"/>
      <x:c r="D199" s="80"/>
      <x:c r="E199" s="80"/>
      <x:c r="F199" s="86"/>
      <x:c r="G199" s="80"/>
      <x:c r="H199" s="95"/>
      <x:c r="I199" s="95"/>
      <x:c r="J199" s="96"/>
      <x:c r="K199" s="97"/>
      <x:c r="L199" s="98"/>
      <x:c r="M199" s="98"/>
      <x:c r="N199" s="98"/>
      <x:c r="O199" s="98"/>
      <x:c r="P199" s="98"/>
      <x:c r="Q199" s="80"/>
      <x:c r="R199" s="80"/>
      <x:c r="S199" s="80"/>
      <x:c r="T199" s="80"/>
      <x:c r="U199" s="80"/>
      <x:c r="V199" s="89" t="str">
        <x:f>IF(A199="","",IF(U199="","",IF(U199="Выигрыш",J199-1,IF(U199="Полувыигрыш",(J199-1)/2,IF(U199="Возврат",0,IF(U199="Полупроигрыш",-0.5,IF(U199="Поражение",-1,"Проверить результат")))))))</x:f>
      </x:c>
      <x:c r="W199" s="80" t="str">
        <x:f>IF(A199="","",IF(U199="","Открыт",IF(ISNUMBER(V199),"Рассчитан","Проверить результат")))</x:f>
      </x:c>
      <x:c r="X199" s="98"/>
      <x:c r="Y199" s="5"/>
      <x:c r="Z199" s="5"/>
      <x:c r="AA199" s="5"/>
      <x:c r="AB199" s="118"/>
      <x:c r="AC199" s="119"/>
      <x:c r="AD199" s="119"/>
      <x:c r="AE199" s="5" t="str">
        <x:f>IF(A199="","",IF(Z199="","Нет ID пары",IF(AND(COUNTIFS($Z$59:$Z$505,Z199,$Y$59:$Y$505,"Оптимальный",$W$59:$W$505,"Рассчитан")=1,COUNTIFS($Z$59:$Z$505,Z199,$Y$59:$Y$505,"Агрессивный",$W$59:$W$505,"Рассчитан")=1),"Да","Нет")))</x:f>
      </x:c>
      <x:c r="AF199" s="5"/>
      <x:c r="AG199" s="5"/>
    </x:row>
    <x:row r="200">
      <x:c r="A200" s="80"/>
      <x:c r="B200" s="80"/>
      <x:c r="C200" s="83"/>
      <x:c r="D200" s="80"/>
      <x:c r="E200" s="80"/>
      <x:c r="F200" s="86"/>
      <x:c r="G200" s="80"/>
      <x:c r="H200" s="95"/>
      <x:c r="I200" s="95"/>
      <x:c r="J200" s="96"/>
      <x:c r="K200" s="97"/>
      <x:c r="L200" s="98"/>
      <x:c r="M200" s="98"/>
      <x:c r="N200" s="98"/>
      <x:c r="O200" s="98"/>
      <x:c r="P200" s="98"/>
      <x:c r="Q200" s="80"/>
      <x:c r="R200" s="80"/>
      <x:c r="S200" s="80"/>
      <x:c r="T200" s="80"/>
      <x:c r="U200" s="80"/>
      <x:c r="V200" s="89" t="str">
        <x:f>IF(A200="","",IF(U200="","",IF(U200="Выигрыш",J200-1,IF(U200="Полувыигрыш",(J200-1)/2,IF(U200="Возврат",0,IF(U200="Полупроигрыш",-0.5,IF(U200="Поражение",-1,"Проверить результат")))))))</x:f>
      </x:c>
      <x:c r="W200" s="80" t="str">
        <x:f>IF(A200="","",IF(U200="","Открыт",IF(ISNUMBER(V200),"Рассчитан","Проверить результат")))</x:f>
      </x:c>
      <x:c r="X200" s="98"/>
      <x:c r="Y200" s="5"/>
      <x:c r="Z200" s="5"/>
      <x:c r="AA200" s="5"/>
      <x:c r="AB200" s="118"/>
      <x:c r="AC200" s="119"/>
      <x:c r="AD200" s="119"/>
      <x:c r="AE200" s="5" t="str">
        <x:f>IF(A200="","",IF(Z200="","Нет ID пары",IF(AND(COUNTIFS($Z$59:$Z$505,Z200,$Y$59:$Y$505,"Оптимальный",$W$59:$W$505,"Рассчитан")=1,COUNTIFS($Z$59:$Z$505,Z200,$Y$59:$Y$505,"Агрессивный",$W$59:$W$505,"Рассчитан")=1),"Да","Нет")))</x:f>
      </x:c>
      <x:c r="AF200" s="5"/>
      <x:c r="AG200" s="5"/>
    </x:row>
    <x:row r="201">
      <x:c r="A201" s="80"/>
      <x:c r="B201" s="80"/>
      <x:c r="C201" s="83"/>
      <x:c r="D201" s="80"/>
      <x:c r="E201" s="80"/>
      <x:c r="F201" s="86"/>
      <x:c r="G201" s="80"/>
      <x:c r="H201" s="95"/>
      <x:c r="I201" s="95"/>
      <x:c r="J201" s="96"/>
      <x:c r="K201" s="97"/>
      <x:c r="L201" s="98"/>
      <x:c r="M201" s="98"/>
      <x:c r="N201" s="98"/>
      <x:c r="O201" s="98"/>
      <x:c r="P201" s="98"/>
      <x:c r="Q201" s="80"/>
      <x:c r="R201" s="80"/>
      <x:c r="S201" s="80"/>
      <x:c r="T201" s="80"/>
      <x:c r="U201" s="80"/>
      <x:c r="V201" s="89" t="str">
        <x:f>IF(A201="","",IF(U201="","",IF(U201="Выигрыш",J201-1,IF(U201="Полувыигрыш",(J201-1)/2,IF(U201="Возврат",0,IF(U201="Полупроигрыш",-0.5,IF(U201="Поражение",-1,"Проверить результат")))))))</x:f>
      </x:c>
      <x:c r="W201" s="80" t="str">
        <x:f>IF(A201="","",IF(U201="","Открыт",IF(ISNUMBER(V201),"Рассчитан","Проверить результат")))</x:f>
      </x:c>
      <x:c r="X201" s="98"/>
      <x:c r="Y201" s="5"/>
      <x:c r="Z201" s="5"/>
      <x:c r="AA201" s="5"/>
      <x:c r="AB201" s="118"/>
      <x:c r="AC201" s="119"/>
      <x:c r="AD201" s="119"/>
      <x:c r="AE201" s="5" t="str">
        <x:f>IF(A201="","",IF(Z201="","Нет ID пары",IF(AND(COUNTIFS($Z$59:$Z$505,Z201,$Y$59:$Y$505,"Оптимальный",$W$59:$W$505,"Рассчитан")=1,COUNTIFS($Z$59:$Z$505,Z201,$Y$59:$Y$505,"Агрессивный",$W$59:$W$505,"Рассчитан")=1),"Да","Нет")))</x:f>
      </x:c>
      <x:c r="AF201" s="5"/>
      <x:c r="AG201" s="5"/>
    </x:row>
    <x:row r="202">
      <x:c r="A202" s="80"/>
      <x:c r="B202" s="80"/>
      <x:c r="C202" s="83"/>
      <x:c r="D202" s="80"/>
      <x:c r="E202" s="80"/>
      <x:c r="F202" s="86"/>
      <x:c r="G202" s="80"/>
      <x:c r="H202" s="95"/>
      <x:c r="I202" s="95"/>
      <x:c r="J202" s="96"/>
      <x:c r="K202" s="97"/>
      <x:c r="L202" s="98"/>
      <x:c r="M202" s="98"/>
      <x:c r="N202" s="98"/>
      <x:c r="O202" s="98"/>
      <x:c r="P202" s="98"/>
      <x:c r="Q202" s="80"/>
      <x:c r="R202" s="80"/>
      <x:c r="S202" s="80"/>
      <x:c r="T202" s="80"/>
      <x:c r="U202" s="80"/>
      <x:c r="V202" s="89" t="str">
        <x:f>IF(A202="","",IF(U202="","",IF(U202="Выигрыш",J202-1,IF(U202="Полувыигрыш",(J202-1)/2,IF(U202="Возврат",0,IF(U202="Полупроигрыш",-0.5,IF(U202="Поражение",-1,"Проверить результат")))))))</x:f>
      </x:c>
      <x:c r="W202" s="80" t="str">
        <x:f>IF(A202="","",IF(U202="","Открыт",IF(ISNUMBER(V202),"Рассчитан","Проверить результат")))</x:f>
      </x:c>
      <x:c r="X202" s="98"/>
      <x:c r="Y202" s="5"/>
      <x:c r="Z202" s="5"/>
      <x:c r="AA202" s="5"/>
      <x:c r="AB202" s="118"/>
      <x:c r="AC202" s="119"/>
      <x:c r="AD202" s="119"/>
      <x:c r="AE202" s="5" t="str">
        <x:f>IF(A202="","",IF(Z202="","Нет ID пары",IF(AND(COUNTIFS($Z$59:$Z$505,Z202,$Y$59:$Y$505,"Оптимальный",$W$59:$W$505,"Рассчитан")=1,COUNTIFS($Z$59:$Z$505,Z202,$Y$59:$Y$505,"Агрессивный",$W$59:$W$505,"Рассчитан")=1),"Да","Нет")))</x:f>
      </x:c>
      <x:c r="AF202" s="5"/>
      <x:c r="AG202" s="5"/>
    </x:row>
    <x:row r="203">
      <x:c r="A203" s="80"/>
      <x:c r="B203" s="80"/>
      <x:c r="C203" s="83"/>
      <x:c r="D203" s="80"/>
      <x:c r="E203" s="80"/>
      <x:c r="F203" s="86"/>
      <x:c r="G203" s="80"/>
      <x:c r="H203" s="95"/>
      <x:c r="I203" s="95"/>
      <x:c r="J203" s="96"/>
      <x:c r="K203" s="97"/>
      <x:c r="L203" s="98"/>
      <x:c r="M203" s="98"/>
      <x:c r="N203" s="98"/>
      <x:c r="O203" s="98"/>
      <x:c r="P203" s="98"/>
      <x:c r="Q203" s="80"/>
      <x:c r="R203" s="80"/>
      <x:c r="S203" s="80"/>
      <x:c r="T203" s="80"/>
      <x:c r="U203" s="80"/>
      <x:c r="V203" s="89" t="str">
        <x:f>IF(A203="","",IF(U203="","",IF(U203="Выигрыш",J203-1,IF(U203="Полувыигрыш",(J203-1)/2,IF(U203="Возврат",0,IF(U203="Полупроигрыш",-0.5,IF(U203="Поражение",-1,"Проверить результат")))))))</x:f>
      </x:c>
      <x:c r="W203" s="80" t="str">
        <x:f>IF(A203="","",IF(U203="","Открыт",IF(ISNUMBER(V203),"Рассчитан","Проверить результат")))</x:f>
      </x:c>
      <x:c r="X203" s="98"/>
      <x:c r="Y203" s="5"/>
      <x:c r="Z203" s="5"/>
      <x:c r="AA203" s="5"/>
      <x:c r="AB203" s="118"/>
      <x:c r="AC203" s="119"/>
      <x:c r="AD203" s="119"/>
      <x:c r="AE203" s="5" t="str">
        <x:f>IF(A203="","",IF(Z203="","Нет ID пары",IF(AND(COUNTIFS($Z$59:$Z$505,Z203,$Y$59:$Y$505,"Оптимальный",$W$59:$W$505,"Рассчитан")=1,COUNTIFS($Z$59:$Z$505,Z203,$Y$59:$Y$505,"Агрессивный",$W$59:$W$505,"Рассчитан")=1),"Да","Нет")))</x:f>
      </x:c>
      <x:c r="AF203" s="5"/>
      <x:c r="AG203" s="5"/>
    </x:row>
    <x:row r="204">
      <x:c r="A204" s="80"/>
      <x:c r="B204" s="80"/>
      <x:c r="C204" s="83"/>
      <x:c r="D204" s="80"/>
      <x:c r="E204" s="80"/>
      <x:c r="F204" s="86"/>
      <x:c r="G204" s="80"/>
      <x:c r="H204" s="95"/>
      <x:c r="I204" s="95"/>
      <x:c r="J204" s="96"/>
      <x:c r="K204" s="97"/>
      <x:c r="L204" s="98"/>
      <x:c r="M204" s="98"/>
      <x:c r="N204" s="98"/>
      <x:c r="O204" s="98"/>
      <x:c r="P204" s="98"/>
      <x:c r="Q204" s="80"/>
      <x:c r="R204" s="80"/>
      <x:c r="S204" s="80"/>
      <x:c r="T204" s="80"/>
      <x:c r="U204" s="80"/>
      <x:c r="V204" s="89" t="str">
        <x:f>IF(A204="","",IF(U204="","",IF(U204="Выигрыш",J204-1,IF(U204="Полувыигрыш",(J204-1)/2,IF(U204="Возврат",0,IF(U204="Полупроигрыш",-0.5,IF(U204="Поражение",-1,"Проверить результат")))))))</x:f>
      </x:c>
      <x:c r="W204" s="80" t="str">
        <x:f>IF(A204="","",IF(U204="","Открыт",IF(ISNUMBER(V204),"Рассчитан","Проверить результат")))</x:f>
      </x:c>
      <x:c r="X204" s="98"/>
      <x:c r="Y204" s="5"/>
      <x:c r="Z204" s="5"/>
      <x:c r="AA204" s="5"/>
      <x:c r="AB204" s="118"/>
      <x:c r="AC204" s="119"/>
      <x:c r="AD204" s="119"/>
      <x:c r="AE204" s="5" t="str">
        <x:f>IF(A204="","",IF(Z204="","Нет ID пары",IF(AND(COUNTIFS($Z$59:$Z$505,Z204,$Y$59:$Y$505,"Оптимальный",$W$59:$W$505,"Рассчитан")=1,COUNTIFS($Z$59:$Z$505,Z204,$Y$59:$Y$505,"Агрессивный",$W$59:$W$505,"Рассчитан")=1),"Да","Нет")))</x:f>
      </x:c>
      <x:c r="AF204" s="5"/>
      <x:c r="AG204" s="5"/>
    </x:row>
    <x:row r="205">
      <x:c r="A205" s="80"/>
      <x:c r="B205" s="80"/>
      <x:c r="C205" s="83"/>
      <x:c r="D205" s="80"/>
      <x:c r="E205" s="80"/>
      <x:c r="F205" s="86"/>
      <x:c r="G205" s="80"/>
      <x:c r="H205" s="95"/>
      <x:c r="I205" s="95"/>
      <x:c r="J205" s="96"/>
      <x:c r="K205" s="97"/>
      <x:c r="L205" s="98"/>
      <x:c r="M205" s="98"/>
      <x:c r="N205" s="98"/>
      <x:c r="O205" s="98"/>
      <x:c r="P205" s="98"/>
      <x:c r="Q205" s="80"/>
      <x:c r="R205" s="80"/>
      <x:c r="S205" s="80"/>
      <x:c r="T205" s="80"/>
      <x:c r="U205" s="80"/>
      <x:c r="V205" s="89" t="str">
        <x:f>IF(A205="","",IF(U205="","",IF(U205="Выигрыш",J205-1,IF(U205="Полувыигрыш",(J205-1)/2,IF(U205="Возврат",0,IF(U205="Полупроигрыш",-0.5,IF(U205="Поражение",-1,"Проверить результат")))))))</x:f>
      </x:c>
      <x:c r="W205" s="80" t="str">
        <x:f>IF(A205="","",IF(U205="","Открыт",IF(ISNUMBER(V205),"Рассчитан","Проверить результат")))</x:f>
      </x:c>
      <x:c r="X205" s="98"/>
      <x:c r="Y205" s="5"/>
      <x:c r="Z205" s="5"/>
      <x:c r="AA205" s="5"/>
      <x:c r="AB205" s="118"/>
      <x:c r="AC205" s="119"/>
      <x:c r="AD205" s="119"/>
      <x:c r="AE205" s="5" t="str">
        <x:f>IF(A205="","",IF(Z205="","Нет ID пары",IF(AND(COUNTIFS($Z$59:$Z$505,Z205,$Y$59:$Y$505,"Оптимальный",$W$59:$W$505,"Рассчитан")=1,COUNTIFS($Z$59:$Z$505,Z205,$Y$59:$Y$505,"Агрессивный",$W$59:$W$505,"Рассчитан")=1),"Да","Нет")))</x:f>
      </x:c>
      <x:c r="AF205" s="5"/>
      <x:c r="AG205" s="5"/>
    </x:row>
    <x:row r="206">
      <x:c r="A206" s="80"/>
      <x:c r="B206" s="80"/>
      <x:c r="C206" s="83"/>
      <x:c r="D206" s="80"/>
      <x:c r="E206" s="80"/>
      <x:c r="F206" s="86"/>
      <x:c r="G206" s="80"/>
      <x:c r="H206" s="95"/>
      <x:c r="I206" s="95"/>
      <x:c r="J206" s="96"/>
      <x:c r="K206" s="97"/>
      <x:c r="L206" s="98"/>
      <x:c r="M206" s="98"/>
      <x:c r="N206" s="98"/>
      <x:c r="O206" s="98"/>
      <x:c r="P206" s="98"/>
      <x:c r="Q206" s="80"/>
      <x:c r="R206" s="80"/>
      <x:c r="S206" s="80"/>
      <x:c r="T206" s="80"/>
      <x:c r="U206" s="80"/>
      <x:c r="V206" s="89" t="str">
        <x:f>IF(A206="","",IF(U206="","",IF(U206="Выигрыш",J206-1,IF(U206="Полувыигрыш",(J206-1)/2,IF(U206="Возврат",0,IF(U206="Полупроигрыш",-0.5,IF(U206="Поражение",-1,"Проверить результат")))))))</x:f>
      </x:c>
      <x:c r="W206" s="80" t="str">
        <x:f>IF(A206="","",IF(U206="","Открыт",IF(ISNUMBER(V206),"Рассчитан","Проверить результат")))</x:f>
      </x:c>
      <x:c r="X206" s="98"/>
      <x:c r="Y206" s="5"/>
      <x:c r="Z206" s="5"/>
      <x:c r="AA206" s="5"/>
      <x:c r="AB206" s="118"/>
      <x:c r="AC206" s="119"/>
      <x:c r="AD206" s="119"/>
      <x:c r="AE206" s="5" t="str">
        <x:f>IF(A206="","",IF(Z206="","Нет ID пары",IF(AND(COUNTIFS($Z$59:$Z$505,Z206,$Y$59:$Y$505,"Оптимальный",$W$59:$W$505,"Рассчитан")=1,COUNTIFS($Z$59:$Z$505,Z206,$Y$59:$Y$505,"Агрессивный",$W$59:$W$505,"Рассчитан")=1),"Да","Нет")))</x:f>
      </x:c>
      <x:c r="AF206" s="5"/>
      <x:c r="AG206" s="5"/>
    </x:row>
    <x:row r="207">
      <x:c r="A207" s="80"/>
      <x:c r="B207" s="80"/>
      <x:c r="C207" s="83"/>
      <x:c r="D207" s="80"/>
      <x:c r="E207" s="80"/>
      <x:c r="F207" s="86"/>
      <x:c r="G207" s="80"/>
      <x:c r="H207" s="95"/>
      <x:c r="I207" s="95"/>
      <x:c r="J207" s="96"/>
      <x:c r="K207" s="97"/>
      <x:c r="L207" s="98"/>
      <x:c r="M207" s="98"/>
      <x:c r="N207" s="98"/>
      <x:c r="O207" s="98"/>
      <x:c r="P207" s="98"/>
      <x:c r="Q207" s="80"/>
      <x:c r="R207" s="80"/>
      <x:c r="S207" s="80"/>
      <x:c r="T207" s="80"/>
      <x:c r="U207" s="80"/>
      <x:c r="V207" s="89" t="str">
        <x:f>IF(A207="","",IF(U207="","",IF(U207="Выигрыш",J207-1,IF(U207="Полувыигрыш",(J207-1)/2,IF(U207="Возврат",0,IF(U207="Полупроигрыш",-0.5,IF(U207="Поражение",-1,"Проверить результат")))))))</x:f>
      </x:c>
      <x:c r="W207" s="80" t="str">
        <x:f>IF(A207="","",IF(U207="","Открыт",IF(ISNUMBER(V207),"Рассчитан","Проверить результат")))</x:f>
      </x:c>
      <x:c r="X207" s="98"/>
      <x:c r="Y207" s="5"/>
      <x:c r="Z207" s="5"/>
      <x:c r="AA207" s="5"/>
      <x:c r="AB207" s="118"/>
      <x:c r="AC207" s="119"/>
      <x:c r="AD207" s="119"/>
      <x:c r="AE207" s="5" t="str">
        <x:f>IF(A207="","",IF(Z207="","Нет ID пары",IF(AND(COUNTIFS($Z$59:$Z$505,Z207,$Y$59:$Y$505,"Оптимальный",$W$59:$W$505,"Рассчитан")=1,COUNTIFS($Z$59:$Z$505,Z207,$Y$59:$Y$505,"Агрессивный",$W$59:$W$505,"Рассчитан")=1),"Да","Нет")))</x:f>
      </x:c>
      <x:c r="AF207" s="5"/>
      <x:c r="AG207" s="5"/>
    </x:row>
    <x:row r="208">
      <x:c r="A208" s="80"/>
      <x:c r="B208" s="80"/>
      <x:c r="C208" s="83"/>
      <x:c r="D208" s="80"/>
      <x:c r="E208" s="80"/>
      <x:c r="F208" s="86"/>
      <x:c r="G208" s="80"/>
      <x:c r="H208" s="95"/>
      <x:c r="I208" s="95"/>
      <x:c r="J208" s="96"/>
      <x:c r="K208" s="97"/>
      <x:c r="L208" s="98"/>
      <x:c r="M208" s="98"/>
      <x:c r="N208" s="98"/>
      <x:c r="O208" s="98"/>
      <x:c r="P208" s="98"/>
      <x:c r="Q208" s="80"/>
      <x:c r="R208" s="80"/>
      <x:c r="S208" s="80"/>
      <x:c r="T208" s="80"/>
      <x:c r="U208" s="80"/>
      <x:c r="V208" s="89" t="str">
        <x:f>IF(A208="","",IF(U208="","",IF(U208="Выигрыш",J208-1,IF(U208="Полувыигрыш",(J208-1)/2,IF(U208="Возврат",0,IF(U208="Полупроигрыш",-0.5,IF(U208="Поражение",-1,"Проверить результат")))))))</x:f>
      </x:c>
      <x:c r="W208" s="80" t="str">
        <x:f>IF(A208="","",IF(U208="","Открыт",IF(ISNUMBER(V208),"Рассчитан","Проверить результат")))</x:f>
      </x:c>
      <x:c r="X208" s="98"/>
      <x:c r="Y208" s="5"/>
      <x:c r="Z208" s="5"/>
      <x:c r="AA208" s="5"/>
      <x:c r="AB208" s="118"/>
      <x:c r="AC208" s="119"/>
      <x:c r="AD208" s="119"/>
      <x:c r="AE208" s="5" t="str">
        <x:f>IF(A208="","",IF(Z208="","Нет ID пары",IF(AND(COUNTIFS($Z$59:$Z$505,Z208,$Y$59:$Y$505,"Оптимальный",$W$59:$W$505,"Рассчитан")=1,COUNTIFS($Z$59:$Z$505,Z208,$Y$59:$Y$505,"Агрессивный",$W$59:$W$505,"Рассчитан")=1),"Да","Нет")))</x:f>
      </x:c>
      <x:c r="AF208" s="5"/>
      <x:c r="AG208" s="5"/>
    </x:row>
    <x:row r="209">
      <x:c r="A209" s="80"/>
      <x:c r="B209" s="80"/>
      <x:c r="C209" s="83"/>
      <x:c r="D209" s="80"/>
      <x:c r="E209" s="80"/>
      <x:c r="F209" s="86"/>
      <x:c r="G209" s="80"/>
      <x:c r="H209" s="95"/>
      <x:c r="I209" s="95"/>
      <x:c r="J209" s="96"/>
      <x:c r="K209" s="97"/>
      <x:c r="L209" s="98"/>
      <x:c r="M209" s="98"/>
      <x:c r="N209" s="98"/>
      <x:c r="O209" s="98"/>
      <x:c r="P209" s="98"/>
      <x:c r="Q209" s="80"/>
      <x:c r="R209" s="80"/>
      <x:c r="S209" s="80"/>
      <x:c r="T209" s="80"/>
      <x:c r="U209" s="80"/>
      <x:c r="V209" s="89" t="str">
        <x:f>IF(A209="","",IF(U209="","",IF(U209="Выигрыш",J209-1,IF(U209="Полувыигрыш",(J209-1)/2,IF(U209="Возврат",0,IF(U209="Полупроигрыш",-0.5,IF(U209="Поражение",-1,"Проверить результат")))))))</x:f>
      </x:c>
      <x:c r="W209" s="80" t="str">
        <x:f>IF(A209="","",IF(U209="","Открыт",IF(ISNUMBER(V209),"Рассчитан","Проверить результат")))</x:f>
      </x:c>
      <x:c r="X209" s="98"/>
      <x:c r="Y209" s="5"/>
      <x:c r="Z209" s="5"/>
      <x:c r="AA209" s="5"/>
      <x:c r="AB209" s="118"/>
      <x:c r="AC209" s="119"/>
      <x:c r="AD209" s="119"/>
      <x:c r="AE209" s="5" t="str">
        <x:f>IF(A209="","",IF(Z209="","Нет ID пары",IF(AND(COUNTIFS($Z$59:$Z$505,Z209,$Y$59:$Y$505,"Оптимальный",$W$59:$W$505,"Рассчитан")=1,COUNTIFS($Z$59:$Z$505,Z209,$Y$59:$Y$505,"Агрессивный",$W$59:$W$505,"Рассчитан")=1),"Да","Нет")))</x:f>
      </x:c>
      <x:c r="AF209" s="5"/>
      <x:c r="AG209" s="5"/>
    </x:row>
    <x:row r="210">
      <x:c r="A210" s="80"/>
      <x:c r="B210" s="80"/>
      <x:c r="C210" s="83"/>
      <x:c r="D210" s="80"/>
      <x:c r="E210" s="80"/>
      <x:c r="F210" s="86"/>
      <x:c r="G210" s="80"/>
      <x:c r="H210" s="95"/>
      <x:c r="I210" s="95"/>
      <x:c r="J210" s="96"/>
      <x:c r="K210" s="97"/>
      <x:c r="L210" s="98"/>
      <x:c r="M210" s="98"/>
      <x:c r="N210" s="98"/>
      <x:c r="O210" s="98"/>
      <x:c r="P210" s="98"/>
      <x:c r="Q210" s="80"/>
      <x:c r="R210" s="80"/>
      <x:c r="S210" s="80"/>
      <x:c r="T210" s="80"/>
      <x:c r="U210" s="80"/>
      <x:c r="V210" s="89" t="str">
        <x:f>IF(A210="","",IF(U210="","",IF(U210="Выигрыш",J210-1,IF(U210="Полувыигрыш",(J210-1)/2,IF(U210="Возврат",0,IF(U210="Полупроигрыш",-0.5,IF(U210="Поражение",-1,"Проверить результат")))))))</x:f>
      </x:c>
      <x:c r="W210" s="80" t="str">
        <x:f>IF(A210="","",IF(U210="","Открыт",IF(ISNUMBER(V210),"Рассчитан","Проверить результат")))</x:f>
      </x:c>
      <x:c r="X210" s="98"/>
      <x:c r="Y210" s="5"/>
      <x:c r="Z210" s="5"/>
      <x:c r="AA210" s="5"/>
      <x:c r="AB210" s="118"/>
      <x:c r="AC210" s="119"/>
      <x:c r="AD210" s="119"/>
      <x:c r="AE210" s="5" t="str">
        <x:f>IF(A210="","",IF(Z210="","Нет ID пары",IF(AND(COUNTIFS($Z$59:$Z$505,Z210,$Y$59:$Y$505,"Оптимальный",$W$59:$W$505,"Рассчитан")=1,COUNTIFS($Z$59:$Z$505,Z210,$Y$59:$Y$505,"Агрессивный",$W$59:$W$505,"Рассчитан")=1),"Да","Нет")))</x:f>
      </x:c>
      <x:c r="AF210" s="5"/>
      <x:c r="AG210" s="5"/>
    </x:row>
    <x:row r="211">
      <x:c r="A211" s="80"/>
      <x:c r="B211" s="80"/>
      <x:c r="C211" s="83"/>
      <x:c r="D211" s="80"/>
      <x:c r="E211" s="80"/>
      <x:c r="F211" s="86"/>
      <x:c r="G211" s="80"/>
      <x:c r="H211" s="95"/>
      <x:c r="I211" s="95"/>
      <x:c r="J211" s="96"/>
      <x:c r="K211" s="97"/>
      <x:c r="L211" s="98"/>
      <x:c r="M211" s="98"/>
      <x:c r="N211" s="98"/>
      <x:c r="O211" s="98"/>
      <x:c r="P211" s="98"/>
      <x:c r="Q211" s="80"/>
      <x:c r="R211" s="80"/>
      <x:c r="S211" s="80"/>
      <x:c r="T211" s="80"/>
      <x:c r="U211" s="80"/>
      <x:c r="V211" s="89" t="str">
        <x:f>IF(A211="","",IF(U211="","",IF(U211="Выигрыш",J211-1,IF(U211="Полувыигрыш",(J211-1)/2,IF(U211="Возврат",0,IF(U211="Полупроигрыш",-0.5,IF(U211="Поражение",-1,"Проверить результат")))))))</x:f>
      </x:c>
      <x:c r="W211" s="80" t="str">
        <x:f>IF(A211="","",IF(U211="","Открыт",IF(ISNUMBER(V211),"Рассчитан","Проверить результат")))</x:f>
      </x:c>
      <x:c r="X211" s="98"/>
      <x:c r="Y211" s="5"/>
      <x:c r="Z211" s="5"/>
      <x:c r="AA211" s="5"/>
      <x:c r="AB211" s="118"/>
      <x:c r="AC211" s="119"/>
      <x:c r="AD211" s="119"/>
      <x:c r="AE211" s="5" t="str">
        <x:f>IF(A211="","",IF(Z211="","Нет ID пары",IF(AND(COUNTIFS($Z$59:$Z$505,Z211,$Y$59:$Y$505,"Оптимальный",$W$59:$W$505,"Рассчитан")=1,COUNTIFS($Z$59:$Z$505,Z211,$Y$59:$Y$505,"Агрессивный",$W$59:$W$505,"Рассчитан")=1),"Да","Нет")))</x:f>
      </x:c>
      <x:c r="AF211" s="5"/>
      <x:c r="AG211" s="5"/>
    </x:row>
    <x:row r="212">
      <x:c r="A212" s="80"/>
      <x:c r="B212" s="80"/>
      <x:c r="C212" s="83"/>
      <x:c r="D212" s="80"/>
      <x:c r="E212" s="80"/>
      <x:c r="F212" s="86"/>
      <x:c r="G212" s="80"/>
      <x:c r="H212" s="95"/>
      <x:c r="I212" s="95"/>
      <x:c r="J212" s="96"/>
      <x:c r="K212" s="97"/>
      <x:c r="L212" s="98"/>
      <x:c r="M212" s="98"/>
      <x:c r="N212" s="98"/>
      <x:c r="O212" s="98"/>
      <x:c r="P212" s="98"/>
      <x:c r="Q212" s="80"/>
      <x:c r="R212" s="80"/>
      <x:c r="S212" s="80"/>
      <x:c r="T212" s="80"/>
      <x:c r="U212" s="80"/>
      <x:c r="V212" s="89" t="str">
        <x:f>IF(A212="","",IF(U212="","",IF(U212="Выигрыш",J212-1,IF(U212="Полувыигрыш",(J212-1)/2,IF(U212="Возврат",0,IF(U212="Полупроигрыш",-0.5,IF(U212="Поражение",-1,"Проверить результат")))))))</x:f>
      </x:c>
      <x:c r="W212" s="80" t="str">
        <x:f>IF(A212="","",IF(U212="","Открыт",IF(ISNUMBER(V212),"Рассчитан","Проверить результат")))</x:f>
      </x:c>
      <x:c r="X212" s="98"/>
      <x:c r="Y212" s="5"/>
      <x:c r="Z212" s="5"/>
      <x:c r="AA212" s="5"/>
      <x:c r="AB212" s="118"/>
      <x:c r="AC212" s="119"/>
      <x:c r="AD212" s="119"/>
      <x:c r="AE212" s="5" t="str">
        <x:f>IF(A212="","",IF(Z212="","Нет ID пары",IF(AND(COUNTIFS($Z$59:$Z$505,Z212,$Y$59:$Y$505,"Оптимальный",$W$59:$W$505,"Рассчитан")=1,COUNTIFS($Z$59:$Z$505,Z212,$Y$59:$Y$505,"Агрессивный",$W$59:$W$505,"Рассчитан")=1),"Да","Нет")))</x:f>
      </x:c>
      <x:c r="AF212" s="5"/>
      <x:c r="AG212" s="5"/>
    </x:row>
    <x:row r="213">
      <x:c r="A213" s="80"/>
      <x:c r="B213" s="80"/>
      <x:c r="C213" s="83"/>
      <x:c r="D213" s="80"/>
      <x:c r="E213" s="80"/>
      <x:c r="F213" s="86"/>
      <x:c r="G213" s="80"/>
      <x:c r="H213" s="95"/>
      <x:c r="I213" s="95"/>
      <x:c r="J213" s="96"/>
      <x:c r="K213" s="97"/>
      <x:c r="L213" s="98"/>
      <x:c r="M213" s="98"/>
      <x:c r="N213" s="98"/>
      <x:c r="O213" s="98"/>
      <x:c r="P213" s="98"/>
      <x:c r="Q213" s="80"/>
      <x:c r="R213" s="80"/>
      <x:c r="S213" s="80"/>
      <x:c r="T213" s="80"/>
      <x:c r="U213" s="80"/>
      <x:c r="V213" s="89" t="str">
        <x:f>IF(A213="","",IF(U213="","",IF(U213="Выигрыш",J213-1,IF(U213="Полувыигрыш",(J213-1)/2,IF(U213="Возврат",0,IF(U213="Полупроигрыш",-0.5,IF(U213="Поражение",-1,"Проверить результат")))))))</x:f>
      </x:c>
      <x:c r="W213" s="80" t="str">
        <x:f>IF(A213="","",IF(U213="","Открыт",IF(ISNUMBER(V213),"Рассчитан","Проверить результат")))</x:f>
      </x:c>
      <x:c r="X213" s="98"/>
      <x:c r="Y213" s="5"/>
      <x:c r="Z213" s="5"/>
      <x:c r="AA213" s="5"/>
      <x:c r="AB213" s="118"/>
      <x:c r="AC213" s="119"/>
      <x:c r="AD213" s="119"/>
      <x:c r="AE213" s="5" t="str">
        <x:f>IF(A213="","",IF(Z213="","Нет ID пары",IF(AND(COUNTIFS($Z$59:$Z$505,Z213,$Y$59:$Y$505,"Оптимальный",$W$59:$W$505,"Рассчитан")=1,COUNTIFS($Z$59:$Z$505,Z213,$Y$59:$Y$505,"Агрессивный",$W$59:$W$505,"Рассчитан")=1),"Да","Нет")))</x:f>
      </x:c>
      <x:c r="AF213" s="5"/>
      <x:c r="AG213" s="5"/>
    </x:row>
    <x:row r="214">
      <x:c r="A214" s="80"/>
      <x:c r="B214" s="80"/>
      <x:c r="C214" s="83"/>
      <x:c r="D214" s="80"/>
      <x:c r="E214" s="80"/>
      <x:c r="F214" s="86"/>
      <x:c r="G214" s="80"/>
      <x:c r="H214" s="95"/>
      <x:c r="I214" s="95"/>
      <x:c r="J214" s="96"/>
      <x:c r="K214" s="97"/>
      <x:c r="L214" s="98"/>
      <x:c r="M214" s="98"/>
      <x:c r="N214" s="98"/>
      <x:c r="O214" s="98"/>
      <x:c r="P214" s="98"/>
      <x:c r="Q214" s="80"/>
      <x:c r="R214" s="80"/>
      <x:c r="S214" s="80"/>
      <x:c r="T214" s="80"/>
      <x:c r="U214" s="80"/>
      <x:c r="V214" s="89" t="str">
        <x:f>IF(A214="","",IF(U214="","",IF(U214="Выигрыш",J214-1,IF(U214="Полувыигрыш",(J214-1)/2,IF(U214="Возврат",0,IF(U214="Полупроигрыш",-0.5,IF(U214="Поражение",-1,"Проверить результат")))))))</x:f>
      </x:c>
      <x:c r="W214" s="80" t="str">
        <x:f>IF(A214="","",IF(U214="","Открыт",IF(ISNUMBER(V214),"Рассчитан","Проверить результат")))</x:f>
      </x:c>
      <x:c r="X214" s="98"/>
      <x:c r="Y214" s="5"/>
      <x:c r="Z214" s="5"/>
      <x:c r="AA214" s="5"/>
      <x:c r="AB214" s="118"/>
      <x:c r="AC214" s="119"/>
      <x:c r="AD214" s="119"/>
      <x:c r="AE214" s="5" t="str">
        <x:f>IF(A214="","",IF(Z214="","Нет ID пары",IF(AND(COUNTIFS($Z$59:$Z$505,Z214,$Y$59:$Y$505,"Оптимальный",$W$59:$W$505,"Рассчитан")=1,COUNTIFS($Z$59:$Z$505,Z214,$Y$59:$Y$505,"Агрессивный",$W$59:$W$505,"Рассчитан")=1),"Да","Нет")))</x:f>
      </x:c>
      <x:c r="AF214" s="5"/>
      <x:c r="AG214" s="5"/>
    </x:row>
    <x:row r="215">
      <x:c r="A215" s="80"/>
      <x:c r="B215" s="80"/>
      <x:c r="C215" s="83"/>
      <x:c r="D215" s="80"/>
      <x:c r="E215" s="80"/>
      <x:c r="F215" s="86"/>
      <x:c r="G215" s="80"/>
      <x:c r="H215" s="95"/>
      <x:c r="I215" s="95"/>
      <x:c r="J215" s="96"/>
      <x:c r="K215" s="97"/>
      <x:c r="L215" s="98"/>
      <x:c r="M215" s="98"/>
      <x:c r="N215" s="98"/>
      <x:c r="O215" s="98"/>
      <x:c r="P215" s="98"/>
      <x:c r="Q215" s="80"/>
      <x:c r="R215" s="80"/>
      <x:c r="S215" s="80"/>
      <x:c r="T215" s="80"/>
      <x:c r="U215" s="80"/>
      <x:c r="V215" s="89" t="str">
        <x:f>IF(A215="","",IF(U215="","",IF(U215="Выигрыш",J215-1,IF(U215="Полувыигрыш",(J215-1)/2,IF(U215="Возврат",0,IF(U215="Полупроигрыш",-0.5,IF(U215="Поражение",-1,"Проверить результат")))))))</x:f>
      </x:c>
      <x:c r="W215" s="80" t="str">
        <x:f>IF(A215="","",IF(U215="","Открыт",IF(ISNUMBER(V215),"Рассчитан","Проверить результат")))</x:f>
      </x:c>
      <x:c r="X215" s="98"/>
      <x:c r="Y215" s="5"/>
      <x:c r="Z215" s="5"/>
      <x:c r="AA215" s="5"/>
      <x:c r="AB215" s="118"/>
      <x:c r="AC215" s="119"/>
      <x:c r="AD215" s="119"/>
      <x:c r="AE215" s="5" t="str">
        <x:f>IF(A215="","",IF(Z215="","Нет ID пары",IF(AND(COUNTIFS($Z$59:$Z$505,Z215,$Y$59:$Y$505,"Оптимальный",$W$59:$W$505,"Рассчитан")=1,COUNTIFS($Z$59:$Z$505,Z215,$Y$59:$Y$505,"Агрессивный",$W$59:$W$505,"Рассчитан")=1),"Да","Нет")))</x:f>
      </x:c>
      <x:c r="AF215" s="5"/>
      <x:c r="AG215" s="5"/>
    </x:row>
    <x:row r="216">
      <x:c r="A216" s="80"/>
      <x:c r="B216" s="80"/>
      <x:c r="C216" s="83"/>
      <x:c r="D216" s="80"/>
      <x:c r="E216" s="80"/>
      <x:c r="F216" s="86"/>
      <x:c r="G216" s="80"/>
      <x:c r="H216" s="95"/>
      <x:c r="I216" s="95"/>
      <x:c r="J216" s="96"/>
      <x:c r="K216" s="97"/>
      <x:c r="L216" s="98"/>
      <x:c r="M216" s="98"/>
      <x:c r="N216" s="98"/>
      <x:c r="O216" s="98"/>
      <x:c r="P216" s="98"/>
      <x:c r="Q216" s="80"/>
      <x:c r="R216" s="80"/>
      <x:c r="S216" s="80"/>
      <x:c r="T216" s="80"/>
      <x:c r="U216" s="80"/>
      <x:c r="V216" s="89" t="str">
        <x:f>IF(A216="","",IF(U216="","",IF(U216="Выигрыш",J216-1,IF(U216="Полувыигрыш",(J216-1)/2,IF(U216="Возврат",0,IF(U216="Полупроигрыш",-0.5,IF(U216="Поражение",-1,"Проверить результат")))))))</x:f>
      </x:c>
      <x:c r="W216" s="80" t="str">
        <x:f>IF(A216="","",IF(U216="","Открыт",IF(ISNUMBER(V216),"Рассчитан","Проверить результат")))</x:f>
      </x:c>
      <x:c r="X216" s="98"/>
      <x:c r="Y216" s="5"/>
      <x:c r="Z216" s="5"/>
      <x:c r="AA216" s="5"/>
      <x:c r="AB216" s="118"/>
      <x:c r="AC216" s="119"/>
      <x:c r="AD216" s="119"/>
      <x:c r="AE216" s="5" t="str">
        <x:f>IF(A216="","",IF(Z216="","Нет ID пары",IF(AND(COUNTIFS($Z$59:$Z$505,Z216,$Y$59:$Y$505,"Оптимальный",$W$59:$W$505,"Рассчитан")=1,COUNTIFS($Z$59:$Z$505,Z216,$Y$59:$Y$505,"Агрессивный",$W$59:$W$505,"Рассчитан")=1),"Да","Нет")))</x:f>
      </x:c>
      <x:c r="AF216" s="5"/>
      <x:c r="AG216" s="5"/>
    </x:row>
    <x:row r="217">
      <x:c r="A217" s="80"/>
      <x:c r="B217" s="80"/>
      <x:c r="C217" s="83"/>
      <x:c r="D217" s="80"/>
      <x:c r="E217" s="80"/>
      <x:c r="F217" s="86"/>
      <x:c r="G217" s="80"/>
      <x:c r="H217" s="95"/>
      <x:c r="I217" s="95"/>
      <x:c r="J217" s="96"/>
      <x:c r="K217" s="97"/>
      <x:c r="L217" s="98"/>
      <x:c r="M217" s="98"/>
      <x:c r="N217" s="98"/>
      <x:c r="O217" s="98"/>
      <x:c r="P217" s="98"/>
      <x:c r="Q217" s="80"/>
      <x:c r="R217" s="80"/>
      <x:c r="S217" s="80"/>
      <x:c r="T217" s="80"/>
      <x:c r="U217" s="80"/>
      <x:c r="V217" s="89" t="str">
        <x:f>IF(A217="","",IF(U217="","",IF(U217="Выигрыш",J217-1,IF(U217="Полувыигрыш",(J217-1)/2,IF(U217="Возврат",0,IF(U217="Полупроигрыш",-0.5,IF(U217="Поражение",-1,"Проверить результат")))))))</x:f>
      </x:c>
      <x:c r="W217" s="80" t="str">
        <x:f>IF(A217="","",IF(U217="","Открыт",IF(ISNUMBER(V217),"Рассчитан","Проверить результат")))</x:f>
      </x:c>
      <x:c r="X217" s="98"/>
      <x:c r="Y217" s="5"/>
      <x:c r="Z217" s="5"/>
      <x:c r="AA217" s="5"/>
      <x:c r="AB217" s="118"/>
      <x:c r="AC217" s="119"/>
      <x:c r="AD217" s="119"/>
      <x:c r="AE217" s="5" t="str">
        <x:f>IF(A217="","",IF(Z217="","Нет ID пары",IF(AND(COUNTIFS($Z$59:$Z$505,Z217,$Y$59:$Y$505,"Оптимальный",$W$59:$W$505,"Рассчитан")=1,COUNTIFS($Z$59:$Z$505,Z217,$Y$59:$Y$505,"Агрессивный",$W$59:$W$505,"Рассчитан")=1),"Да","Нет")))</x:f>
      </x:c>
      <x:c r="AF217" s="5"/>
      <x:c r="AG217" s="5"/>
    </x:row>
    <x:row r="218">
      <x:c r="A218" s="80"/>
      <x:c r="B218" s="80"/>
      <x:c r="C218" s="83"/>
      <x:c r="D218" s="80"/>
      <x:c r="E218" s="80"/>
      <x:c r="F218" s="86"/>
      <x:c r="G218" s="80"/>
      <x:c r="H218" s="95"/>
      <x:c r="I218" s="95"/>
      <x:c r="J218" s="96"/>
      <x:c r="K218" s="97"/>
      <x:c r="L218" s="98"/>
      <x:c r="M218" s="98"/>
      <x:c r="N218" s="98"/>
      <x:c r="O218" s="98"/>
      <x:c r="P218" s="98"/>
      <x:c r="Q218" s="80"/>
      <x:c r="R218" s="80"/>
      <x:c r="S218" s="80"/>
      <x:c r="T218" s="80"/>
      <x:c r="U218" s="80"/>
      <x:c r="V218" s="89" t="str">
        <x:f>IF(A218="","",IF(U218="","",IF(U218="Выигрыш",J218-1,IF(U218="Полувыигрыш",(J218-1)/2,IF(U218="Возврат",0,IF(U218="Полупроигрыш",-0.5,IF(U218="Поражение",-1,"Проверить результат")))))))</x:f>
      </x:c>
      <x:c r="W218" s="80" t="str">
        <x:f>IF(A218="","",IF(U218="","Открыт",IF(ISNUMBER(V218),"Рассчитан","Проверить результат")))</x:f>
      </x:c>
      <x:c r="X218" s="98"/>
      <x:c r="Y218" s="5"/>
      <x:c r="Z218" s="5"/>
      <x:c r="AA218" s="5"/>
      <x:c r="AB218" s="118"/>
      <x:c r="AC218" s="119"/>
      <x:c r="AD218" s="119"/>
      <x:c r="AE218" s="5" t="str">
        <x:f>IF(A218="","",IF(Z218="","Нет ID пары",IF(AND(COUNTIFS($Z$59:$Z$505,Z218,$Y$59:$Y$505,"Оптимальный",$W$59:$W$505,"Рассчитан")=1,COUNTIFS($Z$59:$Z$505,Z218,$Y$59:$Y$505,"Агрессивный",$W$59:$W$505,"Рассчитан")=1),"Да","Нет")))</x:f>
      </x:c>
      <x:c r="AF218" s="5"/>
      <x:c r="AG218" s="5"/>
    </x:row>
    <x:row r="219">
      <x:c r="A219" s="80"/>
      <x:c r="B219" s="80"/>
      <x:c r="C219" s="83"/>
      <x:c r="D219" s="80"/>
      <x:c r="E219" s="80"/>
      <x:c r="F219" s="86"/>
      <x:c r="G219" s="80"/>
      <x:c r="H219" s="95"/>
      <x:c r="I219" s="95"/>
      <x:c r="J219" s="96"/>
      <x:c r="K219" s="97"/>
      <x:c r="L219" s="98"/>
      <x:c r="M219" s="98"/>
      <x:c r="N219" s="98"/>
      <x:c r="O219" s="98"/>
      <x:c r="P219" s="98"/>
      <x:c r="Q219" s="80"/>
      <x:c r="R219" s="80"/>
      <x:c r="S219" s="80"/>
      <x:c r="T219" s="80"/>
      <x:c r="U219" s="80"/>
      <x:c r="V219" s="89" t="str">
        <x:f>IF(A219="","",IF(U219="","",IF(U219="Выигрыш",J219-1,IF(U219="Полувыигрыш",(J219-1)/2,IF(U219="Возврат",0,IF(U219="Полупроигрыш",-0.5,IF(U219="Поражение",-1,"Проверить результат")))))))</x:f>
      </x:c>
      <x:c r="W219" s="80" t="str">
        <x:f>IF(A219="","",IF(U219="","Открыт",IF(ISNUMBER(V219),"Рассчитан","Проверить результат")))</x:f>
      </x:c>
      <x:c r="X219" s="98"/>
      <x:c r="Y219" s="5"/>
      <x:c r="Z219" s="5"/>
      <x:c r="AA219" s="5"/>
      <x:c r="AB219" s="118"/>
      <x:c r="AC219" s="119"/>
      <x:c r="AD219" s="119"/>
      <x:c r="AE219" s="5" t="str">
        <x:f>IF(A219="","",IF(Z219="","Нет ID пары",IF(AND(COUNTIFS($Z$59:$Z$505,Z219,$Y$59:$Y$505,"Оптимальный",$W$59:$W$505,"Рассчитан")=1,COUNTIFS($Z$59:$Z$505,Z219,$Y$59:$Y$505,"Агрессивный",$W$59:$W$505,"Рассчитан")=1),"Да","Нет")))</x:f>
      </x:c>
      <x:c r="AF219" s="5"/>
      <x:c r="AG219" s="5"/>
    </x:row>
    <x:row r="220">
      <x:c r="A220" s="80"/>
      <x:c r="B220" s="80"/>
      <x:c r="C220" s="83"/>
      <x:c r="D220" s="80"/>
      <x:c r="E220" s="80"/>
      <x:c r="F220" s="86"/>
      <x:c r="G220" s="80"/>
      <x:c r="H220" s="95"/>
      <x:c r="I220" s="95"/>
      <x:c r="J220" s="96"/>
      <x:c r="K220" s="97"/>
      <x:c r="L220" s="98"/>
      <x:c r="M220" s="98"/>
      <x:c r="N220" s="98"/>
      <x:c r="O220" s="98"/>
      <x:c r="P220" s="98"/>
      <x:c r="Q220" s="80"/>
      <x:c r="R220" s="80"/>
      <x:c r="S220" s="80"/>
      <x:c r="T220" s="80"/>
      <x:c r="U220" s="80"/>
      <x:c r="V220" s="89" t="str">
        <x:f>IF(A220="","",IF(U220="","",IF(U220="Выигрыш",J220-1,IF(U220="Полувыигрыш",(J220-1)/2,IF(U220="Возврат",0,IF(U220="Полупроигрыш",-0.5,IF(U220="Поражение",-1,"Проверить результат")))))))</x:f>
      </x:c>
      <x:c r="W220" s="80" t="str">
        <x:f>IF(A220="","",IF(U220="","Открыт",IF(ISNUMBER(V220),"Рассчитан","Проверить результат")))</x:f>
      </x:c>
      <x:c r="X220" s="98"/>
      <x:c r="Y220" s="5"/>
      <x:c r="Z220" s="5"/>
      <x:c r="AA220" s="5"/>
      <x:c r="AB220" s="118"/>
      <x:c r="AC220" s="119"/>
      <x:c r="AD220" s="119"/>
      <x:c r="AE220" s="5" t="str">
        <x:f>IF(A220="","",IF(Z220="","Нет ID пары",IF(AND(COUNTIFS($Z$59:$Z$505,Z220,$Y$59:$Y$505,"Оптимальный",$W$59:$W$505,"Рассчитан")=1,COUNTIFS($Z$59:$Z$505,Z220,$Y$59:$Y$505,"Агрессивный",$W$59:$W$505,"Рассчитан")=1),"Да","Нет")))</x:f>
      </x:c>
      <x:c r="AF220" s="5"/>
      <x:c r="AG220" s="5"/>
    </x:row>
    <x:row r="221">
      <x:c r="A221" s="80"/>
      <x:c r="B221" s="80"/>
      <x:c r="C221" s="83"/>
      <x:c r="D221" s="80"/>
      <x:c r="E221" s="80"/>
      <x:c r="F221" s="86"/>
      <x:c r="G221" s="80"/>
      <x:c r="H221" s="95"/>
      <x:c r="I221" s="95"/>
      <x:c r="J221" s="96"/>
      <x:c r="K221" s="97"/>
      <x:c r="L221" s="98"/>
      <x:c r="M221" s="98"/>
      <x:c r="N221" s="98"/>
      <x:c r="O221" s="98"/>
      <x:c r="P221" s="98"/>
      <x:c r="Q221" s="80"/>
      <x:c r="R221" s="80"/>
      <x:c r="S221" s="80"/>
      <x:c r="T221" s="80"/>
      <x:c r="U221" s="80"/>
      <x:c r="V221" s="89" t="str">
        <x:f>IF(A221="","",IF(U221="","",IF(U221="Выигрыш",J221-1,IF(U221="Полувыигрыш",(J221-1)/2,IF(U221="Возврат",0,IF(U221="Полупроигрыш",-0.5,IF(U221="Поражение",-1,"Проверить результат")))))))</x:f>
      </x:c>
      <x:c r="W221" s="80" t="str">
        <x:f>IF(A221="","",IF(U221="","Открыт",IF(ISNUMBER(V221),"Рассчитан","Проверить результат")))</x:f>
      </x:c>
      <x:c r="X221" s="98"/>
      <x:c r="Y221" s="5"/>
      <x:c r="Z221" s="5"/>
      <x:c r="AA221" s="5"/>
      <x:c r="AB221" s="118"/>
      <x:c r="AC221" s="119"/>
      <x:c r="AD221" s="119"/>
      <x:c r="AE221" s="5" t="str">
        <x:f>IF(A221="","",IF(Z221="","Нет ID пары",IF(AND(COUNTIFS($Z$59:$Z$505,Z221,$Y$59:$Y$505,"Оптимальный",$W$59:$W$505,"Рассчитан")=1,COUNTIFS($Z$59:$Z$505,Z221,$Y$59:$Y$505,"Агрессивный",$W$59:$W$505,"Рассчитан")=1),"Да","Нет")))</x:f>
      </x:c>
      <x:c r="AF221" s="5"/>
      <x:c r="AG221" s="5"/>
    </x:row>
    <x:row r="222">
      <x:c r="A222" s="80"/>
      <x:c r="B222" s="80"/>
      <x:c r="C222" s="83"/>
      <x:c r="D222" s="80"/>
      <x:c r="E222" s="80"/>
      <x:c r="F222" s="86"/>
      <x:c r="G222" s="80"/>
      <x:c r="H222" s="95"/>
      <x:c r="I222" s="95"/>
      <x:c r="J222" s="96"/>
      <x:c r="K222" s="97"/>
      <x:c r="L222" s="98"/>
      <x:c r="M222" s="98"/>
      <x:c r="N222" s="98"/>
      <x:c r="O222" s="98"/>
      <x:c r="P222" s="98"/>
      <x:c r="Q222" s="80"/>
      <x:c r="R222" s="80"/>
      <x:c r="S222" s="80"/>
      <x:c r="T222" s="80"/>
      <x:c r="U222" s="80"/>
      <x:c r="V222" s="89" t="str">
        <x:f>IF(A222="","",IF(U222="","",IF(U222="Выигрыш",J222-1,IF(U222="Полувыигрыш",(J222-1)/2,IF(U222="Возврат",0,IF(U222="Полупроигрыш",-0.5,IF(U222="Поражение",-1,"Проверить результат")))))))</x:f>
      </x:c>
      <x:c r="W222" s="80" t="str">
        <x:f>IF(A222="","",IF(U222="","Открыт",IF(ISNUMBER(V222),"Рассчитан","Проверить результат")))</x:f>
      </x:c>
      <x:c r="X222" s="98"/>
      <x:c r="Y222" s="5"/>
      <x:c r="Z222" s="5"/>
      <x:c r="AA222" s="5"/>
      <x:c r="AB222" s="118"/>
      <x:c r="AC222" s="119"/>
      <x:c r="AD222" s="119"/>
      <x:c r="AE222" s="5" t="str">
        <x:f>IF(A222="","",IF(Z222="","Нет ID пары",IF(AND(COUNTIFS($Z$59:$Z$505,Z222,$Y$59:$Y$505,"Оптимальный",$W$59:$W$505,"Рассчитан")=1,COUNTIFS($Z$59:$Z$505,Z222,$Y$59:$Y$505,"Агрессивный",$W$59:$W$505,"Рассчитан")=1),"Да","Нет")))</x:f>
      </x:c>
      <x:c r="AF222" s="5"/>
      <x:c r="AG222" s="5"/>
    </x:row>
    <x:row r="223">
      <x:c r="A223" s="80"/>
      <x:c r="B223" s="80"/>
      <x:c r="C223" s="83"/>
      <x:c r="D223" s="80"/>
      <x:c r="E223" s="80"/>
      <x:c r="F223" s="86"/>
      <x:c r="G223" s="80"/>
      <x:c r="H223" s="95"/>
      <x:c r="I223" s="95"/>
      <x:c r="J223" s="96"/>
      <x:c r="K223" s="97"/>
      <x:c r="L223" s="98"/>
      <x:c r="M223" s="98"/>
      <x:c r="N223" s="98"/>
      <x:c r="O223" s="98"/>
      <x:c r="P223" s="98"/>
      <x:c r="Q223" s="80"/>
      <x:c r="R223" s="80"/>
      <x:c r="S223" s="80"/>
      <x:c r="T223" s="80"/>
      <x:c r="U223" s="80"/>
      <x:c r="V223" s="89" t="str">
        <x:f>IF(A223="","",IF(U223="","",IF(U223="Выигрыш",J223-1,IF(U223="Полувыигрыш",(J223-1)/2,IF(U223="Возврат",0,IF(U223="Полупроигрыш",-0.5,IF(U223="Поражение",-1,"Проверить результат")))))))</x:f>
      </x:c>
      <x:c r="W223" s="80" t="str">
        <x:f>IF(A223="","",IF(U223="","Открыт",IF(ISNUMBER(V223),"Рассчитан","Проверить результат")))</x:f>
      </x:c>
      <x:c r="X223" s="98"/>
      <x:c r="Y223" s="5"/>
      <x:c r="Z223" s="5"/>
      <x:c r="AA223" s="5"/>
      <x:c r="AB223" s="118"/>
      <x:c r="AC223" s="119"/>
      <x:c r="AD223" s="119"/>
      <x:c r="AE223" s="5" t="str">
        <x:f>IF(A223="","",IF(Z223="","Нет ID пары",IF(AND(COUNTIFS($Z$59:$Z$505,Z223,$Y$59:$Y$505,"Оптимальный",$W$59:$W$505,"Рассчитан")=1,COUNTIFS($Z$59:$Z$505,Z223,$Y$59:$Y$505,"Агрессивный",$W$59:$W$505,"Рассчитан")=1),"Да","Нет")))</x:f>
      </x:c>
      <x:c r="AF223" s="5"/>
      <x:c r="AG223" s="5"/>
    </x:row>
    <x:row r="224">
      <x:c r="A224" s="80"/>
      <x:c r="B224" s="80"/>
      <x:c r="C224" s="83"/>
      <x:c r="D224" s="80"/>
      <x:c r="E224" s="80"/>
      <x:c r="F224" s="86"/>
      <x:c r="G224" s="80"/>
      <x:c r="H224" s="95"/>
      <x:c r="I224" s="95"/>
      <x:c r="J224" s="96"/>
      <x:c r="K224" s="97"/>
      <x:c r="L224" s="98"/>
      <x:c r="M224" s="98"/>
      <x:c r="N224" s="98"/>
      <x:c r="O224" s="98"/>
      <x:c r="P224" s="98"/>
      <x:c r="Q224" s="80"/>
      <x:c r="R224" s="80"/>
      <x:c r="S224" s="80"/>
      <x:c r="T224" s="80"/>
      <x:c r="U224" s="80"/>
      <x:c r="V224" s="89" t="str">
        <x:f>IF(A224="","",IF(U224="","",IF(U224="Выигрыш",J224-1,IF(U224="Полувыигрыш",(J224-1)/2,IF(U224="Возврат",0,IF(U224="Полупроигрыш",-0.5,IF(U224="Поражение",-1,"Проверить результат")))))))</x:f>
      </x:c>
      <x:c r="W224" s="80" t="str">
        <x:f>IF(A224="","",IF(U224="","Открыт",IF(ISNUMBER(V224),"Рассчитан","Проверить результат")))</x:f>
      </x:c>
      <x:c r="X224" s="98"/>
      <x:c r="Y224" s="5"/>
      <x:c r="Z224" s="5"/>
      <x:c r="AA224" s="5"/>
      <x:c r="AB224" s="118"/>
      <x:c r="AC224" s="119"/>
      <x:c r="AD224" s="119"/>
      <x:c r="AE224" s="5" t="str">
        <x:f>IF(A224="","",IF(Z224="","Нет ID пары",IF(AND(COUNTIFS($Z$59:$Z$505,Z224,$Y$59:$Y$505,"Оптимальный",$W$59:$W$505,"Рассчитан")=1,COUNTIFS($Z$59:$Z$505,Z224,$Y$59:$Y$505,"Агрессивный",$W$59:$W$505,"Рассчитан")=1),"Да","Нет")))</x:f>
      </x:c>
      <x:c r="AF224" s="5"/>
      <x:c r="AG224" s="5"/>
    </x:row>
    <x:row r="225">
      <x:c r="A225" s="80"/>
      <x:c r="B225" s="80"/>
      <x:c r="C225" s="83"/>
      <x:c r="D225" s="80"/>
      <x:c r="E225" s="80"/>
      <x:c r="F225" s="86"/>
      <x:c r="G225" s="80"/>
      <x:c r="H225" s="95"/>
      <x:c r="I225" s="95"/>
      <x:c r="J225" s="96"/>
      <x:c r="K225" s="97"/>
      <x:c r="L225" s="98"/>
      <x:c r="M225" s="98"/>
      <x:c r="N225" s="98"/>
      <x:c r="O225" s="98"/>
      <x:c r="P225" s="98"/>
      <x:c r="Q225" s="80"/>
      <x:c r="R225" s="80"/>
      <x:c r="S225" s="80"/>
      <x:c r="T225" s="80"/>
      <x:c r="U225" s="80"/>
      <x:c r="V225" s="89" t="str">
        <x:f>IF(A225="","",IF(U225="","",IF(U225="Выигрыш",J225-1,IF(U225="Полувыигрыш",(J225-1)/2,IF(U225="Возврат",0,IF(U225="Полупроигрыш",-0.5,IF(U225="Поражение",-1,"Проверить результат")))))))</x:f>
      </x:c>
      <x:c r="W225" s="80" t="str">
        <x:f>IF(A225="","",IF(U225="","Открыт",IF(ISNUMBER(V225),"Рассчитан","Проверить результат")))</x:f>
      </x:c>
      <x:c r="X225" s="98"/>
      <x:c r="Y225" s="5"/>
      <x:c r="Z225" s="5"/>
      <x:c r="AA225" s="5"/>
      <x:c r="AB225" s="118"/>
      <x:c r="AC225" s="119"/>
      <x:c r="AD225" s="119"/>
      <x:c r="AE225" s="5" t="str">
        <x:f>IF(A225="","",IF(Z225="","Нет ID пары",IF(AND(COUNTIFS($Z$59:$Z$505,Z225,$Y$59:$Y$505,"Оптимальный",$W$59:$W$505,"Рассчитан")=1,COUNTIFS($Z$59:$Z$505,Z225,$Y$59:$Y$505,"Агрессивный",$W$59:$W$505,"Рассчитан")=1),"Да","Нет")))</x:f>
      </x:c>
      <x:c r="AF225" s="5"/>
      <x:c r="AG225" s="5"/>
    </x:row>
    <x:row r="226">
      <x:c r="A226" s="80"/>
      <x:c r="B226" s="80"/>
      <x:c r="C226" s="83"/>
      <x:c r="D226" s="80"/>
      <x:c r="E226" s="80"/>
      <x:c r="F226" s="86"/>
      <x:c r="G226" s="80"/>
      <x:c r="H226" s="95"/>
      <x:c r="I226" s="95"/>
      <x:c r="J226" s="96"/>
      <x:c r="K226" s="97"/>
      <x:c r="L226" s="98"/>
      <x:c r="M226" s="98"/>
      <x:c r="N226" s="98"/>
      <x:c r="O226" s="98"/>
      <x:c r="P226" s="98"/>
      <x:c r="Q226" s="80"/>
      <x:c r="R226" s="80"/>
      <x:c r="S226" s="80"/>
      <x:c r="T226" s="80"/>
      <x:c r="U226" s="80"/>
      <x:c r="V226" s="89" t="str">
        <x:f>IF(A226="","",IF(U226="","",IF(U226="Выигрыш",J226-1,IF(U226="Полувыигрыш",(J226-1)/2,IF(U226="Возврат",0,IF(U226="Полупроигрыш",-0.5,IF(U226="Поражение",-1,"Проверить результат")))))))</x:f>
      </x:c>
      <x:c r="W226" s="80" t="str">
        <x:f>IF(A226="","",IF(U226="","Открыт",IF(ISNUMBER(V226),"Рассчитан","Проверить результат")))</x:f>
      </x:c>
      <x:c r="X226" s="98"/>
      <x:c r="Y226" s="5"/>
      <x:c r="Z226" s="5"/>
      <x:c r="AA226" s="5"/>
      <x:c r="AB226" s="118"/>
      <x:c r="AC226" s="119"/>
      <x:c r="AD226" s="119"/>
      <x:c r="AE226" s="5" t="str">
        <x:f>IF(A226="","",IF(Z226="","Нет ID пары",IF(AND(COUNTIFS($Z$59:$Z$505,Z226,$Y$59:$Y$505,"Оптимальный",$W$59:$W$505,"Рассчитан")=1,COUNTIFS($Z$59:$Z$505,Z226,$Y$59:$Y$505,"Агрессивный",$W$59:$W$505,"Рассчитан")=1),"Да","Нет")))</x:f>
      </x:c>
      <x:c r="AF226" s="5"/>
      <x:c r="AG226" s="5"/>
    </x:row>
    <x:row r="227">
      <x:c r="A227" s="80"/>
      <x:c r="B227" s="80"/>
      <x:c r="C227" s="83"/>
      <x:c r="D227" s="80"/>
      <x:c r="E227" s="80"/>
      <x:c r="F227" s="86"/>
      <x:c r="G227" s="80"/>
      <x:c r="H227" s="95"/>
      <x:c r="I227" s="95"/>
      <x:c r="J227" s="96"/>
      <x:c r="K227" s="97"/>
      <x:c r="L227" s="98"/>
      <x:c r="M227" s="98"/>
      <x:c r="N227" s="98"/>
      <x:c r="O227" s="98"/>
      <x:c r="P227" s="98"/>
      <x:c r="Q227" s="80"/>
      <x:c r="R227" s="80"/>
      <x:c r="S227" s="80"/>
      <x:c r="T227" s="80"/>
      <x:c r="U227" s="80"/>
      <x:c r="V227" s="89" t="str">
        <x:f>IF(A227="","",IF(U227="","",IF(U227="Выигрыш",J227-1,IF(U227="Полувыигрыш",(J227-1)/2,IF(U227="Возврат",0,IF(U227="Полупроигрыш",-0.5,IF(U227="Поражение",-1,"Проверить результат")))))))</x:f>
      </x:c>
      <x:c r="W227" s="80" t="str">
        <x:f>IF(A227="","",IF(U227="","Открыт",IF(ISNUMBER(V227),"Рассчитан","Проверить результат")))</x:f>
      </x:c>
      <x:c r="X227" s="98"/>
      <x:c r="Y227" s="5"/>
      <x:c r="Z227" s="5"/>
      <x:c r="AA227" s="5"/>
      <x:c r="AB227" s="118"/>
      <x:c r="AC227" s="119"/>
      <x:c r="AD227" s="119"/>
      <x:c r="AE227" s="5" t="str">
        <x:f>IF(A227="","",IF(Z227="","Нет ID пары",IF(AND(COUNTIFS($Z$59:$Z$505,Z227,$Y$59:$Y$505,"Оптимальный",$W$59:$W$505,"Рассчитан")=1,COUNTIFS($Z$59:$Z$505,Z227,$Y$59:$Y$505,"Агрессивный",$W$59:$W$505,"Рассчитан")=1),"Да","Нет")))</x:f>
      </x:c>
      <x:c r="AF227" s="5"/>
      <x:c r="AG227" s="5"/>
    </x:row>
    <x:row r="228">
      <x:c r="A228" s="80"/>
      <x:c r="B228" s="80"/>
      <x:c r="C228" s="83"/>
      <x:c r="D228" s="80"/>
      <x:c r="E228" s="80"/>
      <x:c r="F228" s="86"/>
      <x:c r="G228" s="80"/>
      <x:c r="H228" s="95"/>
      <x:c r="I228" s="95"/>
      <x:c r="J228" s="96"/>
      <x:c r="K228" s="97"/>
      <x:c r="L228" s="98"/>
      <x:c r="M228" s="98"/>
      <x:c r="N228" s="98"/>
      <x:c r="O228" s="98"/>
      <x:c r="P228" s="98"/>
      <x:c r="Q228" s="80"/>
      <x:c r="R228" s="80"/>
      <x:c r="S228" s="80"/>
      <x:c r="T228" s="80"/>
      <x:c r="U228" s="80"/>
      <x:c r="V228" s="89" t="str">
        <x:f>IF(A228="","",IF(U228="","",IF(U228="Выигрыш",J228-1,IF(U228="Полувыигрыш",(J228-1)/2,IF(U228="Возврат",0,IF(U228="Полупроигрыш",-0.5,IF(U228="Поражение",-1,"Проверить результат")))))))</x:f>
      </x:c>
      <x:c r="W228" s="80" t="str">
        <x:f>IF(A228="","",IF(U228="","Открыт",IF(ISNUMBER(V228),"Рассчитан","Проверить результат")))</x:f>
      </x:c>
      <x:c r="X228" s="98"/>
      <x:c r="Y228" s="5"/>
      <x:c r="Z228" s="5"/>
      <x:c r="AA228" s="5"/>
      <x:c r="AB228" s="118"/>
      <x:c r="AC228" s="119"/>
      <x:c r="AD228" s="119"/>
      <x:c r="AE228" s="5" t="str">
        <x:f>IF(A228="","",IF(Z228="","Нет ID пары",IF(AND(COUNTIFS($Z$59:$Z$505,Z228,$Y$59:$Y$505,"Оптимальный",$W$59:$W$505,"Рассчитан")=1,COUNTIFS($Z$59:$Z$505,Z228,$Y$59:$Y$505,"Агрессивный",$W$59:$W$505,"Рассчитан")=1),"Да","Нет")))</x:f>
      </x:c>
      <x:c r="AF228" s="5"/>
      <x:c r="AG228" s="5"/>
    </x:row>
    <x:row r="229">
      <x:c r="A229" s="80"/>
      <x:c r="B229" s="80"/>
      <x:c r="C229" s="83"/>
      <x:c r="D229" s="80"/>
      <x:c r="E229" s="80"/>
      <x:c r="F229" s="86"/>
      <x:c r="G229" s="80"/>
      <x:c r="H229" s="95"/>
      <x:c r="I229" s="95"/>
      <x:c r="J229" s="96"/>
      <x:c r="K229" s="97"/>
      <x:c r="L229" s="98"/>
      <x:c r="M229" s="98"/>
      <x:c r="N229" s="98"/>
      <x:c r="O229" s="98"/>
      <x:c r="P229" s="98"/>
      <x:c r="Q229" s="80"/>
      <x:c r="R229" s="80"/>
      <x:c r="S229" s="80"/>
      <x:c r="T229" s="80"/>
      <x:c r="U229" s="80"/>
      <x:c r="V229" s="89" t="str">
        <x:f>IF(A229="","",IF(U229="","",IF(U229="Выигрыш",J229-1,IF(U229="Полувыигрыш",(J229-1)/2,IF(U229="Возврат",0,IF(U229="Полупроигрыш",-0.5,IF(U229="Поражение",-1,"Проверить результат")))))))</x:f>
      </x:c>
      <x:c r="W229" s="80" t="str">
        <x:f>IF(A229="","",IF(U229="","Открыт",IF(ISNUMBER(V229),"Рассчитан","Проверить результат")))</x:f>
      </x:c>
      <x:c r="X229" s="98"/>
      <x:c r="Y229" s="5"/>
      <x:c r="Z229" s="5"/>
      <x:c r="AA229" s="5"/>
      <x:c r="AB229" s="118"/>
      <x:c r="AC229" s="119"/>
      <x:c r="AD229" s="119"/>
      <x:c r="AE229" s="5" t="str">
        <x:f>IF(A229="","",IF(Z229="","Нет ID пары",IF(AND(COUNTIFS($Z$59:$Z$505,Z229,$Y$59:$Y$505,"Оптимальный",$W$59:$W$505,"Рассчитан")=1,COUNTIFS($Z$59:$Z$505,Z229,$Y$59:$Y$505,"Агрессивный",$W$59:$W$505,"Рассчитан")=1),"Да","Нет")))</x:f>
      </x:c>
      <x:c r="AF229" s="5"/>
      <x:c r="AG229" s="5"/>
    </x:row>
    <x:row r="230">
      <x:c r="A230" s="80"/>
      <x:c r="B230" s="80"/>
      <x:c r="C230" s="83"/>
      <x:c r="D230" s="80"/>
      <x:c r="E230" s="80"/>
      <x:c r="F230" s="86"/>
      <x:c r="G230" s="80"/>
      <x:c r="H230" s="95"/>
      <x:c r="I230" s="95"/>
      <x:c r="J230" s="96"/>
      <x:c r="K230" s="97"/>
      <x:c r="L230" s="98"/>
      <x:c r="M230" s="98"/>
      <x:c r="N230" s="98"/>
      <x:c r="O230" s="98"/>
      <x:c r="P230" s="98"/>
      <x:c r="Q230" s="80"/>
      <x:c r="R230" s="80"/>
      <x:c r="S230" s="80"/>
      <x:c r="T230" s="80"/>
      <x:c r="U230" s="80"/>
      <x:c r="V230" s="89" t="str">
        <x:f>IF(A230="","",IF(U230="","",IF(U230="Выигрыш",J230-1,IF(U230="Полувыигрыш",(J230-1)/2,IF(U230="Возврат",0,IF(U230="Полупроигрыш",-0.5,IF(U230="Поражение",-1,"Проверить результат")))))))</x:f>
      </x:c>
      <x:c r="W230" s="80" t="str">
        <x:f>IF(A230="","",IF(U230="","Открыт",IF(ISNUMBER(V230),"Рассчитан","Проверить результат")))</x:f>
      </x:c>
      <x:c r="X230" s="98"/>
      <x:c r="Y230" s="5"/>
      <x:c r="Z230" s="5"/>
      <x:c r="AA230" s="5"/>
      <x:c r="AB230" s="118"/>
      <x:c r="AC230" s="119"/>
      <x:c r="AD230" s="119"/>
      <x:c r="AE230" s="5" t="str">
        <x:f>IF(A230="","",IF(Z230="","Нет ID пары",IF(AND(COUNTIFS($Z$59:$Z$505,Z230,$Y$59:$Y$505,"Оптимальный",$W$59:$W$505,"Рассчитан")=1,COUNTIFS($Z$59:$Z$505,Z230,$Y$59:$Y$505,"Агрессивный",$W$59:$W$505,"Рассчитан")=1),"Да","Нет")))</x:f>
      </x:c>
      <x:c r="AF230" s="5"/>
      <x:c r="AG230" s="5"/>
    </x:row>
    <x:row r="231">
      <x:c r="A231" s="80"/>
      <x:c r="B231" s="80"/>
      <x:c r="C231" s="83"/>
      <x:c r="D231" s="80"/>
      <x:c r="E231" s="80"/>
      <x:c r="F231" s="86"/>
      <x:c r="G231" s="80"/>
      <x:c r="H231" s="95"/>
      <x:c r="I231" s="95"/>
      <x:c r="J231" s="96"/>
      <x:c r="K231" s="97"/>
      <x:c r="L231" s="98"/>
      <x:c r="M231" s="98"/>
      <x:c r="N231" s="98"/>
      <x:c r="O231" s="98"/>
      <x:c r="P231" s="98"/>
      <x:c r="Q231" s="80"/>
      <x:c r="R231" s="80"/>
      <x:c r="S231" s="80"/>
      <x:c r="T231" s="80"/>
      <x:c r="U231" s="80"/>
      <x:c r="V231" s="89" t="str">
        <x:f>IF(A231="","",IF(U231="","",IF(U231="Выигрыш",J231-1,IF(U231="Полувыигрыш",(J231-1)/2,IF(U231="Возврат",0,IF(U231="Полупроигрыш",-0.5,IF(U231="Поражение",-1,"Проверить результат")))))))</x:f>
      </x:c>
      <x:c r="W231" s="80" t="str">
        <x:f>IF(A231="","",IF(U231="","Открыт",IF(ISNUMBER(V231),"Рассчитан","Проверить результат")))</x:f>
      </x:c>
      <x:c r="X231" s="98"/>
      <x:c r="Y231" s="5"/>
      <x:c r="Z231" s="5"/>
      <x:c r="AA231" s="5"/>
      <x:c r="AB231" s="118"/>
      <x:c r="AC231" s="119"/>
      <x:c r="AD231" s="119"/>
      <x:c r="AE231" s="5" t="str">
        <x:f>IF(A231="","",IF(Z231="","Нет ID пары",IF(AND(COUNTIFS($Z$59:$Z$505,Z231,$Y$59:$Y$505,"Оптимальный",$W$59:$W$505,"Рассчитан")=1,COUNTIFS($Z$59:$Z$505,Z231,$Y$59:$Y$505,"Агрессивный",$W$59:$W$505,"Рассчитан")=1),"Да","Нет")))</x:f>
      </x:c>
      <x:c r="AF231" s="5"/>
      <x:c r="AG231" s="5"/>
    </x:row>
    <x:row r="232">
      <x:c r="A232" s="80"/>
      <x:c r="B232" s="80"/>
      <x:c r="C232" s="83"/>
      <x:c r="D232" s="80"/>
      <x:c r="E232" s="80"/>
      <x:c r="F232" s="86"/>
      <x:c r="G232" s="80"/>
      <x:c r="H232" s="95"/>
      <x:c r="I232" s="95"/>
      <x:c r="J232" s="96"/>
      <x:c r="K232" s="97"/>
      <x:c r="L232" s="98"/>
      <x:c r="M232" s="98"/>
      <x:c r="N232" s="98"/>
      <x:c r="O232" s="98"/>
      <x:c r="P232" s="98"/>
      <x:c r="Q232" s="80"/>
      <x:c r="R232" s="80"/>
      <x:c r="S232" s="80"/>
      <x:c r="T232" s="80"/>
      <x:c r="U232" s="80"/>
      <x:c r="V232" s="89" t="str">
        <x:f>IF(A232="","",IF(U232="","",IF(U232="Выигрыш",J232-1,IF(U232="Полувыигрыш",(J232-1)/2,IF(U232="Возврат",0,IF(U232="Полупроигрыш",-0.5,IF(U232="Поражение",-1,"Проверить результат")))))))</x:f>
      </x:c>
      <x:c r="W232" s="80" t="str">
        <x:f>IF(A232="","",IF(U232="","Открыт",IF(ISNUMBER(V232),"Рассчитан","Проверить результат")))</x:f>
      </x:c>
      <x:c r="X232" s="98"/>
      <x:c r="Y232" s="5"/>
      <x:c r="Z232" s="5"/>
      <x:c r="AA232" s="5"/>
      <x:c r="AB232" s="118"/>
      <x:c r="AC232" s="119"/>
      <x:c r="AD232" s="119"/>
      <x:c r="AE232" s="5" t="str">
        <x:f>IF(A232="","",IF(Z232="","Нет ID пары",IF(AND(COUNTIFS($Z$59:$Z$505,Z232,$Y$59:$Y$505,"Оптимальный",$W$59:$W$505,"Рассчитан")=1,COUNTIFS($Z$59:$Z$505,Z232,$Y$59:$Y$505,"Агрессивный",$W$59:$W$505,"Рассчитан")=1),"Да","Нет")))</x:f>
      </x:c>
      <x:c r="AF232" s="5"/>
      <x:c r="AG232" s="5"/>
    </x:row>
    <x:row r="233">
      <x:c r="A233" s="80"/>
      <x:c r="B233" s="80"/>
      <x:c r="C233" s="83"/>
      <x:c r="D233" s="80"/>
      <x:c r="E233" s="80"/>
      <x:c r="F233" s="86"/>
      <x:c r="G233" s="80"/>
      <x:c r="H233" s="95"/>
      <x:c r="I233" s="95"/>
      <x:c r="J233" s="96"/>
      <x:c r="K233" s="97"/>
      <x:c r="L233" s="98"/>
      <x:c r="M233" s="98"/>
      <x:c r="N233" s="98"/>
      <x:c r="O233" s="98"/>
      <x:c r="P233" s="98"/>
      <x:c r="Q233" s="80"/>
      <x:c r="R233" s="80"/>
      <x:c r="S233" s="80"/>
      <x:c r="T233" s="80"/>
      <x:c r="U233" s="80"/>
      <x:c r="V233" s="89" t="str">
        <x:f>IF(A233="","",IF(U233="","",IF(U233="Выигрыш",J233-1,IF(U233="Полувыигрыш",(J233-1)/2,IF(U233="Возврат",0,IF(U233="Полупроигрыш",-0.5,IF(U233="Поражение",-1,"Проверить результат")))))))</x:f>
      </x:c>
      <x:c r="W233" s="80" t="str">
        <x:f>IF(A233="","",IF(U233="","Открыт",IF(ISNUMBER(V233),"Рассчитан","Проверить результат")))</x:f>
      </x:c>
      <x:c r="X233" s="98"/>
      <x:c r="Y233" s="5"/>
      <x:c r="Z233" s="5"/>
      <x:c r="AA233" s="5"/>
      <x:c r="AB233" s="118"/>
      <x:c r="AC233" s="119"/>
      <x:c r="AD233" s="119"/>
      <x:c r="AE233" s="5" t="str">
        <x:f>IF(A233="","",IF(Z233="","Нет ID пары",IF(AND(COUNTIFS($Z$59:$Z$505,Z233,$Y$59:$Y$505,"Оптимальный",$W$59:$W$505,"Рассчитан")=1,COUNTIFS($Z$59:$Z$505,Z233,$Y$59:$Y$505,"Агрессивный",$W$59:$W$505,"Рассчитан")=1),"Да","Нет")))</x:f>
      </x:c>
      <x:c r="AF233" s="5"/>
      <x:c r="AG233" s="5"/>
    </x:row>
    <x:row r="234">
      <x:c r="A234" s="80"/>
      <x:c r="B234" s="80"/>
      <x:c r="C234" s="83"/>
      <x:c r="D234" s="80"/>
      <x:c r="E234" s="80"/>
      <x:c r="F234" s="86"/>
      <x:c r="G234" s="80"/>
      <x:c r="H234" s="95"/>
      <x:c r="I234" s="95"/>
      <x:c r="J234" s="96"/>
      <x:c r="K234" s="97"/>
      <x:c r="L234" s="98"/>
      <x:c r="M234" s="98"/>
      <x:c r="N234" s="98"/>
      <x:c r="O234" s="98"/>
      <x:c r="P234" s="98"/>
      <x:c r="Q234" s="80"/>
      <x:c r="R234" s="80"/>
      <x:c r="S234" s="80"/>
      <x:c r="T234" s="80"/>
      <x:c r="U234" s="80"/>
      <x:c r="V234" s="89" t="str">
        <x:f>IF(A234="","",IF(U234="","",IF(U234="Выигрыш",J234-1,IF(U234="Полувыигрыш",(J234-1)/2,IF(U234="Возврат",0,IF(U234="Полупроигрыш",-0.5,IF(U234="Поражение",-1,"Проверить результат")))))))</x:f>
      </x:c>
      <x:c r="W234" s="80" t="str">
        <x:f>IF(A234="","",IF(U234="","Открыт",IF(ISNUMBER(V234),"Рассчитан","Проверить результат")))</x:f>
      </x:c>
      <x:c r="X234" s="98"/>
      <x:c r="Y234" s="5"/>
      <x:c r="Z234" s="5"/>
      <x:c r="AA234" s="5"/>
      <x:c r="AB234" s="118"/>
      <x:c r="AC234" s="119"/>
      <x:c r="AD234" s="119"/>
      <x:c r="AE234" s="5" t="str">
        <x:f>IF(A234="","",IF(Z234="","Нет ID пары",IF(AND(COUNTIFS($Z$59:$Z$505,Z234,$Y$59:$Y$505,"Оптимальный",$W$59:$W$505,"Рассчитан")=1,COUNTIFS($Z$59:$Z$505,Z234,$Y$59:$Y$505,"Агрессивный",$W$59:$W$505,"Рассчитан")=1),"Да","Нет")))</x:f>
      </x:c>
      <x:c r="AF234" s="5"/>
      <x:c r="AG234" s="5"/>
    </x:row>
    <x:row r="235">
      <x:c r="A235" s="80"/>
      <x:c r="B235" s="80"/>
      <x:c r="C235" s="83"/>
      <x:c r="D235" s="80"/>
      <x:c r="E235" s="80"/>
      <x:c r="F235" s="86"/>
      <x:c r="G235" s="80"/>
      <x:c r="H235" s="95"/>
      <x:c r="I235" s="95"/>
      <x:c r="J235" s="96"/>
      <x:c r="K235" s="97"/>
      <x:c r="L235" s="98"/>
      <x:c r="M235" s="98"/>
      <x:c r="N235" s="98"/>
      <x:c r="O235" s="98"/>
      <x:c r="P235" s="98"/>
      <x:c r="Q235" s="80"/>
      <x:c r="R235" s="80"/>
      <x:c r="S235" s="80"/>
      <x:c r="T235" s="80"/>
      <x:c r="U235" s="80"/>
      <x:c r="V235" s="89" t="str">
        <x:f>IF(A235="","",IF(U235="","",IF(U235="Выигрыш",J235-1,IF(U235="Полувыигрыш",(J235-1)/2,IF(U235="Возврат",0,IF(U235="Полупроигрыш",-0.5,IF(U235="Поражение",-1,"Проверить результат")))))))</x:f>
      </x:c>
      <x:c r="W235" s="80" t="str">
        <x:f>IF(A235="","",IF(U235="","Открыт",IF(ISNUMBER(V235),"Рассчитан","Проверить результат")))</x:f>
      </x:c>
      <x:c r="X235" s="98"/>
      <x:c r="Y235" s="5"/>
      <x:c r="Z235" s="5"/>
      <x:c r="AA235" s="5"/>
      <x:c r="AB235" s="118"/>
      <x:c r="AC235" s="119"/>
      <x:c r="AD235" s="119"/>
      <x:c r="AE235" s="5" t="str">
        <x:f>IF(A235="","",IF(Z235="","Нет ID пары",IF(AND(COUNTIFS($Z$59:$Z$505,Z235,$Y$59:$Y$505,"Оптимальный",$W$59:$W$505,"Рассчитан")=1,COUNTIFS($Z$59:$Z$505,Z235,$Y$59:$Y$505,"Агрессивный",$W$59:$W$505,"Рассчитан")=1),"Да","Нет")))</x:f>
      </x:c>
      <x:c r="AF235" s="5"/>
      <x:c r="AG235" s="5"/>
    </x:row>
    <x:row r="236">
      <x:c r="A236" s="80"/>
      <x:c r="B236" s="80"/>
      <x:c r="C236" s="83"/>
      <x:c r="D236" s="80"/>
      <x:c r="E236" s="80"/>
      <x:c r="F236" s="86"/>
      <x:c r="G236" s="80"/>
      <x:c r="H236" s="95"/>
      <x:c r="I236" s="95"/>
      <x:c r="J236" s="96"/>
      <x:c r="K236" s="97"/>
      <x:c r="L236" s="98"/>
      <x:c r="M236" s="98"/>
      <x:c r="N236" s="98"/>
      <x:c r="O236" s="98"/>
      <x:c r="P236" s="98"/>
      <x:c r="Q236" s="80"/>
      <x:c r="R236" s="80"/>
      <x:c r="S236" s="80"/>
      <x:c r="T236" s="80"/>
      <x:c r="U236" s="80"/>
      <x:c r="V236" s="89" t="str">
        <x:f>IF(A236="","",IF(U236="","",IF(U236="Выигрыш",J236-1,IF(U236="Полувыигрыш",(J236-1)/2,IF(U236="Возврат",0,IF(U236="Полупроигрыш",-0.5,IF(U236="Поражение",-1,"Проверить результат")))))))</x:f>
      </x:c>
      <x:c r="W236" s="80" t="str">
        <x:f>IF(A236="","",IF(U236="","Открыт",IF(ISNUMBER(V236),"Рассчитан","Проверить результат")))</x:f>
      </x:c>
      <x:c r="X236" s="98"/>
      <x:c r="Y236" s="5"/>
      <x:c r="Z236" s="5"/>
      <x:c r="AA236" s="5"/>
      <x:c r="AB236" s="118"/>
      <x:c r="AC236" s="119"/>
      <x:c r="AD236" s="119"/>
      <x:c r="AE236" s="5" t="str">
        <x:f>IF(A236="","",IF(Z236="","Нет ID пары",IF(AND(COUNTIFS($Z$59:$Z$505,Z236,$Y$59:$Y$505,"Оптимальный",$W$59:$W$505,"Рассчитан")=1,COUNTIFS($Z$59:$Z$505,Z236,$Y$59:$Y$505,"Агрессивный",$W$59:$W$505,"Рассчитан")=1),"Да","Нет")))</x:f>
      </x:c>
      <x:c r="AF236" s="5"/>
      <x:c r="AG236" s="5"/>
    </x:row>
    <x:row r="237">
      <x:c r="A237" s="80"/>
      <x:c r="B237" s="80"/>
      <x:c r="C237" s="83"/>
      <x:c r="D237" s="80"/>
      <x:c r="E237" s="80"/>
      <x:c r="F237" s="86"/>
      <x:c r="G237" s="80"/>
      <x:c r="H237" s="95"/>
      <x:c r="I237" s="95"/>
      <x:c r="J237" s="96"/>
      <x:c r="K237" s="97"/>
      <x:c r="L237" s="98"/>
      <x:c r="M237" s="98"/>
      <x:c r="N237" s="98"/>
      <x:c r="O237" s="98"/>
      <x:c r="P237" s="98"/>
      <x:c r="Q237" s="80"/>
      <x:c r="R237" s="80"/>
      <x:c r="S237" s="80"/>
      <x:c r="T237" s="80"/>
      <x:c r="U237" s="80"/>
      <x:c r="V237" s="89" t="str">
        <x:f>IF(A237="","",IF(U237="","",IF(U237="Выигрыш",J237-1,IF(U237="Полувыигрыш",(J237-1)/2,IF(U237="Возврат",0,IF(U237="Полупроигрыш",-0.5,IF(U237="Поражение",-1,"Проверить результат")))))))</x:f>
      </x:c>
      <x:c r="W237" s="80" t="str">
        <x:f>IF(A237="","",IF(U237="","Открыт",IF(ISNUMBER(V237),"Рассчитан","Проверить результат")))</x:f>
      </x:c>
      <x:c r="X237" s="98"/>
      <x:c r="Y237" s="5"/>
      <x:c r="Z237" s="5"/>
      <x:c r="AA237" s="5"/>
      <x:c r="AB237" s="118"/>
      <x:c r="AC237" s="119"/>
      <x:c r="AD237" s="119"/>
      <x:c r="AE237" s="5" t="str">
        <x:f>IF(A237="","",IF(Z237="","Нет ID пары",IF(AND(COUNTIFS($Z$59:$Z$505,Z237,$Y$59:$Y$505,"Оптимальный",$W$59:$W$505,"Рассчитан")=1,COUNTIFS($Z$59:$Z$505,Z237,$Y$59:$Y$505,"Агрессивный",$W$59:$W$505,"Рассчитан")=1),"Да","Нет")))</x:f>
      </x:c>
      <x:c r="AF237" s="5"/>
      <x:c r="AG237" s="5"/>
    </x:row>
    <x:row r="238">
      <x:c r="A238" s="80"/>
      <x:c r="B238" s="80"/>
      <x:c r="C238" s="83"/>
      <x:c r="D238" s="80"/>
      <x:c r="E238" s="80"/>
      <x:c r="F238" s="86"/>
      <x:c r="G238" s="80"/>
      <x:c r="H238" s="95"/>
      <x:c r="I238" s="95"/>
      <x:c r="J238" s="96"/>
      <x:c r="K238" s="97"/>
      <x:c r="L238" s="98"/>
      <x:c r="M238" s="98"/>
      <x:c r="N238" s="98"/>
      <x:c r="O238" s="98"/>
      <x:c r="P238" s="98"/>
      <x:c r="Q238" s="80"/>
      <x:c r="R238" s="80"/>
      <x:c r="S238" s="80"/>
      <x:c r="T238" s="80"/>
      <x:c r="U238" s="80"/>
      <x:c r="V238" s="89" t="str">
        <x:f>IF(A238="","",IF(U238="","",IF(U238="Выигрыш",J238-1,IF(U238="Полувыигрыш",(J238-1)/2,IF(U238="Возврат",0,IF(U238="Полупроигрыш",-0.5,IF(U238="Поражение",-1,"Проверить результат")))))))</x:f>
      </x:c>
      <x:c r="W238" s="80" t="str">
        <x:f>IF(A238="","",IF(U238="","Открыт",IF(ISNUMBER(V238),"Рассчитан","Проверить результат")))</x:f>
      </x:c>
      <x:c r="X238" s="98"/>
      <x:c r="Y238" s="5"/>
      <x:c r="Z238" s="5"/>
      <x:c r="AA238" s="5"/>
      <x:c r="AB238" s="118"/>
      <x:c r="AC238" s="119"/>
      <x:c r="AD238" s="119"/>
      <x:c r="AE238" s="5" t="str">
        <x:f>IF(A238="","",IF(Z238="","Нет ID пары",IF(AND(COUNTIFS($Z$59:$Z$505,Z238,$Y$59:$Y$505,"Оптимальный",$W$59:$W$505,"Рассчитан")=1,COUNTIFS($Z$59:$Z$505,Z238,$Y$59:$Y$505,"Агрессивный",$W$59:$W$505,"Рассчитан")=1),"Да","Нет")))</x:f>
      </x:c>
      <x:c r="AF238" s="5"/>
      <x:c r="AG238" s="5"/>
    </x:row>
    <x:row r="239">
      <x:c r="A239" s="80"/>
      <x:c r="B239" s="80"/>
      <x:c r="C239" s="83"/>
      <x:c r="D239" s="80"/>
      <x:c r="E239" s="80"/>
      <x:c r="F239" s="86"/>
      <x:c r="G239" s="80"/>
      <x:c r="H239" s="95"/>
      <x:c r="I239" s="95"/>
      <x:c r="J239" s="96"/>
      <x:c r="K239" s="97"/>
      <x:c r="L239" s="98"/>
      <x:c r="M239" s="98"/>
      <x:c r="N239" s="98"/>
      <x:c r="O239" s="98"/>
      <x:c r="P239" s="98"/>
      <x:c r="Q239" s="80"/>
      <x:c r="R239" s="80"/>
      <x:c r="S239" s="80"/>
      <x:c r="T239" s="80"/>
      <x:c r="U239" s="80"/>
      <x:c r="V239" s="89" t="str">
        <x:f>IF(A239="","",IF(U239="","",IF(U239="Выигрыш",J239-1,IF(U239="Полувыигрыш",(J239-1)/2,IF(U239="Возврат",0,IF(U239="Полупроигрыш",-0.5,IF(U239="Поражение",-1,"Проверить результат")))))))</x:f>
      </x:c>
      <x:c r="W239" s="80" t="str">
        <x:f>IF(A239="","",IF(U239="","Открыт",IF(ISNUMBER(V239),"Рассчитан","Проверить результат")))</x:f>
      </x:c>
      <x:c r="X239" s="98"/>
      <x:c r="Y239" s="5"/>
      <x:c r="Z239" s="5"/>
      <x:c r="AA239" s="5"/>
      <x:c r="AB239" s="118"/>
      <x:c r="AC239" s="119"/>
      <x:c r="AD239" s="119"/>
      <x:c r="AE239" s="5" t="str">
        <x:f>IF(A239="","",IF(Z239="","Нет ID пары",IF(AND(COUNTIFS($Z$59:$Z$505,Z239,$Y$59:$Y$505,"Оптимальный",$W$59:$W$505,"Рассчитан")=1,COUNTIFS($Z$59:$Z$505,Z239,$Y$59:$Y$505,"Агрессивный",$W$59:$W$505,"Рассчитан")=1),"Да","Нет")))</x:f>
      </x:c>
      <x:c r="AF239" s="5"/>
      <x:c r="AG239" s="5"/>
    </x:row>
    <x:row r="240">
      <x:c r="A240" s="80"/>
      <x:c r="B240" s="80"/>
      <x:c r="C240" s="83"/>
      <x:c r="D240" s="80"/>
      <x:c r="E240" s="80"/>
      <x:c r="F240" s="86"/>
      <x:c r="G240" s="80"/>
      <x:c r="H240" s="95"/>
      <x:c r="I240" s="95"/>
      <x:c r="J240" s="96"/>
      <x:c r="K240" s="97"/>
      <x:c r="L240" s="98"/>
      <x:c r="M240" s="98"/>
      <x:c r="N240" s="98"/>
      <x:c r="O240" s="98"/>
      <x:c r="P240" s="98"/>
      <x:c r="Q240" s="80"/>
      <x:c r="R240" s="80"/>
      <x:c r="S240" s="80"/>
      <x:c r="T240" s="80"/>
      <x:c r="U240" s="80"/>
      <x:c r="V240" s="89" t="str">
        <x:f>IF(A240="","",IF(U240="","",IF(U240="Выигрыш",J240-1,IF(U240="Полувыигрыш",(J240-1)/2,IF(U240="Возврат",0,IF(U240="Полупроигрыш",-0.5,IF(U240="Поражение",-1,"Проверить результат")))))))</x:f>
      </x:c>
      <x:c r="W240" s="80" t="str">
        <x:f>IF(A240="","",IF(U240="","Открыт",IF(ISNUMBER(V240),"Рассчитан","Проверить результат")))</x:f>
      </x:c>
      <x:c r="X240" s="98"/>
      <x:c r="Y240" s="5"/>
      <x:c r="Z240" s="5"/>
      <x:c r="AA240" s="5"/>
      <x:c r="AB240" s="118"/>
      <x:c r="AC240" s="119"/>
      <x:c r="AD240" s="119"/>
      <x:c r="AE240" s="5" t="str">
        <x:f>IF(A240="","",IF(Z240="","Нет ID пары",IF(AND(COUNTIFS($Z$59:$Z$505,Z240,$Y$59:$Y$505,"Оптимальный",$W$59:$W$505,"Рассчитан")=1,COUNTIFS($Z$59:$Z$505,Z240,$Y$59:$Y$505,"Агрессивный",$W$59:$W$505,"Рассчитан")=1),"Да","Нет")))</x:f>
      </x:c>
      <x:c r="AF240" s="5"/>
      <x:c r="AG240" s="5"/>
    </x:row>
    <x:row r="241">
      <x:c r="A241" s="80"/>
      <x:c r="B241" s="80"/>
      <x:c r="C241" s="83"/>
      <x:c r="D241" s="80"/>
      <x:c r="E241" s="80"/>
      <x:c r="F241" s="86"/>
      <x:c r="G241" s="80"/>
      <x:c r="H241" s="95"/>
      <x:c r="I241" s="95"/>
      <x:c r="J241" s="96"/>
      <x:c r="K241" s="97"/>
      <x:c r="L241" s="98"/>
      <x:c r="M241" s="98"/>
      <x:c r="N241" s="98"/>
      <x:c r="O241" s="98"/>
      <x:c r="P241" s="98"/>
      <x:c r="Q241" s="80"/>
      <x:c r="R241" s="80"/>
      <x:c r="S241" s="80"/>
      <x:c r="T241" s="80"/>
      <x:c r="U241" s="80"/>
      <x:c r="V241" s="89" t="str">
        <x:f>IF(A241="","",IF(U241="","",IF(U241="Выигрыш",J241-1,IF(U241="Полувыигрыш",(J241-1)/2,IF(U241="Возврат",0,IF(U241="Полупроигрыш",-0.5,IF(U241="Поражение",-1,"Проверить результат")))))))</x:f>
      </x:c>
      <x:c r="W241" s="80" t="str">
        <x:f>IF(A241="","",IF(U241="","Открыт",IF(ISNUMBER(V241),"Рассчитан","Проверить результат")))</x:f>
      </x:c>
      <x:c r="X241" s="98"/>
      <x:c r="Y241" s="5"/>
      <x:c r="Z241" s="5"/>
      <x:c r="AA241" s="5"/>
      <x:c r="AB241" s="118"/>
      <x:c r="AC241" s="119"/>
      <x:c r="AD241" s="119"/>
      <x:c r="AE241" s="5" t="str">
        <x:f>IF(A241="","",IF(Z241="","Нет ID пары",IF(AND(COUNTIFS($Z$59:$Z$505,Z241,$Y$59:$Y$505,"Оптимальный",$W$59:$W$505,"Рассчитан")=1,COUNTIFS($Z$59:$Z$505,Z241,$Y$59:$Y$505,"Агрессивный",$W$59:$W$505,"Рассчитан")=1),"Да","Нет")))</x:f>
      </x:c>
      <x:c r="AF241" s="5"/>
      <x:c r="AG241" s="5"/>
    </x:row>
    <x:row r="242">
      <x:c r="A242" s="80"/>
      <x:c r="B242" s="80"/>
      <x:c r="C242" s="83"/>
      <x:c r="D242" s="80"/>
      <x:c r="E242" s="80"/>
      <x:c r="F242" s="86"/>
      <x:c r="G242" s="80"/>
      <x:c r="H242" s="95"/>
      <x:c r="I242" s="95"/>
      <x:c r="J242" s="96"/>
      <x:c r="K242" s="97"/>
      <x:c r="L242" s="98"/>
      <x:c r="M242" s="98"/>
      <x:c r="N242" s="98"/>
      <x:c r="O242" s="98"/>
      <x:c r="P242" s="98"/>
      <x:c r="Q242" s="80"/>
      <x:c r="R242" s="80"/>
      <x:c r="S242" s="80"/>
      <x:c r="T242" s="80"/>
      <x:c r="U242" s="80"/>
      <x:c r="V242" s="89" t="str">
        <x:f>IF(A242="","",IF(U242="","",IF(U242="Выигрыш",J242-1,IF(U242="Полувыигрыш",(J242-1)/2,IF(U242="Возврат",0,IF(U242="Полупроигрыш",-0.5,IF(U242="Поражение",-1,"Проверить результат")))))))</x:f>
      </x:c>
      <x:c r="W242" s="80" t="str">
        <x:f>IF(A242="","",IF(U242="","Открыт",IF(ISNUMBER(V242),"Рассчитан","Проверить результат")))</x:f>
      </x:c>
      <x:c r="X242" s="98"/>
      <x:c r="Y242" s="5"/>
      <x:c r="Z242" s="5"/>
      <x:c r="AA242" s="5"/>
      <x:c r="AB242" s="118"/>
      <x:c r="AC242" s="119"/>
      <x:c r="AD242" s="119"/>
      <x:c r="AE242" s="5" t="str">
        <x:f>IF(A242="","",IF(Z242="","Нет ID пары",IF(AND(COUNTIFS($Z$59:$Z$505,Z242,$Y$59:$Y$505,"Оптимальный",$W$59:$W$505,"Рассчитан")=1,COUNTIFS($Z$59:$Z$505,Z242,$Y$59:$Y$505,"Агрессивный",$W$59:$W$505,"Рассчитан")=1),"Да","Нет")))</x:f>
      </x:c>
      <x:c r="AF242" s="5"/>
      <x:c r="AG242" s="5"/>
    </x:row>
    <x:row r="243">
      <x:c r="A243" s="80"/>
      <x:c r="B243" s="80"/>
      <x:c r="C243" s="83"/>
      <x:c r="D243" s="80"/>
      <x:c r="E243" s="80"/>
      <x:c r="F243" s="86"/>
      <x:c r="G243" s="80"/>
      <x:c r="H243" s="95"/>
      <x:c r="I243" s="95"/>
      <x:c r="J243" s="96"/>
      <x:c r="K243" s="97"/>
      <x:c r="L243" s="98"/>
      <x:c r="M243" s="98"/>
      <x:c r="N243" s="98"/>
      <x:c r="O243" s="98"/>
      <x:c r="P243" s="98"/>
      <x:c r="Q243" s="80"/>
      <x:c r="R243" s="80"/>
      <x:c r="S243" s="80"/>
      <x:c r="T243" s="80"/>
      <x:c r="U243" s="80"/>
      <x:c r="V243" s="89" t="str">
        <x:f>IF(A243="","",IF(U243="","",IF(U243="Выигрыш",J243-1,IF(U243="Полувыигрыш",(J243-1)/2,IF(U243="Возврат",0,IF(U243="Полупроигрыш",-0.5,IF(U243="Поражение",-1,"Проверить результат")))))))</x:f>
      </x:c>
      <x:c r="W243" s="80" t="str">
        <x:f>IF(A243="","",IF(U243="","Открыт",IF(ISNUMBER(V243),"Рассчитан","Проверить результат")))</x:f>
      </x:c>
      <x:c r="X243" s="98"/>
      <x:c r="Y243" s="5"/>
      <x:c r="Z243" s="5"/>
      <x:c r="AA243" s="5"/>
      <x:c r="AB243" s="118"/>
      <x:c r="AC243" s="119"/>
      <x:c r="AD243" s="119"/>
      <x:c r="AE243" s="5" t="str">
        <x:f>IF(A243="","",IF(Z243="","Нет ID пары",IF(AND(COUNTIFS($Z$59:$Z$505,Z243,$Y$59:$Y$505,"Оптимальный",$W$59:$W$505,"Рассчитан")=1,COUNTIFS($Z$59:$Z$505,Z243,$Y$59:$Y$505,"Агрессивный",$W$59:$W$505,"Рассчитан")=1),"Да","Нет")))</x:f>
      </x:c>
      <x:c r="AF243" s="5"/>
      <x:c r="AG243" s="5"/>
    </x:row>
    <x:row r="244">
      <x:c r="A244" s="80"/>
      <x:c r="B244" s="80"/>
      <x:c r="C244" s="83"/>
      <x:c r="D244" s="80"/>
      <x:c r="E244" s="80"/>
      <x:c r="F244" s="86"/>
      <x:c r="G244" s="80"/>
      <x:c r="H244" s="95"/>
      <x:c r="I244" s="95"/>
      <x:c r="J244" s="96"/>
      <x:c r="K244" s="97"/>
      <x:c r="L244" s="98"/>
      <x:c r="M244" s="98"/>
      <x:c r="N244" s="98"/>
      <x:c r="O244" s="98"/>
      <x:c r="P244" s="98"/>
      <x:c r="Q244" s="80"/>
      <x:c r="R244" s="80"/>
      <x:c r="S244" s="80"/>
      <x:c r="T244" s="80"/>
      <x:c r="U244" s="80"/>
      <x:c r="V244" s="89" t="str">
        <x:f>IF(A244="","",IF(U244="","",IF(U244="Выигрыш",J244-1,IF(U244="Полувыигрыш",(J244-1)/2,IF(U244="Возврат",0,IF(U244="Полупроигрыш",-0.5,IF(U244="Поражение",-1,"Проверить результат")))))))</x:f>
      </x:c>
      <x:c r="W244" s="80" t="str">
        <x:f>IF(A244="","",IF(U244="","Открыт",IF(ISNUMBER(V244),"Рассчитан","Проверить результат")))</x:f>
      </x:c>
      <x:c r="X244" s="98"/>
      <x:c r="Y244" s="5"/>
      <x:c r="Z244" s="5"/>
      <x:c r="AA244" s="5"/>
      <x:c r="AB244" s="118"/>
      <x:c r="AC244" s="119"/>
      <x:c r="AD244" s="119"/>
      <x:c r="AE244" s="5" t="str">
        <x:f>IF(A244="","",IF(Z244="","Нет ID пары",IF(AND(COUNTIFS($Z$59:$Z$505,Z244,$Y$59:$Y$505,"Оптимальный",$W$59:$W$505,"Рассчитан")=1,COUNTIFS($Z$59:$Z$505,Z244,$Y$59:$Y$505,"Агрессивный",$W$59:$W$505,"Рассчитан")=1),"Да","Нет")))</x:f>
      </x:c>
      <x:c r="AF244" s="5"/>
      <x:c r="AG244" s="5"/>
    </x:row>
    <x:row r="245">
      <x:c r="A245" s="80"/>
      <x:c r="B245" s="80"/>
      <x:c r="C245" s="83"/>
      <x:c r="D245" s="80"/>
      <x:c r="E245" s="80"/>
      <x:c r="F245" s="86"/>
      <x:c r="G245" s="80"/>
      <x:c r="H245" s="95"/>
      <x:c r="I245" s="95"/>
      <x:c r="J245" s="96"/>
      <x:c r="K245" s="97"/>
      <x:c r="L245" s="98"/>
      <x:c r="M245" s="98"/>
      <x:c r="N245" s="98"/>
      <x:c r="O245" s="98"/>
      <x:c r="P245" s="98"/>
      <x:c r="Q245" s="80"/>
      <x:c r="R245" s="80"/>
      <x:c r="S245" s="80"/>
      <x:c r="T245" s="80"/>
      <x:c r="U245" s="80"/>
      <x:c r="V245" s="89" t="str">
        <x:f>IF(A245="","",IF(U245="","",IF(U245="Выигрыш",J245-1,IF(U245="Полувыигрыш",(J245-1)/2,IF(U245="Возврат",0,IF(U245="Полупроигрыш",-0.5,IF(U245="Поражение",-1,"Проверить результат")))))))</x:f>
      </x:c>
      <x:c r="W245" s="80" t="str">
        <x:f>IF(A245="","",IF(U245="","Открыт",IF(ISNUMBER(V245),"Рассчитан","Проверить результат")))</x:f>
      </x:c>
      <x:c r="X245" s="98"/>
      <x:c r="Y245" s="5"/>
      <x:c r="Z245" s="5"/>
      <x:c r="AA245" s="5"/>
      <x:c r="AB245" s="118"/>
      <x:c r="AC245" s="119"/>
      <x:c r="AD245" s="119"/>
      <x:c r="AE245" s="5" t="str">
        <x:f>IF(A245="","",IF(Z245="","Нет ID пары",IF(AND(COUNTIFS($Z$59:$Z$505,Z245,$Y$59:$Y$505,"Оптимальный",$W$59:$W$505,"Рассчитан")=1,COUNTIFS($Z$59:$Z$505,Z245,$Y$59:$Y$505,"Агрессивный",$W$59:$W$505,"Рассчитан")=1),"Да","Нет")))</x:f>
      </x:c>
      <x:c r="AF245" s="5"/>
      <x:c r="AG245" s="5"/>
    </x:row>
    <x:row r="246">
      <x:c r="A246" s="80"/>
      <x:c r="B246" s="80"/>
      <x:c r="C246" s="83"/>
      <x:c r="D246" s="80"/>
      <x:c r="E246" s="80"/>
      <x:c r="F246" s="86"/>
      <x:c r="G246" s="80"/>
      <x:c r="H246" s="95"/>
      <x:c r="I246" s="95"/>
      <x:c r="J246" s="96"/>
      <x:c r="K246" s="97"/>
      <x:c r="L246" s="98"/>
      <x:c r="M246" s="98"/>
      <x:c r="N246" s="98"/>
      <x:c r="O246" s="98"/>
      <x:c r="P246" s="98"/>
      <x:c r="Q246" s="80"/>
      <x:c r="R246" s="80"/>
      <x:c r="S246" s="80"/>
      <x:c r="T246" s="80"/>
      <x:c r="U246" s="80"/>
      <x:c r="V246" s="89" t="str">
        <x:f>IF(A246="","",IF(U246="","",IF(U246="Выигрыш",J246-1,IF(U246="Полувыигрыш",(J246-1)/2,IF(U246="Возврат",0,IF(U246="Полупроигрыш",-0.5,IF(U246="Поражение",-1,"Проверить результат")))))))</x:f>
      </x:c>
      <x:c r="W246" s="80" t="str">
        <x:f>IF(A246="","",IF(U246="","Открыт",IF(ISNUMBER(V246),"Рассчитан","Проверить результат")))</x:f>
      </x:c>
      <x:c r="X246" s="98"/>
      <x:c r="Y246" s="5"/>
      <x:c r="Z246" s="5"/>
      <x:c r="AA246" s="5"/>
      <x:c r="AB246" s="118"/>
      <x:c r="AC246" s="119"/>
      <x:c r="AD246" s="119"/>
      <x:c r="AE246" s="5" t="str">
        <x:f>IF(A246="","",IF(Z246="","Нет ID пары",IF(AND(COUNTIFS($Z$59:$Z$505,Z246,$Y$59:$Y$505,"Оптимальный",$W$59:$W$505,"Рассчитан")=1,COUNTIFS($Z$59:$Z$505,Z246,$Y$59:$Y$505,"Агрессивный",$W$59:$W$505,"Рассчитан")=1),"Да","Нет")))</x:f>
      </x:c>
      <x:c r="AF246" s="5"/>
      <x:c r="AG246" s="5"/>
    </x:row>
    <x:row r="247">
      <x:c r="A247" s="80"/>
      <x:c r="B247" s="80"/>
      <x:c r="C247" s="83"/>
      <x:c r="D247" s="80"/>
      <x:c r="E247" s="80"/>
      <x:c r="F247" s="86"/>
      <x:c r="G247" s="80"/>
      <x:c r="H247" s="95"/>
      <x:c r="I247" s="95"/>
      <x:c r="J247" s="96"/>
      <x:c r="K247" s="97"/>
      <x:c r="L247" s="98"/>
      <x:c r="M247" s="98"/>
      <x:c r="N247" s="98"/>
      <x:c r="O247" s="98"/>
      <x:c r="P247" s="98"/>
      <x:c r="Q247" s="80"/>
      <x:c r="R247" s="80"/>
      <x:c r="S247" s="80"/>
      <x:c r="T247" s="80"/>
      <x:c r="U247" s="80"/>
      <x:c r="V247" s="89" t="str">
        <x:f>IF(A247="","",IF(U247="","",IF(U247="Выигрыш",J247-1,IF(U247="Полувыигрыш",(J247-1)/2,IF(U247="Возврат",0,IF(U247="Полупроигрыш",-0.5,IF(U247="Поражение",-1,"Проверить результат")))))))</x:f>
      </x:c>
      <x:c r="W247" s="80" t="str">
        <x:f>IF(A247="","",IF(U247="","Открыт",IF(ISNUMBER(V247),"Рассчитан","Проверить результат")))</x:f>
      </x:c>
      <x:c r="X247" s="98"/>
      <x:c r="Y247" s="5"/>
      <x:c r="Z247" s="5"/>
      <x:c r="AA247" s="5"/>
      <x:c r="AB247" s="118"/>
      <x:c r="AC247" s="119"/>
      <x:c r="AD247" s="119"/>
      <x:c r="AE247" s="5" t="str">
        <x:f>IF(A247="","",IF(Z247="","Нет ID пары",IF(AND(COUNTIFS($Z$59:$Z$505,Z247,$Y$59:$Y$505,"Оптимальный",$W$59:$W$505,"Рассчитан")=1,COUNTIFS($Z$59:$Z$505,Z247,$Y$59:$Y$505,"Агрессивный",$W$59:$W$505,"Рассчитан")=1),"Да","Нет")))</x:f>
      </x:c>
      <x:c r="AF247" s="5"/>
      <x:c r="AG247" s="5"/>
    </x:row>
    <x:row r="248">
      <x:c r="A248" s="80"/>
      <x:c r="B248" s="80"/>
      <x:c r="C248" s="83"/>
      <x:c r="D248" s="80"/>
      <x:c r="E248" s="80"/>
      <x:c r="F248" s="86"/>
      <x:c r="G248" s="80"/>
      <x:c r="H248" s="95"/>
      <x:c r="I248" s="95"/>
      <x:c r="J248" s="96"/>
      <x:c r="K248" s="97"/>
      <x:c r="L248" s="98"/>
      <x:c r="M248" s="98"/>
      <x:c r="N248" s="98"/>
      <x:c r="O248" s="98"/>
      <x:c r="P248" s="98"/>
      <x:c r="Q248" s="80"/>
      <x:c r="R248" s="80"/>
      <x:c r="S248" s="80"/>
      <x:c r="T248" s="80"/>
      <x:c r="U248" s="80"/>
      <x:c r="V248" s="89" t="str">
        <x:f>IF(A248="","",IF(U248="","",IF(U248="Выигрыш",J248-1,IF(U248="Полувыигрыш",(J248-1)/2,IF(U248="Возврат",0,IF(U248="Полупроигрыш",-0.5,IF(U248="Поражение",-1,"Проверить результат")))))))</x:f>
      </x:c>
      <x:c r="W248" s="80" t="str">
        <x:f>IF(A248="","",IF(U248="","Открыт",IF(ISNUMBER(V248),"Рассчитан","Проверить результат")))</x:f>
      </x:c>
      <x:c r="X248" s="98"/>
      <x:c r="Y248" s="5"/>
      <x:c r="Z248" s="5"/>
      <x:c r="AA248" s="5"/>
      <x:c r="AB248" s="118"/>
      <x:c r="AC248" s="119"/>
      <x:c r="AD248" s="119"/>
      <x:c r="AE248" s="5" t="str">
        <x:f>IF(A248="","",IF(Z248="","Нет ID пары",IF(AND(COUNTIFS($Z$59:$Z$505,Z248,$Y$59:$Y$505,"Оптимальный",$W$59:$W$505,"Рассчитан")=1,COUNTIFS($Z$59:$Z$505,Z248,$Y$59:$Y$505,"Агрессивный",$W$59:$W$505,"Рассчитан")=1),"Да","Нет")))</x:f>
      </x:c>
      <x:c r="AF248" s="5"/>
      <x:c r="AG248" s="5"/>
    </x:row>
    <x:row r="249">
      <x:c r="A249" s="80"/>
      <x:c r="B249" s="80"/>
      <x:c r="C249" s="83"/>
      <x:c r="D249" s="80"/>
      <x:c r="E249" s="80"/>
      <x:c r="F249" s="86"/>
      <x:c r="G249" s="80"/>
      <x:c r="H249" s="95"/>
      <x:c r="I249" s="95"/>
      <x:c r="J249" s="96"/>
      <x:c r="K249" s="97"/>
      <x:c r="L249" s="98"/>
      <x:c r="M249" s="98"/>
      <x:c r="N249" s="98"/>
      <x:c r="O249" s="98"/>
      <x:c r="P249" s="98"/>
      <x:c r="Q249" s="80"/>
      <x:c r="R249" s="80"/>
      <x:c r="S249" s="80"/>
      <x:c r="T249" s="80"/>
      <x:c r="U249" s="80"/>
      <x:c r="V249" s="89" t="str">
        <x:f>IF(A249="","",IF(U249="","",IF(U249="Выигрыш",J249-1,IF(U249="Полувыигрыш",(J249-1)/2,IF(U249="Возврат",0,IF(U249="Полупроигрыш",-0.5,IF(U249="Поражение",-1,"Проверить результат")))))))</x:f>
      </x:c>
      <x:c r="W249" s="80" t="str">
        <x:f>IF(A249="","",IF(U249="","Открыт",IF(ISNUMBER(V249),"Рассчитан","Проверить результат")))</x:f>
      </x:c>
      <x:c r="X249" s="98"/>
      <x:c r="Y249" s="5"/>
      <x:c r="Z249" s="5"/>
      <x:c r="AA249" s="5"/>
      <x:c r="AB249" s="118"/>
      <x:c r="AC249" s="119"/>
      <x:c r="AD249" s="119"/>
      <x:c r="AE249" s="5" t="str">
        <x:f>IF(A249="","",IF(Z249="","Нет ID пары",IF(AND(COUNTIFS($Z$59:$Z$505,Z249,$Y$59:$Y$505,"Оптимальный",$W$59:$W$505,"Рассчитан")=1,COUNTIFS($Z$59:$Z$505,Z249,$Y$59:$Y$505,"Агрессивный",$W$59:$W$505,"Рассчитан")=1),"Да","Нет")))</x:f>
      </x:c>
      <x:c r="AF249" s="5"/>
      <x:c r="AG249" s="5"/>
    </x:row>
    <x:row r="250">
      <x:c r="A250" s="80"/>
      <x:c r="B250" s="80"/>
      <x:c r="C250" s="83"/>
      <x:c r="D250" s="80"/>
      <x:c r="E250" s="80"/>
      <x:c r="F250" s="86"/>
      <x:c r="G250" s="80"/>
      <x:c r="H250" s="95"/>
      <x:c r="I250" s="95"/>
      <x:c r="J250" s="96"/>
      <x:c r="K250" s="97"/>
      <x:c r="L250" s="98"/>
      <x:c r="M250" s="98"/>
      <x:c r="N250" s="98"/>
      <x:c r="O250" s="98"/>
      <x:c r="P250" s="98"/>
      <x:c r="Q250" s="80"/>
      <x:c r="R250" s="80"/>
      <x:c r="S250" s="80"/>
      <x:c r="T250" s="80"/>
      <x:c r="U250" s="80"/>
      <x:c r="V250" s="89" t="str">
        <x:f>IF(A250="","",IF(U250="","",IF(U250="Выигрыш",J250-1,IF(U250="Полувыигрыш",(J250-1)/2,IF(U250="Возврат",0,IF(U250="Полупроигрыш",-0.5,IF(U250="Поражение",-1,"Проверить результат")))))))</x:f>
      </x:c>
      <x:c r="W250" s="80" t="str">
        <x:f>IF(A250="","",IF(U250="","Открыт",IF(ISNUMBER(V250),"Рассчитан","Проверить результат")))</x:f>
      </x:c>
      <x:c r="X250" s="98"/>
      <x:c r="Y250" s="5"/>
      <x:c r="Z250" s="5"/>
      <x:c r="AA250" s="5"/>
      <x:c r="AB250" s="118"/>
      <x:c r="AC250" s="119"/>
      <x:c r="AD250" s="119"/>
      <x:c r="AE250" s="5" t="str">
        <x:f>IF(A250="","",IF(Z250="","Нет ID пары",IF(AND(COUNTIFS($Z$59:$Z$505,Z250,$Y$59:$Y$505,"Оптимальный",$W$59:$W$505,"Рассчитан")=1,COUNTIFS($Z$59:$Z$505,Z250,$Y$59:$Y$505,"Агрессивный",$W$59:$W$505,"Рассчитан")=1),"Да","Нет")))</x:f>
      </x:c>
      <x:c r="AF250" s="5"/>
      <x:c r="AG250" s="5"/>
    </x:row>
    <x:row r="251">
      <x:c r="A251" s="80"/>
      <x:c r="B251" s="80"/>
      <x:c r="C251" s="83"/>
      <x:c r="D251" s="80"/>
      <x:c r="E251" s="80"/>
      <x:c r="F251" s="86"/>
      <x:c r="G251" s="80"/>
      <x:c r="H251" s="95"/>
      <x:c r="I251" s="95"/>
      <x:c r="J251" s="96"/>
      <x:c r="K251" s="97"/>
      <x:c r="L251" s="98"/>
      <x:c r="M251" s="98"/>
      <x:c r="N251" s="98"/>
      <x:c r="O251" s="98"/>
      <x:c r="P251" s="98"/>
      <x:c r="Q251" s="80"/>
      <x:c r="R251" s="80"/>
      <x:c r="S251" s="80"/>
      <x:c r="T251" s="80"/>
      <x:c r="U251" s="80"/>
      <x:c r="V251" s="89" t="str">
        <x:f>IF(A251="","",IF(U251="","",IF(U251="Выигрыш",J251-1,IF(U251="Полувыигрыш",(J251-1)/2,IF(U251="Возврат",0,IF(U251="Полупроигрыш",-0.5,IF(U251="Поражение",-1,"Проверить результат")))))))</x:f>
      </x:c>
      <x:c r="W251" s="80" t="str">
        <x:f>IF(A251="","",IF(U251="","Открыт",IF(ISNUMBER(V251),"Рассчитан","Проверить результат")))</x:f>
      </x:c>
      <x:c r="X251" s="98"/>
      <x:c r="Y251" s="5"/>
      <x:c r="Z251" s="5"/>
      <x:c r="AA251" s="5"/>
      <x:c r="AB251" s="118"/>
      <x:c r="AC251" s="119"/>
      <x:c r="AD251" s="119"/>
      <x:c r="AE251" s="5" t="str">
        <x:f>IF(A251="","",IF(Z251="","Нет ID пары",IF(AND(COUNTIFS($Z$59:$Z$505,Z251,$Y$59:$Y$505,"Оптимальный",$W$59:$W$505,"Рассчитан")=1,COUNTIFS($Z$59:$Z$505,Z251,$Y$59:$Y$505,"Агрессивный",$W$59:$W$505,"Рассчитан")=1),"Да","Нет")))</x:f>
      </x:c>
      <x:c r="AF251" s="5"/>
      <x:c r="AG251" s="5"/>
    </x:row>
    <x:row r="252">
      <x:c r="A252" s="80"/>
      <x:c r="B252" s="80"/>
      <x:c r="C252" s="83"/>
      <x:c r="D252" s="80"/>
      <x:c r="E252" s="80"/>
      <x:c r="F252" s="86"/>
      <x:c r="G252" s="80"/>
      <x:c r="H252" s="95"/>
      <x:c r="I252" s="95"/>
      <x:c r="J252" s="96"/>
      <x:c r="K252" s="97"/>
      <x:c r="L252" s="98"/>
      <x:c r="M252" s="98"/>
      <x:c r="N252" s="98"/>
      <x:c r="O252" s="98"/>
      <x:c r="P252" s="98"/>
      <x:c r="Q252" s="80"/>
      <x:c r="R252" s="80"/>
      <x:c r="S252" s="80"/>
      <x:c r="T252" s="80"/>
      <x:c r="U252" s="80"/>
      <x:c r="V252" s="89" t="str">
        <x:f>IF(A252="","",IF(U252="","",IF(U252="Выигрыш",J252-1,IF(U252="Полувыигрыш",(J252-1)/2,IF(U252="Возврат",0,IF(U252="Полупроигрыш",-0.5,IF(U252="Поражение",-1,"Проверить результат")))))))</x:f>
      </x:c>
      <x:c r="W252" s="80" t="str">
        <x:f>IF(A252="","",IF(U252="","Открыт",IF(ISNUMBER(V252),"Рассчитан","Проверить результат")))</x:f>
      </x:c>
      <x:c r="X252" s="98"/>
      <x:c r="Y252" s="5"/>
      <x:c r="Z252" s="5"/>
      <x:c r="AA252" s="5"/>
      <x:c r="AB252" s="118"/>
      <x:c r="AC252" s="119"/>
      <x:c r="AD252" s="119"/>
      <x:c r="AE252" s="5" t="str">
        <x:f>IF(A252="","",IF(Z252="","Нет ID пары",IF(AND(COUNTIFS($Z$59:$Z$505,Z252,$Y$59:$Y$505,"Оптимальный",$W$59:$W$505,"Рассчитан")=1,COUNTIFS($Z$59:$Z$505,Z252,$Y$59:$Y$505,"Агрессивный",$W$59:$W$505,"Рассчитан")=1),"Да","Нет")))</x:f>
      </x:c>
      <x:c r="AF252" s="5"/>
      <x:c r="AG252" s="5"/>
    </x:row>
    <x:row r="253">
      <x:c r="A253" s="80"/>
      <x:c r="B253" s="80"/>
      <x:c r="C253" s="83"/>
      <x:c r="D253" s="80"/>
      <x:c r="E253" s="80"/>
      <x:c r="F253" s="86"/>
      <x:c r="G253" s="80"/>
      <x:c r="H253" s="95"/>
      <x:c r="I253" s="95"/>
      <x:c r="J253" s="96"/>
      <x:c r="K253" s="97"/>
      <x:c r="L253" s="98"/>
      <x:c r="M253" s="98"/>
      <x:c r="N253" s="98"/>
      <x:c r="O253" s="98"/>
      <x:c r="P253" s="98"/>
      <x:c r="Q253" s="80"/>
      <x:c r="R253" s="80"/>
      <x:c r="S253" s="80"/>
      <x:c r="T253" s="80"/>
      <x:c r="U253" s="80"/>
      <x:c r="V253" s="89" t="str">
        <x:f>IF(A253="","",IF(U253="","",IF(U253="Выигрыш",J253-1,IF(U253="Полувыигрыш",(J253-1)/2,IF(U253="Возврат",0,IF(U253="Полупроигрыш",-0.5,IF(U253="Поражение",-1,"Проверить результат")))))))</x:f>
      </x:c>
      <x:c r="W253" s="80" t="str">
        <x:f>IF(A253="","",IF(U253="","Открыт",IF(ISNUMBER(V253),"Рассчитан","Проверить результат")))</x:f>
      </x:c>
      <x:c r="X253" s="98"/>
      <x:c r="Y253" s="5"/>
      <x:c r="Z253" s="5"/>
      <x:c r="AA253" s="5"/>
      <x:c r="AB253" s="118"/>
      <x:c r="AC253" s="119"/>
      <x:c r="AD253" s="119"/>
      <x:c r="AE253" s="5" t="str">
        <x:f>IF(A253="","",IF(Z253="","Нет ID пары",IF(AND(COUNTIFS($Z$59:$Z$505,Z253,$Y$59:$Y$505,"Оптимальный",$W$59:$W$505,"Рассчитан")=1,COUNTIFS($Z$59:$Z$505,Z253,$Y$59:$Y$505,"Агрессивный",$W$59:$W$505,"Рассчитан")=1),"Да","Нет")))</x:f>
      </x:c>
      <x:c r="AF253" s="5"/>
      <x:c r="AG253" s="5"/>
    </x:row>
    <x:row r="254">
      <x:c r="A254" s="80"/>
      <x:c r="B254" s="80"/>
      <x:c r="C254" s="83"/>
      <x:c r="D254" s="80"/>
      <x:c r="E254" s="80"/>
      <x:c r="F254" s="86"/>
      <x:c r="G254" s="80"/>
      <x:c r="H254" s="95"/>
      <x:c r="I254" s="95"/>
      <x:c r="J254" s="96"/>
      <x:c r="K254" s="97"/>
      <x:c r="L254" s="98"/>
      <x:c r="M254" s="98"/>
      <x:c r="N254" s="98"/>
      <x:c r="O254" s="98"/>
      <x:c r="P254" s="98"/>
      <x:c r="Q254" s="80"/>
      <x:c r="R254" s="80"/>
      <x:c r="S254" s="80"/>
      <x:c r="T254" s="80"/>
      <x:c r="U254" s="80"/>
      <x:c r="V254" s="89" t="str">
        <x:f>IF(A254="","",IF(U254="","",IF(U254="Выигрыш",J254-1,IF(U254="Полувыигрыш",(J254-1)/2,IF(U254="Возврат",0,IF(U254="Полупроигрыш",-0.5,IF(U254="Поражение",-1,"Проверить результат")))))))</x:f>
      </x:c>
      <x:c r="W254" s="80" t="str">
        <x:f>IF(A254="","",IF(U254="","Открыт",IF(ISNUMBER(V254),"Рассчитан","Проверить результат")))</x:f>
      </x:c>
      <x:c r="X254" s="98"/>
      <x:c r="Y254" s="5"/>
      <x:c r="Z254" s="5"/>
      <x:c r="AA254" s="5"/>
      <x:c r="AB254" s="118"/>
      <x:c r="AC254" s="119"/>
      <x:c r="AD254" s="119"/>
      <x:c r="AE254" s="5" t="str">
        <x:f>IF(A254="","",IF(Z254="","Нет ID пары",IF(AND(COUNTIFS($Z$59:$Z$505,Z254,$Y$59:$Y$505,"Оптимальный",$W$59:$W$505,"Рассчитан")=1,COUNTIFS($Z$59:$Z$505,Z254,$Y$59:$Y$505,"Агрессивный",$W$59:$W$505,"Рассчитан")=1),"Да","Нет")))</x:f>
      </x:c>
      <x:c r="AF254" s="5"/>
      <x:c r="AG254" s="5"/>
    </x:row>
    <x:row r="255">
      <x:c r="A255" s="80"/>
      <x:c r="B255" s="80"/>
      <x:c r="C255" s="83"/>
      <x:c r="D255" s="80"/>
      <x:c r="E255" s="80"/>
      <x:c r="F255" s="86"/>
      <x:c r="G255" s="80"/>
      <x:c r="H255" s="95"/>
      <x:c r="I255" s="95"/>
      <x:c r="J255" s="96"/>
      <x:c r="K255" s="97"/>
      <x:c r="L255" s="98"/>
      <x:c r="M255" s="98"/>
      <x:c r="N255" s="98"/>
      <x:c r="O255" s="98"/>
      <x:c r="P255" s="98"/>
      <x:c r="Q255" s="80"/>
      <x:c r="R255" s="80"/>
      <x:c r="S255" s="80"/>
      <x:c r="T255" s="80"/>
      <x:c r="U255" s="80"/>
      <x:c r="V255" s="89" t="str">
        <x:f>IF(A255="","",IF(U255="","",IF(U255="Выигрыш",J255-1,IF(U255="Полувыигрыш",(J255-1)/2,IF(U255="Возврат",0,IF(U255="Полупроигрыш",-0.5,IF(U255="Поражение",-1,"Проверить результат")))))))</x:f>
      </x:c>
      <x:c r="W255" s="80" t="str">
        <x:f>IF(A255="","",IF(U255="","Открыт",IF(ISNUMBER(V255),"Рассчитан","Проверить результат")))</x:f>
      </x:c>
      <x:c r="X255" s="98"/>
      <x:c r="Y255" s="5"/>
      <x:c r="Z255" s="5"/>
      <x:c r="AA255" s="5"/>
      <x:c r="AB255" s="118"/>
      <x:c r="AC255" s="119"/>
      <x:c r="AD255" s="119"/>
      <x:c r="AE255" s="5" t="str">
        <x:f>IF(A255="","",IF(Z255="","Нет ID пары",IF(AND(COUNTIFS($Z$59:$Z$505,Z255,$Y$59:$Y$505,"Оптимальный",$W$59:$W$505,"Рассчитан")=1,COUNTIFS($Z$59:$Z$505,Z255,$Y$59:$Y$505,"Агрессивный",$W$59:$W$505,"Рассчитан")=1),"Да","Нет")))</x:f>
      </x:c>
      <x:c r="AF255" s="5"/>
      <x:c r="AG255" s="5"/>
    </x:row>
    <x:row r="256">
      <x:c r="A256" s="80"/>
      <x:c r="B256" s="80"/>
      <x:c r="C256" s="83"/>
      <x:c r="D256" s="80"/>
      <x:c r="E256" s="80"/>
      <x:c r="F256" s="86"/>
      <x:c r="G256" s="80"/>
      <x:c r="H256" s="95"/>
      <x:c r="I256" s="95"/>
      <x:c r="J256" s="96"/>
      <x:c r="K256" s="97"/>
      <x:c r="L256" s="98"/>
      <x:c r="M256" s="98"/>
      <x:c r="N256" s="98"/>
      <x:c r="O256" s="98"/>
      <x:c r="P256" s="98"/>
      <x:c r="Q256" s="80"/>
      <x:c r="R256" s="80"/>
      <x:c r="S256" s="80"/>
      <x:c r="T256" s="80"/>
      <x:c r="U256" s="80"/>
      <x:c r="V256" s="89" t="str">
        <x:f>IF(A256="","",IF(U256="","",IF(U256="Выигрыш",J256-1,IF(U256="Полувыигрыш",(J256-1)/2,IF(U256="Возврат",0,IF(U256="Полупроигрыш",-0.5,IF(U256="Поражение",-1,"Проверить результат")))))))</x:f>
      </x:c>
      <x:c r="W256" s="80" t="str">
        <x:f>IF(A256="","",IF(U256="","Открыт",IF(ISNUMBER(V256),"Рассчитан","Проверить результат")))</x:f>
      </x:c>
      <x:c r="X256" s="98"/>
      <x:c r="Y256" s="5"/>
      <x:c r="Z256" s="5"/>
      <x:c r="AA256" s="5"/>
      <x:c r="AB256" s="118"/>
      <x:c r="AC256" s="119"/>
      <x:c r="AD256" s="119"/>
      <x:c r="AE256" s="5" t="str">
        <x:f>IF(A256="","",IF(Z256="","Нет ID пары",IF(AND(COUNTIFS($Z$59:$Z$505,Z256,$Y$59:$Y$505,"Оптимальный",$W$59:$W$505,"Рассчитан")=1,COUNTIFS($Z$59:$Z$505,Z256,$Y$59:$Y$505,"Агрессивный",$W$59:$W$505,"Рассчитан")=1),"Да","Нет")))</x:f>
      </x:c>
      <x:c r="AF256" s="5"/>
      <x:c r="AG256" s="5"/>
    </x:row>
    <x:row r="257">
      <x:c r="A257" s="80"/>
      <x:c r="B257" s="80"/>
      <x:c r="C257" s="83"/>
      <x:c r="D257" s="80"/>
      <x:c r="E257" s="80"/>
      <x:c r="F257" s="86"/>
      <x:c r="G257" s="80"/>
      <x:c r="H257" s="95"/>
      <x:c r="I257" s="95"/>
      <x:c r="J257" s="96"/>
      <x:c r="K257" s="97"/>
      <x:c r="L257" s="98"/>
      <x:c r="M257" s="98"/>
      <x:c r="N257" s="98"/>
      <x:c r="O257" s="98"/>
      <x:c r="P257" s="98"/>
      <x:c r="Q257" s="80"/>
      <x:c r="R257" s="80"/>
      <x:c r="S257" s="80"/>
      <x:c r="T257" s="80"/>
      <x:c r="U257" s="80"/>
      <x:c r="V257" s="89" t="str">
        <x:f>IF(A257="","",IF(U257="","",IF(U257="Выигрыш",J257-1,IF(U257="Полувыигрыш",(J257-1)/2,IF(U257="Возврат",0,IF(U257="Полупроигрыш",-0.5,IF(U257="Поражение",-1,"Проверить результат")))))))</x:f>
      </x:c>
      <x:c r="W257" s="80" t="str">
        <x:f>IF(A257="","",IF(U257="","Открыт",IF(ISNUMBER(V257),"Рассчитан","Проверить результат")))</x:f>
      </x:c>
      <x:c r="X257" s="98"/>
      <x:c r="Y257" s="5"/>
      <x:c r="Z257" s="5"/>
      <x:c r="AA257" s="5"/>
      <x:c r="AB257" s="118"/>
      <x:c r="AC257" s="119"/>
      <x:c r="AD257" s="119"/>
      <x:c r="AE257" s="5" t="str">
        <x:f>IF(A257="","",IF(Z257="","Нет ID пары",IF(AND(COUNTIFS($Z$59:$Z$505,Z257,$Y$59:$Y$505,"Оптимальный",$W$59:$W$505,"Рассчитан")=1,COUNTIFS($Z$59:$Z$505,Z257,$Y$59:$Y$505,"Агрессивный",$W$59:$W$505,"Рассчитан")=1),"Да","Нет")))</x:f>
      </x:c>
      <x:c r="AF257" s="5"/>
      <x:c r="AG257" s="5"/>
    </x:row>
    <x:row r="258">
      <x:c r="A258" s="80"/>
      <x:c r="B258" s="80"/>
      <x:c r="C258" s="83"/>
      <x:c r="D258" s="80"/>
      <x:c r="E258" s="80"/>
      <x:c r="F258" s="86"/>
      <x:c r="G258" s="80"/>
      <x:c r="H258" s="95"/>
      <x:c r="I258" s="95"/>
      <x:c r="J258" s="96"/>
      <x:c r="K258" s="97"/>
      <x:c r="L258" s="98"/>
      <x:c r="M258" s="98"/>
      <x:c r="N258" s="98"/>
      <x:c r="O258" s="98"/>
      <x:c r="P258" s="98"/>
      <x:c r="Q258" s="80"/>
      <x:c r="R258" s="80"/>
      <x:c r="S258" s="80"/>
      <x:c r="T258" s="80"/>
      <x:c r="U258" s="80"/>
      <x:c r="V258" s="89" t="str">
        <x:f>IF(A258="","",IF(U258="","",IF(U258="Выигрыш",J258-1,IF(U258="Полувыигрыш",(J258-1)/2,IF(U258="Возврат",0,IF(U258="Полупроигрыш",-0.5,IF(U258="Поражение",-1,"Проверить результат")))))))</x:f>
      </x:c>
      <x:c r="W258" s="80" t="str">
        <x:f>IF(A258="","",IF(U258="","Открыт",IF(ISNUMBER(V258),"Рассчитан","Проверить результат")))</x:f>
      </x:c>
      <x:c r="X258" s="98"/>
      <x:c r="Y258" s="5"/>
      <x:c r="Z258" s="5"/>
      <x:c r="AA258" s="5"/>
      <x:c r="AB258" s="118"/>
      <x:c r="AC258" s="119"/>
      <x:c r="AD258" s="119"/>
      <x:c r="AE258" s="5" t="str">
        <x:f>IF(A258="","",IF(Z258="","Нет ID пары",IF(AND(COUNTIFS($Z$59:$Z$505,Z258,$Y$59:$Y$505,"Оптимальный",$W$59:$W$505,"Рассчитан")=1,COUNTIFS($Z$59:$Z$505,Z258,$Y$59:$Y$505,"Агрессивный",$W$59:$W$505,"Рассчитан")=1),"Да","Нет")))</x:f>
      </x:c>
      <x:c r="AF258" s="5"/>
      <x:c r="AG258" s="5"/>
    </x:row>
    <x:row r="259">
      <x:c r="A259" s="80"/>
      <x:c r="B259" s="80"/>
      <x:c r="C259" s="83"/>
      <x:c r="D259" s="80"/>
      <x:c r="E259" s="80"/>
      <x:c r="F259" s="86"/>
      <x:c r="G259" s="80"/>
      <x:c r="H259" s="95"/>
      <x:c r="I259" s="95"/>
      <x:c r="J259" s="96"/>
      <x:c r="K259" s="97"/>
      <x:c r="L259" s="98"/>
      <x:c r="M259" s="98"/>
      <x:c r="N259" s="98"/>
      <x:c r="O259" s="98"/>
      <x:c r="P259" s="98"/>
      <x:c r="Q259" s="80"/>
      <x:c r="R259" s="80"/>
      <x:c r="S259" s="80"/>
      <x:c r="T259" s="80"/>
      <x:c r="U259" s="80"/>
      <x:c r="V259" s="89" t="str">
        <x:f>IF(A259="","",IF(U259="","",IF(U259="Выигрыш",J259-1,IF(U259="Полувыигрыш",(J259-1)/2,IF(U259="Возврат",0,IF(U259="Полупроигрыш",-0.5,IF(U259="Поражение",-1,"Проверить результат")))))))</x:f>
      </x:c>
      <x:c r="W259" s="80" t="str">
        <x:f>IF(A259="","",IF(U259="","Открыт",IF(ISNUMBER(V259),"Рассчитан","Проверить результат")))</x:f>
      </x:c>
      <x:c r="X259" s="98"/>
      <x:c r="Y259" s="5"/>
      <x:c r="Z259" s="5"/>
      <x:c r="AA259" s="5"/>
      <x:c r="AB259" s="118"/>
      <x:c r="AC259" s="119"/>
      <x:c r="AD259" s="119"/>
      <x:c r="AE259" s="5" t="str">
        <x:f>IF(A259="","",IF(Z259="","Нет ID пары",IF(AND(COUNTIFS($Z$59:$Z$505,Z259,$Y$59:$Y$505,"Оптимальный",$W$59:$W$505,"Рассчитан")=1,COUNTIFS($Z$59:$Z$505,Z259,$Y$59:$Y$505,"Агрессивный",$W$59:$W$505,"Рассчитан")=1),"Да","Нет")))</x:f>
      </x:c>
      <x:c r="AF259" s="5"/>
      <x:c r="AG259" s="5"/>
    </x:row>
    <x:row r="260">
      <x:c r="A260" s="80"/>
      <x:c r="B260" s="80"/>
      <x:c r="C260" s="83"/>
      <x:c r="D260" s="80"/>
      <x:c r="E260" s="80"/>
      <x:c r="F260" s="86"/>
      <x:c r="G260" s="80"/>
      <x:c r="H260" s="95"/>
      <x:c r="I260" s="95"/>
      <x:c r="J260" s="96"/>
      <x:c r="K260" s="97"/>
      <x:c r="L260" s="98"/>
      <x:c r="M260" s="98"/>
      <x:c r="N260" s="98"/>
      <x:c r="O260" s="98"/>
      <x:c r="P260" s="98"/>
      <x:c r="Q260" s="80"/>
      <x:c r="R260" s="80"/>
      <x:c r="S260" s="80"/>
      <x:c r="T260" s="80"/>
      <x:c r="U260" s="80"/>
      <x:c r="V260" s="89" t="str">
        <x:f>IF(A260="","",IF(U260="","",IF(U260="Выигрыш",J260-1,IF(U260="Полувыигрыш",(J260-1)/2,IF(U260="Возврат",0,IF(U260="Полупроигрыш",-0.5,IF(U260="Поражение",-1,"Проверить результат")))))))</x:f>
      </x:c>
      <x:c r="W260" s="80" t="str">
        <x:f>IF(A260="","",IF(U260="","Открыт",IF(ISNUMBER(V260),"Рассчитан","Проверить результат")))</x:f>
      </x:c>
      <x:c r="X260" s="98"/>
      <x:c r="Y260" s="5"/>
      <x:c r="Z260" s="5"/>
      <x:c r="AA260" s="5"/>
      <x:c r="AB260" s="118"/>
      <x:c r="AC260" s="119"/>
      <x:c r="AD260" s="119"/>
      <x:c r="AE260" s="5" t="str">
        <x:f>IF(A260="","",IF(Z260="","Нет ID пары",IF(AND(COUNTIFS($Z$59:$Z$505,Z260,$Y$59:$Y$505,"Оптимальный",$W$59:$W$505,"Рассчитан")=1,COUNTIFS($Z$59:$Z$505,Z260,$Y$59:$Y$505,"Агрессивный",$W$59:$W$505,"Рассчитан")=1),"Да","Нет")))</x:f>
      </x:c>
      <x:c r="AF260" s="5"/>
      <x:c r="AG260" s="5"/>
    </x:row>
    <x:row r="261">
      <x:c r="A261" s="80"/>
      <x:c r="B261" s="80"/>
      <x:c r="C261" s="83"/>
      <x:c r="D261" s="80"/>
      <x:c r="E261" s="80"/>
      <x:c r="F261" s="86"/>
      <x:c r="G261" s="80"/>
      <x:c r="H261" s="95"/>
      <x:c r="I261" s="95"/>
      <x:c r="J261" s="96"/>
      <x:c r="K261" s="97"/>
      <x:c r="L261" s="98"/>
      <x:c r="M261" s="98"/>
      <x:c r="N261" s="98"/>
      <x:c r="O261" s="98"/>
      <x:c r="P261" s="98"/>
      <x:c r="Q261" s="80"/>
      <x:c r="R261" s="80"/>
      <x:c r="S261" s="80"/>
      <x:c r="T261" s="80"/>
      <x:c r="U261" s="80"/>
      <x:c r="V261" s="89" t="str">
        <x:f>IF(A261="","",IF(U261="","",IF(U261="Выигрыш",J261-1,IF(U261="Полувыигрыш",(J261-1)/2,IF(U261="Возврат",0,IF(U261="Полупроигрыш",-0.5,IF(U261="Поражение",-1,"Проверить результат")))))))</x:f>
      </x:c>
      <x:c r="W261" s="80" t="str">
        <x:f>IF(A261="","",IF(U261="","Открыт",IF(ISNUMBER(V261),"Рассчитан","Проверить результат")))</x:f>
      </x:c>
      <x:c r="X261" s="98"/>
      <x:c r="Y261" s="5"/>
      <x:c r="Z261" s="5"/>
      <x:c r="AA261" s="5"/>
      <x:c r="AB261" s="118"/>
      <x:c r="AC261" s="119"/>
      <x:c r="AD261" s="119"/>
      <x:c r="AE261" s="5" t="str">
        <x:f>IF(A261="","",IF(Z261="","Нет ID пары",IF(AND(COUNTIFS($Z$59:$Z$505,Z261,$Y$59:$Y$505,"Оптимальный",$W$59:$W$505,"Рассчитан")=1,COUNTIFS($Z$59:$Z$505,Z261,$Y$59:$Y$505,"Агрессивный",$W$59:$W$505,"Рассчитан")=1),"Да","Нет")))</x:f>
      </x:c>
      <x:c r="AF261" s="5"/>
      <x:c r="AG261" s="5"/>
    </x:row>
    <x:row r="262">
      <x:c r="A262" s="80"/>
      <x:c r="B262" s="80"/>
      <x:c r="C262" s="83"/>
      <x:c r="D262" s="80"/>
      <x:c r="E262" s="80"/>
      <x:c r="F262" s="86"/>
      <x:c r="G262" s="80"/>
      <x:c r="H262" s="95"/>
      <x:c r="I262" s="95"/>
      <x:c r="J262" s="96"/>
      <x:c r="K262" s="97"/>
      <x:c r="L262" s="98"/>
      <x:c r="M262" s="98"/>
      <x:c r="N262" s="98"/>
      <x:c r="O262" s="98"/>
      <x:c r="P262" s="98"/>
      <x:c r="Q262" s="80"/>
      <x:c r="R262" s="80"/>
      <x:c r="S262" s="80"/>
      <x:c r="T262" s="80"/>
      <x:c r="U262" s="80"/>
      <x:c r="V262" s="89" t="str">
        <x:f>IF(A262="","",IF(U262="","",IF(U262="Выигрыш",J262-1,IF(U262="Полувыигрыш",(J262-1)/2,IF(U262="Возврат",0,IF(U262="Полупроигрыш",-0.5,IF(U262="Поражение",-1,"Проверить результат")))))))</x:f>
      </x:c>
      <x:c r="W262" s="80" t="str">
        <x:f>IF(A262="","",IF(U262="","Открыт",IF(ISNUMBER(V262),"Рассчитан","Проверить результат")))</x:f>
      </x:c>
      <x:c r="X262" s="98"/>
      <x:c r="Y262" s="5"/>
      <x:c r="Z262" s="5"/>
      <x:c r="AA262" s="5"/>
      <x:c r="AB262" s="118"/>
      <x:c r="AC262" s="119"/>
      <x:c r="AD262" s="119"/>
      <x:c r="AE262" s="5" t="str">
        <x:f>IF(A262="","",IF(Z262="","Нет ID пары",IF(AND(COUNTIFS($Z$59:$Z$505,Z262,$Y$59:$Y$505,"Оптимальный",$W$59:$W$505,"Рассчитан")=1,COUNTIFS($Z$59:$Z$505,Z262,$Y$59:$Y$505,"Агрессивный",$W$59:$W$505,"Рассчитан")=1),"Да","Нет")))</x:f>
      </x:c>
      <x:c r="AF262" s="5"/>
      <x:c r="AG262" s="5"/>
    </x:row>
    <x:row r="263">
      <x:c r="A263" s="80"/>
      <x:c r="B263" s="80"/>
      <x:c r="C263" s="83"/>
      <x:c r="D263" s="80"/>
      <x:c r="E263" s="80"/>
      <x:c r="F263" s="86"/>
      <x:c r="G263" s="80"/>
      <x:c r="H263" s="95"/>
      <x:c r="I263" s="95"/>
      <x:c r="J263" s="96"/>
      <x:c r="K263" s="97"/>
      <x:c r="L263" s="98"/>
      <x:c r="M263" s="98"/>
      <x:c r="N263" s="98"/>
      <x:c r="O263" s="98"/>
      <x:c r="P263" s="98"/>
      <x:c r="Q263" s="80"/>
      <x:c r="R263" s="80"/>
      <x:c r="S263" s="80"/>
      <x:c r="T263" s="80"/>
      <x:c r="U263" s="80"/>
      <x:c r="V263" s="89" t="str">
        <x:f>IF(A263="","",IF(U263="","",IF(U263="Выигрыш",J263-1,IF(U263="Полувыигрыш",(J263-1)/2,IF(U263="Возврат",0,IF(U263="Полупроигрыш",-0.5,IF(U263="Поражение",-1,"Проверить результат")))))))</x:f>
      </x:c>
      <x:c r="W263" s="80" t="str">
        <x:f>IF(A263="","",IF(U263="","Открыт",IF(ISNUMBER(V263),"Рассчитан","Проверить результат")))</x:f>
      </x:c>
      <x:c r="X263" s="98"/>
      <x:c r="Y263" s="5"/>
      <x:c r="Z263" s="5"/>
      <x:c r="AA263" s="5"/>
      <x:c r="AB263" s="118"/>
      <x:c r="AC263" s="119"/>
      <x:c r="AD263" s="119"/>
      <x:c r="AE263" s="5" t="str">
        <x:f>IF(A263="","",IF(Z263="","Нет ID пары",IF(AND(COUNTIFS($Z$59:$Z$505,Z263,$Y$59:$Y$505,"Оптимальный",$W$59:$W$505,"Рассчитан")=1,COUNTIFS($Z$59:$Z$505,Z263,$Y$59:$Y$505,"Агрессивный",$W$59:$W$505,"Рассчитан")=1),"Да","Нет")))</x:f>
      </x:c>
      <x:c r="AF263" s="5"/>
      <x:c r="AG263" s="5"/>
    </x:row>
    <x:row r="264">
      <x:c r="A264" s="80"/>
      <x:c r="B264" s="80"/>
      <x:c r="C264" s="83"/>
      <x:c r="D264" s="80"/>
      <x:c r="E264" s="80"/>
      <x:c r="F264" s="86"/>
      <x:c r="G264" s="80"/>
      <x:c r="H264" s="95"/>
      <x:c r="I264" s="95"/>
      <x:c r="J264" s="96"/>
      <x:c r="K264" s="97"/>
      <x:c r="L264" s="98"/>
      <x:c r="M264" s="98"/>
      <x:c r="N264" s="98"/>
      <x:c r="O264" s="98"/>
      <x:c r="P264" s="98"/>
      <x:c r="Q264" s="80"/>
      <x:c r="R264" s="80"/>
      <x:c r="S264" s="80"/>
      <x:c r="T264" s="80"/>
      <x:c r="U264" s="80"/>
      <x:c r="V264" s="89" t="str">
        <x:f>IF(A264="","",IF(U264="","",IF(U264="Выигрыш",J264-1,IF(U264="Полувыигрыш",(J264-1)/2,IF(U264="Возврат",0,IF(U264="Полупроигрыш",-0.5,IF(U264="Поражение",-1,"Проверить результат")))))))</x:f>
      </x:c>
      <x:c r="W264" s="80" t="str">
        <x:f>IF(A264="","",IF(U264="","Открыт",IF(ISNUMBER(V264),"Рассчитан","Проверить результат")))</x:f>
      </x:c>
      <x:c r="X264" s="98"/>
      <x:c r="Y264" s="5"/>
      <x:c r="Z264" s="5"/>
      <x:c r="AA264" s="5"/>
      <x:c r="AB264" s="118"/>
      <x:c r="AC264" s="119"/>
      <x:c r="AD264" s="119"/>
      <x:c r="AE264" s="5" t="str">
        <x:f>IF(A264="","",IF(Z264="","Нет ID пары",IF(AND(COUNTIFS($Z$59:$Z$505,Z264,$Y$59:$Y$505,"Оптимальный",$W$59:$W$505,"Рассчитан")=1,COUNTIFS($Z$59:$Z$505,Z264,$Y$59:$Y$505,"Агрессивный",$W$59:$W$505,"Рассчитан")=1),"Да","Нет")))</x:f>
      </x:c>
      <x:c r="AF264" s="5"/>
      <x:c r="AG264" s="5"/>
    </x:row>
    <x:row r="265">
      <x:c r="A265" s="80"/>
      <x:c r="B265" s="80"/>
      <x:c r="C265" s="83"/>
      <x:c r="D265" s="80"/>
      <x:c r="E265" s="80"/>
      <x:c r="F265" s="86"/>
      <x:c r="G265" s="80"/>
      <x:c r="H265" s="95"/>
      <x:c r="I265" s="95"/>
      <x:c r="J265" s="96"/>
      <x:c r="K265" s="97"/>
      <x:c r="L265" s="98"/>
      <x:c r="M265" s="98"/>
      <x:c r="N265" s="98"/>
      <x:c r="O265" s="98"/>
      <x:c r="P265" s="98"/>
      <x:c r="Q265" s="80"/>
      <x:c r="R265" s="80"/>
      <x:c r="S265" s="80"/>
      <x:c r="T265" s="80"/>
      <x:c r="U265" s="80"/>
      <x:c r="V265" s="89" t="str">
        <x:f>IF(A265="","",IF(U265="","",IF(U265="Выигрыш",J265-1,IF(U265="Полувыигрыш",(J265-1)/2,IF(U265="Возврат",0,IF(U265="Полупроигрыш",-0.5,IF(U265="Поражение",-1,"Проверить результат")))))))</x:f>
      </x:c>
      <x:c r="W265" s="80" t="str">
        <x:f>IF(A265="","",IF(U265="","Открыт",IF(ISNUMBER(V265),"Рассчитан","Проверить результат")))</x:f>
      </x:c>
      <x:c r="X265" s="98"/>
      <x:c r="Y265" s="5"/>
      <x:c r="Z265" s="5"/>
      <x:c r="AA265" s="5"/>
      <x:c r="AB265" s="118"/>
      <x:c r="AC265" s="119"/>
      <x:c r="AD265" s="119"/>
      <x:c r="AE265" s="5" t="str">
        <x:f>IF(A265="","",IF(Z265="","Нет ID пары",IF(AND(COUNTIFS($Z$59:$Z$505,Z265,$Y$59:$Y$505,"Оптимальный",$W$59:$W$505,"Рассчитан")=1,COUNTIFS($Z$59:$Z$505,Z265,$Y$59:$Y$505,"Агрессивный",$W$59:$W$505,"Рассчитан")=1),"Да","Нет")))</x:f>
      </x:c>
      <x:c r="AF265" s="5"/>
      <x:c r="AG265" s="5"/>
    </x:row>
    <x:row r="266">
      <x:c r="A266" s="80"/>
      <x:c r="B266" s="80"/>
      <x:c r="C266" s="83"/>
      <x:c r="D266" s="80"/>
      <x:c r="E266" s="80"/>
      <x:c r="F266" s="86"/>
      <x:c r="G266" s="80"/>
      <x:c r="H266" s="95"/>
      <x:c r="I266" s="95"/>
      <x:c r="J266" s="96"/>
      <x:c r="K266" s="97"/>
      <x:c r="L266" s="98"/>
      <x:c r="M266" s="98"/>
      <x:c r="N266" s="98"/>
      <x:c r="O266" s="98"/>
      <x:c r="P266" s="98"/>
      <x:c r="Q266" s="80"/>
      <x:c r="R266" s="80"/>
      <x:c r="S266" s="80"/>
      <x:c r="T266" s="80"/>
      <x:c r="U266" s="80"/>
      <x:c r="V266" s="89" t="str">
        <x:f>IF(A266="","",IF(U266="","",IF(U266="Выигрыш",J266-1,IF(U266="Полувыигрыш",(J266-1)/2,IF(U266="Возврат",0,IF(U266="Полупроигрыш",-0.5,IF(U266="Поражение",-1,"Проверить результат")))))))</x:f>
      </x:c>
      <x:c r="W266" s="80" t="str">
        <x:f>IF(A266="","",IF(U266="","Открыт",IF(ISNUMBER(V266),"Рассчитан","Проверить результат")))</x:f>
      </x:c>
      <x:c r="X266" s="98"/>
      <x:c r="Y266" s="5"/>
      <x:c r="Z266" s="5"/>
      <x:c r="AA266" s="5"/>
      <x:c r="AB266" s="118"/>
      <x:c r="AC266" s="119"/>
      <x:c r="AD266" s="119"/>
      <x:c r="AE266" s="5" t="str">
        <x:f>IF(A266="","",IF(Z266="","Нет ID пары",IF(AND(COUNTIFS($Z$59:$Z$505,Z266,$Y$59:$Y$505,"Оптимальный",$W$59:$W$505,"Рассчитан")=1,COUNTIFS($Z$59:$Z$505,Z266,$Y$59:$Y$505,"Агрессивный",$W$59:$W$505,"Рассчитан")=1),"Да","Нет")))</x:f>
      </x:c>
      <x:c r="AF266" s="5"/>
      <x:c r="AG266" s="5"/>
    </x:row>
    <x:row r="267">
      <x:c r="A267" s="80"/>
      <x:c r="B267" s="80"/>
      <x:c r="C267" s="83"/>
      <x:c r="D267" s="80"/>
      <x:c r="E267" s="80"/>
      <x:c r="F267" s="86"/>
      <x:c r="G267" s="80"/>
      <x:c r="H267" s="95"/>
      <x:c r="I267" s="95"/>
      <x:c r="J267" s="96"/>
      <x:c r="K267" s="97"/>
      <x:c r="L267" s="98"/>
      <x:c r="M267" s="98"/>
      <x:c r="N267" s="98"/>
      <x:c r="O267" s="98"/>
      <x:c r="P267" s="98"/>
      <x:c r="Q267" s="80"/>
      <x:c r="R267" s="80"/>
      <x:c r="S267" s="80"/>
      <x:c r="T267" s="80"/>
      <x:c r="U267" s="80"/>
      <x:c r="V267" s="89" t="str">
        <x:f>IF(A267="","",IF(U267="","",IF(U267="Выигрыш",J267-1,IF(U267="Полувыигрыш",(J267-1)/2,IF(U267="Возврат",0,IF(U267="Полупроигрыш",-0.5,IF(U267="Поражение",-1,"Проверить результат")))))))</x:f>
      </x:c>
      <x:c r="W267" s="80" t="str">
        <x:f>IF(A267="","",IF(U267="","Открыт",IF(ISNUMBER(V267),"Рассчитан","Проверить результат")))</x:f>
      </x:c>
      <x:c r="X267" s="98"/>
      <x:c r="Y267" s="5"/>
      <x:c r="Z267" s="5"/>
      <x:c r="AA267" s="5"/>
      <x:c r="AB267" s="118"/>
      <x:c r="AC267" s="119"/>
      <x:c r="AD267" s="119"/>
      <x:c r="AE267" s="5" t="str">
        <x:f>IF(A267="","",IF(Z267="","Нет ID пары",IF(AND(COUNTIFS($Z$59:$Z$505,Z267,$Y$59:$Y$505,"Оптимальный",$W$59:$W$505,"Рассчитан")=1,COUNTIFS($Z$59:$Z$505,Z267,$Y$59:$Y$505,"Агрессивный",$W$59:$W$505,"Рассчитан")=1),"Да","Нет")))</x:f>
      </x:c>
      <x:c r="AF267" s="5"/>
      <x:c r="AG267" s="5"/>
    </x:row>
    <x:row r="268">
      <x:c r="A268" s="80"/>
      <x:c r="B268" s="80"/>
      <x:c r="C268" s="83"/>
      <x:c r="D268" s="80"/>
      <x:c r="E268" s="80"/>
      <x:c r="F268" s="86"/>
      <x:c r="G268" s="80"/>
      <x:c r="H268" s="95"/>
      <x:c r="I268" s="95"/>
      <x:c r="J268" s="96"/>
      <x:c r="K268" s="97"/>
      <x:c r="L268" s="98"/>
      <x:c r="M268" s="98"/>
      <x:c r="N268" s="98"/>
      <x:c r="O268" s="98"/>
      <x:c r="P268" s="98"/>
      <x:c r="Q268" s="80"/>
      <x:c r="R268" s="80"/>
      <x:c r="S268" s="80"/>
      <x:c r="T268" s="80"/>
      <x:c r="U268" s="80"/>
      <x:c r="V268" s="89" t="str">
        <x:f>IF(A268="","",IF(U268="","",IF(U268="Выигрыш",J268-1,IF(U268="Полувыигрыш",(J268-1)/2,IF(U268="Возврат",0,IF(U268="Полупроигрыш",-0.5,IF(U268="Поражение",-1,"Проверить результат")))))))</x:f>
      </x:c>
      <x:c r="W268" s="80" t="str">
        <x:f>IF(A268="","",IF(U268="","Открыт",IF(ISNUMBER(V268),"Рассчитан","Проверить результат")))</x:f>
      </x:c>
      <x:c r="X268" s="98"/>
      <x:c r="Y268" s="5"/>
      <x:c r="Z268" s="5"/>
      <x:c r="AA268" s="5"/>
      <x:c r="AB268" s="118"/>
      <x:c r="AC268" s="119"/>
      <x:c r="AD268" s="119"/>
      <x:c r="AE268" s="5" t="str">
        <x:f>IF(A268="","",IF(Z268="","Нет ID пары",IF(AND(COUNTIFS($Z$59:$Z$505,Z268,$Y$59:$Y$505,"Оптимальный",$W$59:$W$505,"Рассчитан")=1,COUNTIFS($Z$59:$Z$505,Z268,$Y$59:$Y$505,"Агрессивный",$W$59:$W$505,"Рассчитан")=1),"Да","Нет")))</x:f>
      </x:c>
      <x:c r="AF268" s="5"/>
      <x:c r="AG268" s="5"/>
    </x:row>
    <x:row r="269">
      <x:c r="A269" s="80"/>
      <x:c r="B269" s="80"/>
      <x:c r="C269" s="83"/>
      <x:c r="D269" s="80"/>
      <x:c r="E269" s="80"/>
      <x:c r="F269" s="86"/>
      <x:c r="G269" s="80"/>
      <x:c r="H269" s="95"/>
      <x:c r="I269" s="95"/>
      <x:c r="J269" s="96"/>
      <x:c r="K269" s="97"/>
      <x:c r="L269" s="98"/>
      <x:c r="M269" s="98"/>
      <x:c r="N269" s="98"/>
      <x:c r="O269" s="98"/>
      <x:c r="P269" s="98"/>
      <x:c r="Q269" s="80"/>
      <x:c r="R269" s="80"/>
      <x:c r="S269" s="80"/>
      <x:c r="T269" s="80"/>
      <x:c r="U269" s="80"/>
      <x:c r="V269" s="89" t="str">
        <x:f>IF(A269="","",IF(U269="","",IF(U269="Выигрыш",J269-1,IF(U269="Полувыигрыш",(J269-1)/2,IF(U269="Возврат",0,IF(U269="Полупроигрыш",-0.5,IF(U269="Поражение",-1,"Проверить результат")))))))</x:f>
      </x:c>
      <x:c r="W269" s="80" t="str">
        <x:f>IF(A269="","",IF(U269="","Открыт",IF(ISNUMBER(V269),"Рассчитан","Проверить результат")))</x:f>
      </x:c>
      <x:c r="X269" s="98"/>
      <x:c r="Y269" s="5"/>
      <x:c r="Z269" s="5"/>
      <x:c r="AA269" s="5"/>
      <x:c r="AB269" s="118"/>
      <x:c r="AC269" s="119"/>
      <x:c r="AD269" s="119"/>
      <x:c r="AE269" s="5" t="str">
        <x:f>IF(A269="","",IF(Z269="","Нет ID пары",IF(AND(COUNTIFS($Z$59:$Z$505,Z269,$Y$59:$Y$505,"Оптимальный",$W$59:$W$505,"Рассчитан")=1,COUNTIFS($Z$59:$Z$505,Z269,$Y$59:$Y$505,"Агрессивный",$W$59:$W$505,"Рассчитан")=1),"Да","Нет")))</x:f>
      </x:c>
      <x:c r="AF269" s="5"/>
      <x:c r="AG269" s="5"/>
    </x:row>
    <x:row r="270">
      <x:c r="A270" s="80"/>
      <x:c r="B270" s="80"/>
      <x:c r="C270" s="83"/>
      <x:c r="D270" s="80"/>
      <x:c r="E270" s="80"/>
      <x:c r="F270" s="86"/>
      <x:c r="G270" s="80"/>
      <x:c r="H270" s="95"/>
      <x:c r="I270" s="95"/>
      <x:c r="J270" s="96"/>
      <x:c r="K270" s="97"/>
      <x:c r="L270" s="98"/>
      <x:c r="M270" s="98"/>
      <x:c r="N270" s="98"/>
      <x:c r="O270" s="98"/>
      <x:c r="P270" s="98"/>
      <x:c r="Q270" s="80"/>
      <x:c r="R270" s="80"/>
      <x:c r="S270" s="80"/>
      <x:c r="T270" s="80"/>
      <x:c r="U270" s="80"/>
      <x:c r="V270" s="89" t="str">
        <x:f>IF(A270="","",IF(U270="","",IF(U270="Выигрыш",J270-1,IF(U270="Полувыигрыш",(J270-1)/2,IF(U270="Возврат",0,IF(U270="Полупроигрыш",-0.5,IF(U270="Поражение",-1,"Проверить результат")))))))</x:f>
      </x:c>
      <x:c r="W270" s="80" t="str">
        <x:f>IF(A270="","",IF(U270="","Открыт",IF(ISNUMBER(V270),"Рассчитан","Проверить результат")))</x:f>
      </x:c>
      <x:c r="X270" s="98"/>
      <x:c r="Y270" s="5"/>
      <x:c r="Z270" s="5"/>
      <x:c r="AA270" s="5"/>
      <x:c r="AB270" s="118"/>
      <x:c r="AC270" s="119"/>
      <x:c r="AD270" s="119"/>
      <x:c r="AE270" s="5" t="str">
        <x:f>IF(A270="","",IF(Z270="","Нет ID пары",IF(AND(COUNTIFS($Z$59:$Z$505,Z270,$Y$59:$Y$505,"Оптимальный",$W$59:$W$505,"Рассчитан")=1,COUNTIFS($Z$59:$Z$505,Z270,$Y$59:$Y$505,"Агрессивный",$W$59:$W$505,"Рассчитан")=1),"Да","Нет")))</x:f>
      </x:c>
      <x:c r="AF270" s="5"/>
      <x:c r="AG270" s="5"/>
    </x:row>
    <x:row r="271">
      <x:c r="A271" s="80"/>
      <x:c r="B271" s="80"/>
      <x:c r="C271" s="83"/>
      <x:c r="D271" s="80"/>
      <x:c r="E271" s="80"/>
      <x:c r="F271" s="86"/>
      <x:c r="G271" s="80"/>
      <x:c r="H271" s="95"/>
      <x:c r="I271" s="95"/>
      <x:c r="J271" s="96"/>
      <x:c r="K271" s="97"/>
      <x:c r="L271" s="98"/>
      <x:c r="M271" s="98"/>
      <x:c r="N271" s="98"/>
      <x:c r="O271" s="98"/>
      <x:c r="P271" s="98"/>
      <x:c r="Q271" s="80"/>
      <x:c r="R271" s="80"/>
      <x:c r="S271" s="80"/>
      <x:c r="T271" s="80"/>
      <x:c r="U271" s="80"/>
      <x:c r="V271" s="89" t="str">
        <x:f>IF(A271="","",IF(U271="","",IF(U271="Выигрыш",J271-1,IF(U271="Полувыигрыш",(J271-1)/2,IF(U271="Возврат",0,IF(U271="Полупроигрыш",-0.5,IF(U271="Поражение",-1,"Проверить результат")))))))</x:f>
      </x:c>
      <x:c r="W271" s="80" t="str">
        <x:f>IF(A271="","",IF(U271="","Открыт",IF(ISNUMBER(V271),"Рассчитан","Проверить результат")))</x:f>
      </x:c>
      <x:c r="X271" s="98"/>
      <x:c r="Y271" s="5"/>
      <x:c r="Z271" s="5"/>
      <x:c r="AA271" s="5"/>
      <x:c r="AB271" s="118"/>
      <x:c r="AC271" s="119"/>
      <x:c r="AD271" s="119"/>
      <x:c r="AE271" s="5" t="str">
        <x:f>IF(A271="","",IF(Z271="","Нет ID пары",IF(AND(COUNTIFS($Z$59:$Z$505,Z271,$Y$59:$Y$505,"Оптимальный",$W$59:$W$505,"Рассчитан")=1,COUNTIFS($Z$59:$Z$505,Z271,$Y$59:$Y$505,"Агрессивный",$W$59:$W$505,"Рассчитан")=1),"Да","Нет")))</x:f>
      </x:c>
      <x:c r="AF271" s="5"/>
      <x:c r="AG271" s="5"/>
    </x:row>
    <x:row r="272">
      <x:c r="A272" s="80"/>
      <x:c r="B272" s="80"/>
      <x:c r="C272" s="83"/>
      <x:c r="D272" s="80"/>
      <x:c r="E272" s="80"/>
      <x:c r="F272" s="86"/>
      <x:c r="G272" s="80"/>
      <x:c r="H272" s="95"/>
      <x:c r="I272" s="95"/>
      <x:c r="J272" s="96"/>
      <x:c r="K272" s="97"/>
      <x:c r="L272" s="98"/>
      <x:c r="M272" s="98"/>
      <x:c r="N272" s="98"/>
      <x:c r="O272" s="98"/>
      <x:c r="P272" s="98"/>
      <x:c r="Q272" s="80"/>
      <x:c r="R272" s="80"/>
      <x:c r="S272" s="80"/>
      <x:c r="T272" s="80"/>
      <x:c r="U272" s="80"/>
      <x:c r="V272" s="89" t="str">
        <x:f>IF(A272="","",IF(U272="","",IF(U272="Выигрыш",J272-1,IF(U272="Полувыигрыш",(J272-1)/2,IF(U272="Возврат",0,IF(U272="Полупроигрыш",-0.5,IF(U272="Поражение",-1,"Проверить результат")))))))</x:f>
      </x:c>
      <x:c r="W272" s="80" t="str">
        <x:f>IF(A272="","",IF(U272="","Открыт",IF(ISNUMBER(V272),"Рассчитан","Проверить результат")))</x:f>
      </x:c>
      <x:c r="X272" s="98"/>
      <x:c r="Y272" s="5"/>
      <x:c r="Z272" s="5"/>
      <x:c r="AA272" s="5"/>
      <x:c r="AB272" s="118"/>
      <x:c r="AC272" s="119"/>
      <x:c r="AD272" s="119"/>
      <x:c r="AE272" s="5" t="str">
        <x:f>IF(A272="","",IF(Z272="","Нет ID пары",IF(AND(COUNTIFS($Z$59:$Z$505,Z272,$Y$59:$Y$505,"Оптимальный",$W$59:$W$505,"Рассчитан")=1,COUNTIFS($Z$59:$Z$505,Z272,$Y$59:$Y$505,"Агрессивный",$W$59:$W$505,"Рассчитан")=1),"Да","Нет")))</x:f>
      </x:c>
      <x:c r="AF272" s="5"/>
      <x:c r="AG272" s="5"/>
    </x:row>
    <x:row r="273">
      <x:c r="A273" s="80"/>
      <x:c r="B273" s="80"/>
      <x:c r="C273" s="83"/>
      <x:c r="D273" s="80"/>
      <x:c r="E273" s="80"/>
      <x:c r="F273" s="86"/>
      <x:c r="G273" s="80"/>
      <x:c r="H273" s="95"/>
      <x:c r="I273" s="95"/>
      <x:c r="J273" s="96"/>
      <x:c r="K273" s="97"/>
      <x:c r="L273" s="98"/>
      <x:c r="M273" s="98"/>
      <x:c r="N273" s="98"/>
      <x:c r="O273" s="98"/>
      <x:c r="P273" s="98"/>
      <x:c r="Q273" s="80"/>
      <x:c r="R273" s="80"/>
      <x:c r="S273" s="80"/>
      <x:c r="T273" s="80"/>
      <x:c r="U273" s="80"/>
      <x:c r="V273" s="89" t="str">
        <x:f>IF(A273="","",IF(U273="","",IF(U273="Выигрыш",J273-1,IF(U273="Полувыигрыш",(J273-1)/2,IF(U273="Возврат",0,IF(U273="Полупроигрыш",-0.5,IF(U273="Поражение",-1,"Проверить результат")))))))</x:f>
      </x:c>
      <x:c r="W273" s="80" t="str">
        <x:f>IF(A273="","",IF(U273="","Открыт",IF(ISNUMBER(V273),"Рассчитан","Проверить результат")))</x:f>
      </x:c>
      <x:c r="X273" s="98"/>
      <x:c r="Y273" s="5"/>
      <x:c r="Z273" s="5"/>
      <x:c r="AA273" s="5"/>
      <x:c r="AB273" s="118"/>
      <x:c r="AC273" s="119"/>
      <x:c r="AD273" s="119"/>
      <x:c r="AE273" s="5" t="str">
        <x:f>IF(A273="","",IF(Z273="","Нет ID пары",IF(AND(COUNTIFS($Z$59:$Z$505,Z273,$Y$59:$Y$505,"Оптимальный",$W$59:$W$505,"Рассчитан")=1,COUNTIFS($Z$59:$Z$505,Z273,$Y$59:$Y$505,"Агрессивный",$W$59:$W$505,"Рассчитан")=1),"Да","Нет")))</x:f>
      </x:c>
      <x:c r="AF273" s="5"/>
      <x:c r="AG273" s="5"/>
    </x:row>
    <x:row r="274">
      <x:c r="A274" s="80"/>
      <x:c r="B274" s="80"/>
      <x:c r="C274" s="83"/>
      <x:c r="D274" s="80"/>
      <x:c r="E274" s="80"/>
      <x:c r="F274" s="86"/>
      <x:c r="G274" s="80"/>
      <x:c r="H274" s="95"/>
      <x:c r="I274" s="95"/>
      <x:c r="J274" s="96"/>
      <x:c r="K274" s="97"/>
      <x:c r="L274" s="98"/>
      <x:c r="M274" s="98"/>
      <x:c r="N274" s="98"/>
      <x:c r="O274" s="98"/>
      <x:c r="P274" s="98"/>
      <x:c r="Q274" s="80"/>
      <x:c r="R274" s="80"/>
      <x:c r="S274" s="80"/>
      <x:c r="T274" s="80"/>
      <x:c r="U274" s="80"/>
      <x:c r="V274" s="89" t="str">
        <x:f>IF(A274="","",IF(U274="","",IF(U274="Выигрыш",J274-1,IF(U274="Полувыигрыш",(J274-1)/2,IF(U274="Возврат",0,IF(U274="Полупроигрыш",-0.5,IF(U274="Поражение",-1,"Проверить результат")))))))</x:f>
      </x:c>
      <x:c r="W274" s="80" t="str">
        <x:f>IF(A274="","",IF(U274="","Открыт",IF(ISNUMBER(V274),"Рассчитан","Проверить результат")))</x:f>
      </x:c>
      <x:c r="X274" s="98"/>
      <x:c r="Y274" s="5"/>
      <x:c r="Z274" s="5"/>
      <x:c r="AA274" s="5"/>
      <x:c r="AB274" s="118"/>
      <x:c r="AC274" s="119"/>
      <x:c r="AD274" s="119"/>
      <x:c r="AE274" s="5" t="str">
        <x:f>IF(A274="","",IF(Z274="","Нет ID пары",IF(AND(COUNTIFS($Z$59:$Z$505,Z274,$Y$59:$Y$505,"Оптимальный",$W$59:$W$505,"Рассчитан")=1,COUNTIFS($Z$59:$Z$505,Z274,$Y$59:$Y$505,"Агрессивный",$W$59:$W$505,"Рассчитан")=1),"Да","Нет")))</x:f>
      </x:c>
      <x:c r="AF274" s="5"/>
      <x:c r="AG274" s="5"/>
    </x:row>
    <x:row r="275">
      <x:c r="A275" s="80"/>
      <x:c r="B275" s="80"/>
      <x:c r="C275" s="83"/>
      <x:c r="D275" s="80"/>
      <x:c r="E275" s="80"/>
      <x:c r="F275" s="86"/>
      <x:c r="G275" s="80"/>
      <x:c r="H275" s="95"/>
      <x:c r="I275" s="95"/>
      <x:c r="J275" s="96"/>
      <x:c r="K275" s="97"/>
      <x:c r="L275" s="98"/>
      <x:c r="M275" s="98"/>
      <x:c r="N275" s="98"/>
      <x:c r="O275" s="98"/>
      <x:c r="P275" s="98"/>
      <x:c r="Q275" s="80"/>
      <x:c r="R275" s="80"/>
      <x:c r="S275" s="80"/>
      <x:c r="T275" s="80"/>
      <x:c r="U275" s="80"/>
      <x:c r="V275" s="89" t="str">
        <x:f>IF(A275="","",IF(U275="","",IF(U275="Выигрыш",J275-1,IF(U275="Полувыигрыш",(J275-1)/2,IF(U275="Возврат",0,IF(U275="Полупроигрыш",-0.5,IF(U275="Поражение",-1,"Проверить результат")))))))</x:f>
      </x:c>
      <x:c r="W275" s="80" t="str">
        <x:f>IF(A275="","",IF(U275="","Открыт",IF(ISNUMBER(V275),"Рассчитан","Проверить результат")))</x:f>
      </x:c>
      <x:c r="X275" s="98"/>
      <x:c r="Y275" s="5"/>
      <x:c r="Z275" s="5"/>
      <x:c r="AA275" s="5"/>
      <x:c r="AB275" s="118"/>
      <x:c r="AC275" s="119"/>
      <x:c r="AD275" s="119"/>
      <x:c r="AE275" s="5" t="str">
        <x:f>IF(A275="","",IF(Z275="","Нет ID пары",IF(AND(COUNTIFS($Z$59:$Z$505,Z275,$Y$59:$Y$505,"Оптимальный",$W$59:$W$505,"Рассчитан")=1,COUNTIFS($Z$59:$Z$505,Z275,$Y$59:$Y$505,"Агрессивный",$W$59:$W$505,"Рассчитан")=1),"Да","Нет")))</x:f>
      </x:c>
      <x:c r="AF275" s="5"/>
      <x:c r="AG275" s="5"/>
    </x:row>
    <x:row r="276">
      <x:c r="A276" s="80"/>
      <x:c r="B276" s="80"/>
      <x:c r="C276" s="83"/>
      <x:c r="D276" s="80"/>
      <x:c r="E276" s="80"/>
      <x:c r="F276" s="86"/>
      <x:c r="G276" s="80"/>
      <x:c r="H276" s="95"/>
      <x:c r="I276" s="95"/>
      <x:c r="J276" s="96"/>
      <x:c r="K276" s="97"/>
      <x:c r="L276" s="98"/>
      <x:c r="M276" s="98"/>
      <x:c r="N276" s="98"/>
      <x:c r="O276" s="98"/>
      <x:c r="P276" s="98"/>
      <x:c r="Q276" s="80"/>
      <x:c r="R276" s="80"/>
      <x:c r="S276" s="80"/>
      <x:c r="T276" s="80"/>
      <x:c r="U276" s="80"/>
      <x:c r="V276" s="89" t="str">
        <x:f>IF(A276="","",IF(U276="","",IF(U276="Выигрыш",J276-1,IF(U276="Полувыигрыш",(J276-1)/2,IF(U276="Возврат",0,IF(U276="Полупроигрыш",-0.5,IF(U276="Поражение",-1,"Проверить результат")))))))</x:f>
      </x:c>
      <x:c r="W276" s="80" t="str">
        <x:f>IF(A276="","",IF(U276="","Открыт",IF(ISNUMBER(V276),"Рассчитан","Проверить результат")))</x:f>
      </x:c>
      <x:c r="X276" s="98"/>
      <x:c r="Y276" s="5"/>
      <x:c r="Z276" s="5"/>
      <x:c r="AA276" s="5"/>
      <x:c r="AB276" s="118"/>
      <x:c r="AC276" s="119"/>
      <x:c r="AD276" s="119"/>
      <x:c r="AE276" s="5" t="str">
        <x:f>IF(A276="","",IF(Z276="","Нет ID пары",IF(AND(COUNTIFS($Z$59:$Z$505,Z276,$Y$59:$Y$505,"Оптимальный",$W$59:$W$505,"Рассчитан")=1,COUNTIFS($Z$59:$Z$505,Z276,$Y$59:$Y$505,"Агрессивный",$W$59:$W$505,"Рассчитан")=1),"Да","Нет")))</x:f>
      </x:c>
      <x:c r="AF276" s="5"/>
      <x:c r="AG276" s="5"/>
    </x:row>
    <x:row r="277">
      <x:c r="A277" s="80"/>
      <x:c r="B277" s="80"/>
      <x:c r="C277" s="83"/>
      <x:c r="D277" s="80"/>
      <x:c r="E277" s="80"/>
      <x:c r="F277" s="86"/>
      <x:c r="G277" s="80"/>
      <x:c r="H277" s="95"/>
      <x:c r="I277" s="95"/>
      <x:c r="J277" s="96"/>
      <x:c r="K277" s="97"/>
      <x:c r="L277" s="98"/>
      <x:c r="M277" s="98"/>
      <x:c r="N277" s="98"/>
      <x:c r="O277" s="98"/>
      <x:c r="P277" s="98"/>
      <x:c r="Q277" s="80"/>
      <x:c r="R277" s="80"/>
      <x:c r="S277" s="80"/>
      <x:c r="T277" s="80"/>
      <x:c r="U277" s="80"/>
      <x:c r="V277" s="89" t="str">
        <x:f>IF(A277="","",IF(U277="","",IF(U277="Выигрыш",J277-1,IF(U277="Полувыигрыш",(J277-1)/2,IF(U277="Возврат",0,IF(U277="Полупроигрыш",-0.5,IF(U277="Поражение",-1,"Проверить результат")))))))</x:f>
      </x:c>
      <x:c r="W277" s="80" t="str">
        <x:f>IF(A277="","",IF(U277="","Открыт",IF(ISNUMBER(V277),"Рассчитан","Проверить результат")))</x:f>
      </x:c>
      <x:c r="X277" s="98"/>
      <x:c r="Y277" s="5"/>
      <x:c r="Z277" s="5"/>
      <x:c r="AA277" s="5"/>
      <x:c r="AB277" s="118"/>
      <x:c r="AC277" s="119"/>
      <x:c r="AD277" s="119"/>
      <x:c r="AE277" s="5" t="str">
        <x:f>IF(A277="","",IF(Z277="","Нет ID пары",IF(AND(COUNTIFS($Z$59:$Z$505,Z277,$Y$59:$Y$505,"Оптимальный",$W$59:$W$505,"Рассчитан")=1,COUNTIFS($Z$59:$Z$505,Z277,$Y$59:$Y$505,"Агрессивный",$W$59:$W$505,"Рассчитан")=1),"Да","Нет")))</x:f>
      </x:c>
      <x:c r="AF277" s="5"/>
      <x:c r="AG277" s="5"/>
    </x:row>
    <x:row r="278">
      <x:c r="A278" s="80"/>
      <x:c r="B278" s="80"/>
      <x:c r="C278" s="83"/>
      <x:c r="D278" s="80"/>
      <x:c r="E278" s="80"/>
      <x:c r="F278" s="86"/>
      <x:c r="G278" s="80"/>
      <x:c r="H278" s="95"/>
      <x:c r="I278" s="95"/>
      <x:c r="J278" s="96"/>
      <x:c r="K278" s="97"/>
      <x:c r="L278" s="98"/>
      <x:c r="M278" s="98"/>
      <x:c r="N278" s="98"/>
      <x:c r="O278" s="98"/>
      <x:c r="P278" s="98"/>
      <x:c r="Q278" s="80"/>
      <x:c r="R278" s="80"/>
      <x:c r="S278" s="80"/>
      <x:c r="T278" s="80"/>
      <x:c r="U278" s="80"/>
      <x:c r="V278" s="89" t="str">
        <x:f>IF(A278="","",IF(U278="","",IF(U278="Выигрыш",J278-1,IF(U278="Полувыигрыш",(J278-1)/2,IF(U278="Возврат",0,IF(U278="Полупроигрыш",-0.5,IF(U278="Поражение",-1,"Проверить результат")))))))</x:f>
      </x:c>
      <x:c r="W278" s="80" t="str">
        <x:f>IF(A278="","",IF(U278="","Открыт",IF(ISNUMBER(V278),"Рассчитан","Проверить результат")))</x:f>
      </x:c>
      <x:c r="X278" s="98"/>
      <x:c r="Y278" s="5"/>
      <x:c r="Z278" s="5"/>
      <x:c r="AA278" s="5"/>
      <x:c r="AB278" s="118"/>
      <x:c r="AC278" s="119"/>
      <x:c r="AD278" s="119"/>
      <x:c r="AE278" s="5" t="str">
        <x:f>IF(A278="","",IF(Z278="","Нет ID пары",IF(AND(COUNTIFS($Z$59:$Z$505,Z278,$Y$59:$Y$505,"Оптимальный",$W$59:$W$505,"Рассчитан")=1,COUNTIFS($Z$59:$Z$505,Z278,$Y$59:$Y$505,"Агрессивный",$W$59:$W$505,"Рассчитан")=1),"Да","Нет")))</x:f>
      </x:c>
      <x:c r="AF278" s="5"/>
      <x:c r="AG278" s="5"/>
    </x:row>
    <x:row r="279">
      <x:c r="A279" s="80"/>
      <x:c r="B279" s="80"/>
      <x:c r="C279" s="83"/>
      <x:c r="D279" s="80"/>
      <x:c r="E279" s="80"/>
      <x:c r="F279" s="86"/>
      <x:c r="G279" s="80"/>
      <x:c r="H279" s="95"/>
      <x:c r="I279" s="95"/>
      <x:c r="J279" s="96"/>
      <x:c r="K279" s="97"/>
      <x:c r="L279" s="98"/>
      <x:c r="M279" s="98"/>
      <x:c r="N279" s="98"/>
      <x:c r="O279" s="98"/>
      <x:c r="P279" s="98"/>
      <x:c r="Q279" s="80"/>
      <x:c r="R279" s="80"/>
      <x:c r="S279" s="80"/>
      <x:c r="T279" s="80"/>
      <x:c r="U279" s="80"/>
      <x:c r="V279" s="89" t="str">
        <x:f>IF(A279="","",IF(U279="","",IF(U279="Выигрыш",J279-1,IF(U279="Полувыигрыш",(J279-1)/2,IF(U279="Возврат",0,IF(U279="Полупроигрыш",-0.5,IF(U279="Поражение",-1,"Проверить результат")))))))</x:f>
      </x:c>
      <x:c r="W279" s="80" t="str">
        <x:f>IF(A279="","",IF(U279="","Открыт",IF(ISNUMBER(V279),"Рассчитан","Проверить результат")))</x:f>
      </x:c>
      <x:c r="X279" s="98"/>
      <x:c r="Y279" s="5"/>
      <x:c r="Z279" s="5"/>
      <x:c r="AA279" s="5"/>
      <x:c r="AB279" s="118"/>
      <x:c r="AC279" s="119"/>
      <x:c r="AD279" s="119"/>
      <x:c r="AE279" s="5" t="str">
        <x:f>IF(A279="","",IF(Z279="","Нет ID пары",IF(AND(COUNTIFS($Z$59:$Z$505,Z279,$Y$59:$Y$505,"Оптимальный",$W$59:$W$505,"Рассчитан")=1,COUNTIFS($Z$59:$Z$505,Z279,$Y$59:$Y$505,"Агрессивный",$W$59:$W$505,"Рассчитан")=1),"Да","Нет")))</x:f>
      </x:c>
      <x:c r="AF279" s="5"/>
      <x:c r="AG279" s="5"/>
    </x:row>
    <x:row r="280">
      <x:c r="A280" s="80"/>
      <x:c r="B280" s="80"/>
      <x:c r="C280" s="83"/>
      <x:c r="D280" s="80"/>
      <x:c r="E280" s="80"/>
      <x:c r="F280" s="86"/>
      <x:c r="G280" s="80"/>
      <x:c r="H280" s="95"/>
      <x:c r="I280" s="95"/>
      <x:c r="J280" s="96"/>
      <x:c r="K280" s="97"/>
      <x:c r="L280" s="98"/>
      <x:c r="M280" s="98"/>
      <x:c r="N280" s="98"/>
      <x:c r="O280" s="98"/>
      <x:c r="P280" s="98"/>
      <x:c r="Q280" s="80"/>
      <x:c r="R280" s="80"/>
      <x:c r="S280" s="80"/>
      <x:c r="T280" s="80"/>
      <x:c r="U280" s="80"/>
      <x:c r="V280" s="89" t="str">
        <x:f>IF(A280="","",IF(U280="","",IF(U280="Выигрыш",J280-1,IF(U280="Полувыигрыш",(J280-1)/2,IF(U280="Возврат",0,IF(U280="Полупроигрыш",-0.5,IF(U280="Поражение",-1,"Проверить результат")))))))</x:f>
      </x:c>
      <x:c r="W280" s="80" t="str">
        <x:f>IF(A280="","",IF(U280="","Открыт",IF(ISNUMBER(V280),"Рассчитан","Проверить результат")))</x:f>
      </x:c>
      <x:c r="X280" s="98"/>
      <x:c r="Y280" s="5"/>
      <x:c r="Z280" s="5"/>
      <x:c r="AA280" s="5"/>
      <x:c r="AB280" s="118"/>
      <x:c r="AC280" s="119"/>
      <x:c r="AD280" s="119"/>
      <x:c r="AE280" s="5" t="str">
        <x:f>IF(A280="","",IF(Z280="","Нет ID пары",IF(AND(COUNTIFS($Z$59:$Z$505,Z280,$Y$59:$Y$505,"Оптимальный",$W$59:$W$505,"Рассчитан")=1,COUNTIFS($Z$59:$Z$505,Z280,$Y$59:$Y$505,"Агрессивный",$W$59:$W$505,"Рассчитан")=1),"Да","Нет")))</x:f>
      </x:c>
      <x:c r="AF280" s="5"/>
      <x:c r="AG280" s="5"/>
    </x:row>
    <x:row r="281">
      <x:c r="A281" s="80"/>
      <x:c r="B281" s="80"/>
      <x:c r="C281" s="83"/>
      <x:c r="D281" s="80"/>
      <x:c r="E281" s="80"/>
      <x:c r="F281" s="86"/>
      <x:c r="G281" s="80"/>
      <x:c r="H281" s="95"/>
      <x:c r="I281" s="95"/>
      <x:c r="J281" s="96"/>
      <x:c r="K281" s="97"/>
      <x:c r="L281" s="98"/>
      <x:c r="M281" s="98"/>
      <x:c r="N281" s="98"/>
      <x:c r="O281" s="98"/>
      <x:c r="P281" s="98"/>
      <x:c r="Q281" s="80"/>
      <x:c r="R281" s="80"/>
      <x:c r="S281" s="80"/>
      <x:c r="T281" s="80"/>
      <x:c r="U281" s="80"/>
      <x:c r="V281" s="89" t="str">
        <x:f>IF(A281="","",IF(U281="","",IF(U281="Выигрыш",J281-1,IF(U281="Полувыигрыш",(J281-1)/2,IF(U281="Возврат",0,IF(U281="Полупроигрыш",-0.5,IF(U281="Поражение",-1,"Проверить результат")))))))</x:f>
      </x:c>
      <x:c r="W281" s="80" t="str">
        <x:f>IF(A281="","",IF(U281="","Открыт",IF(ISNUMBER(V281),"Рассчитан","Проверить результат")))</x:f>
      </x:c>
      <x:c r="X281" s="98"/>
      <x:c r="Y281" s="5"/>
      <x:c r="Z281" s="5"/>
      <x:c r="AA281" s="5"/>
      <x:c r="AB281" s="118"/>
      <x:c r="AC281" s="119"/>
      <x:c r="AD281" s="119"/>
      <x:c r="AE281" s="5" t="str">
        <x:f>IF(A281="","",IF(Z281="","Нет ID пары",IF(AND(COUNTIFS($Z$59:$Z$505,Z281,$Y$59:$Y$505,"Оптимальный",$W$59:$W$505,"Рассчитан")=1,COUNTIFS($Z$59:$Z$505,Z281,$Y$59:$Y$505,"Агрессивный",$W$59:$W$505,"Рассчитан")=1),"Да","Нет")))</x:f>
      </x:c>
      <x:c r="AF281" s="5"/>
      <x:c r="AG281" s="5"/>
    </x:row>
    <x:row r="282">
      <x:c r="A282" s="80"/>
      <x:c r="B282" s="80"/>
      <x:c r="C282" s="83"/>
      <x:c r="D282" s="80"/>
      <x:c r="E282" s="80"/>
      <x:c r="F282" s="86"/>
      <x:c r="G282" s="80"/>
      <x:c r="H282" s="95"/>
      <x:c r="I282" s="95"/>
      <x:c r="J282" s="96"/>
      <x:c r="K282" s="97"/>
      <x:c r="L282" s="98"/>
      <x:c r="M282" s="98"/>
      <x:c r="N282" s="98"/>
      <x:c r="O282" s="98"/>
      <x:c r="P282" s="98"/>
      <x:c r="Q282" s="80"/>
      <x:c r="R282" s="80"/>
      <x:c r="S282" s="80"/>
      <x:c r="T282" s="80"/>
      <x:c r="U282" s="80"/>
      <x:c r="V282" s="89" t="str">
        <x:f>IF(A282="","",IF(U282="","",IF(U282="Выигрыш",J282-1,IF(U282="Полувыигрыш",(J282-1)/2,IF(U282="Возврат",0,IF(U282="Полупроигрыш",-0.5,IF(U282="Поражение",-1,"Проверить результат")))))))</x:f>
      </x:c>
      <x:c r="W282" s="80" t="str">
        <x:f>IF(A282="","",IF(U282="","Открыт",IF(ISNUMBER(V282),"Рассчитан","Проверить результат")))</x:f>
      </x:c>
      <x:c r="X282" s="98"/>
      <x:c r="Y282" s="5"/>
      <x:c r="Z282" s="5"/>
      <x:c r="AA282" s="5"/>
      <x:c r="AB282" s="118"/>
      <x:c r="AC282" s="119"/>
      <x:c r="AD282" s="119"/>
      <x:c r="AE282" s="5" t="str">
        <x:f>IF(A282="","",IF(Z282="","Нет ID пары",IF(AND(COUNTIFS($Z$59:$Z$505,Z282,$Y$59:$Y$505,"Оптимальный",$W$59:$W$505,"Рассчитан")=1,COUNTIFS($Z$59:$Z$505,Z282,$Y$59:$Y$505,"Агрессивный",$W$59:$W$505,"Рассчитан")=1),"Да","Нет")))</x:f>
      </x:c>
      <x:c r="AF282" s="5"/>
      <x:c r="AG282" s="5"/>
    </x:row>
    <x:row r="283">
      <x:c r="A283" s="80"/>
      <x:c r="B283" s="80"/>
      <x:c r="C283" s="83"/>
      <x:c r="D283" s="80"/>
      <x:c r="E283" s="80"/>
      <x:c r="F283" s="86"/>
      <x:c r="G283" s="80"/>
      <x:c r="H283" s="95"/>
      <x:c r="I283" s="95"/>
      <x:c r="J283" s="96"/>
      <x:c r="K283" s="97"/>
      <x:c r="L283" s="98"/>
      <x:c r="M283" s="98"/>
      <x:c r="N283" s="98"/>
      <x:c r="O283" s="98"/>
      <x:c r="P283" s="98"/>
      <x:c r="Q283" s="80"/>
      <x:c r="R283" s="80"/>
      <x:c r="S283" s="80"/>
      <x:c r="T283" s="80"/>
      <x:c r="U283" s="80"/>
      <x:c r="V283" s="89" t="str">
        <x:f>IF(A283="","",IF(U283="","",IF(U283="Выигрыш",J283-1,IF(U283="Полувыигрыш",(J283-1)/2,IF(U283="Возврат",0,IF(U283="Полупроигрыш",-0.5,IF(U283="Поражение",-1,"Проверить результат")))))))</x:f>
      </x:c>
      <x:c r="W283" s="80" t="str">
        <x:f>IF(A283="","",IF(U283="","Открыт",IF(ISNUMBER(V283),"Рассчитан","Проверить результат")))</x:f>
      </x:c>
      <x:c r="X283" s="98"/>
      <x:c r="Y283" s="5"/>
      <x:c r="Z283" s="5"/>
      <x:c r="AA283" s="5"/>
      <x:c r="AB283" s="118"/>
      <x:c r="AC283" s="119"/>
      <x:c r="AD283" s="119"/>
      <x:c r="AE283" s="5" t="str">
        <x:f>IF(A283="","",IF(Z283="","Нет ID пары",IF(AND(COUNTIFS($Z$59:$Z$505,Z283,$Y$59:$Y$505,"Оптимальный",$W$59:$W$505,"Рассчитан")=1,COUNTIFS($Z$59:$Z$505,Z283,$Y$59:$Y$505,"Агрессивный",$W$59:$W$505,"Рассчитан")=1),"Да","Нет")))</x:f>
      </x:c>
      <x:c r="AF283" s="5"/>
      <x:c r="AG283" s="5"/>
    </x:row>
    <x:row r="284">
      <x:c r="A284" s="80"/>
      <x:c r="B284" s="80"/>
      <x:c r="C284" s="83"/>
      <x:c r="D284" s="80"/>
      <x:c r="E284" s="80"/>
      <x:c r="F284" s="86"/>
      <x:c r="G284" s="80"/>
      <x:c r="H284" s="95"/>
      <x:c r="I284" s="95"/>
      <x:c r="J284" s="96"/>
      <x:c r="K284" s="97"/>
      <x:c r="L284" s="98"/>
      <x:c r="M284" s="98"/>
      <x:c r="N284" s="98"/>
      <x:c r="O284" s="98"/>
      <x:c r="P284" s="98"/>
      <x:c r="Q284" s="80"/>
      <x:c r="R284" s="80"/>
      <x:c r="S284" s="80"/>
      <x:c r="T284" s="80"/>
      <x:c r="U284" s="80"/>
      <x:c r="V284" s="89" t="str">
        <x:f>IF(A284="","",IF(U284="","",IF(U284="Выигрыш",J284-1,IF(U284="Полувыигрыш",(J284-1)/2,IF(U284="Возврат",0,IF(U284="Полупроигрыш",-0.5,IF(U284="Поражение",-1,"Проверить результат")))))))</x:f>
      </x:c>
      <x:c r="W284" s="80" t="str">
        <x:f>IF(A284="","",IF(U284="","Открыт",IF(ISNUMBER(V284),"Рассчитан","Проверить результат")))</x:f>
      </x:c>
      <x:c r="X284" s="98"/>
      <x:c r="Y284" s="5"/>
      <x:c r="Z284" s="5"/>
      <x:c r="AA284" s="5"/>
      <x:c r="AB284" s="118"/>
      <x:c r="AC284" s="119"/>
      <x:c r="AD284" s="119"/>
      <x:c r="AE284" s="5" t="str">
        <x:f>IF(A284="","",IF(Z284="","Нет ID пары",IF(AND(COUNTIFS($Z$59:$Z$505,Z284,$Y$59:$Y$505,"Оптимальный",$W$59:$W$505,"Рассчитан")=1,COUNTIFS($Z$59:$Z$505,Z284,$Y$59:$Y$505,"Агрессивный",$W$59:$W$505,"Рассчитан")=1),"Да","Нет")))</x:f>
      </x:c>
      <x:c r="AF284" s="5"/>
      <x:c r="AG284" s="5"/>
    </x:row>
    <x:row r="285">
      <x:c r="A285" s="80"/>
      <x:c r="B285" s="80"/>
      <x:c r="C285" s="83"/>
      <x:c r="D285" s="80"/>
      <x:c r="E285" s="80"/>
      <x:c r="F285" s="86"/>
      <x:c r="G285" s="80"/>
      <x:c r="H285" s="95"/>
      <x:c r="I285" s="95"/>
      <x:c r="J285" s="96"/>
      <x:c r="K285" s="97"/>
      <x:c r="L285" s="98"/>
      <x:c r="M285" s="98"/>
      <x:c r="N285" s="98"/>
      <x:c r="O285" s="98"/>
      <x:c r="P285" s="98"/>
      <x:c r="Q285" s="80"/>
      <x:c r="R285" s="80"/>
      <x:c r="S285" s="80"/>
      <x:c r="T285" s="80"/>
      <x:c r="U285" s="80"/>
      <x:c r="V285" s="89" t="str">
        <x:f>IF(A285="","",IF(U285="","",IF(U285="Выигрыш",J285-1,IF(U285="Полувыигрыш",(J285-1)/2,IF(U285="Возврат",0,IF(U285="Полупроигрыш",-0.5,IF(U285="Поражение",-1,"Проверить результат")))))))</x:f>
      </x:c>
      <x:c r="W285" s="80" t="str">
        <x:f>IF(A285="","",IF(U285="","Открыт",IF(ISNUMBER(V285),"Рассчитан","Проверить результат")))</x:f>
      </x:c>
      <x:c r="X285" s="98"/>
      <x:c r="Y285" s="5"/>
      <x:c r="Z285" s="5"/>
      <x:c r="AA285" s="5"/>
      <x:c r="AB285" s="118"/>
      <x:c r="AC285" s="119"/>
      <x:c r="AD285" s="119"/>
      <x:c r="AE285" s="5" t="str">
        <x:f>IF(A285="","",IF(Z285="","Нет ID пары",IF(AND(COUNTIFS($Z$59:$Z$505,Z285,$Y$59:$Y$505,"Оптимальный",$W$59:$W$505,"Рассчитан")=1,COUNTIFS($Z$59:$Z$505,Z285,$Y$59:$Y$505,"Агрессивный",$W$59:$W$505,"Рассчитан")=1),"Да","Нет")))</x:f>
      </x:c>
      <x:c r="AF285" s="5"/>
      <x:c r="AG285" s="5"/>
    </x:row>
    <x:row r="286">
      <x:c r="A286" s="80"/>
      <x:c r="B286" s="80"/>
      <x:c r="C286" s="83"/>
      <x:c r="D286" s="80"/>
      <x:c r="E286" s="80"/>
      <x:c r="F286" s="86"/>
      <x:c r="G286" s="80"/>
      <x:c r="H286" s="95"/>
      <x:c r="I286" s="95"/>
      <x:c r="J286" s="96"/>
      <x:c r="K286" s="97"/>
      <x:c r="L286" s="98"/>
      <x:c r="M286" s="98"/>
      <x:c r="N286" s="98"/>
      <x:c r="O286" s="98"/>
      <x:c r="P286" s="98"/>
      <x:c r="Q286" s="80"/>
      <x:c r="R286" s="80"/>
      <x:c r="S286" s="80"/>
      <x:c r="T286" s="80"/>
      <x:c r="U286" s="80"/>
      <x:c r="V286" s="89" t="str">
        <x:f>IF(A286="","",IF(U286="","",IF(U286="Выигрыш",J286-1,IF(U286="Полувыигрыш",(J286-1)/2,IF(U286="Возврат",0,IF(U286="Полупроигрыш",-0.5,IF(U286="Поражение",-1,"Проверить результат")))))))</x:f>
      </x:c>
      <x:c r="W286" s="80" t="str">
        <x:f>IF(A286="","",IF(U286="","Открыт",IF(ISNUMBER(V286),"Рассчитан","Проверить результат")))</x:f>
      </x:c>
      <x:c r="X286" s="98"/>
      <x:c r="Y286" s="5"/>
      <x:c r="Z286" s="5"/>
      <x:c r="AA286" s="5"/>
      <x:c r="AB286" s="118"/>
      <x:c r="AC286" s="119"/>
      <x:c r="AD286" s="119"/>
      <x:c r="AE286" s="5" t="str">
        <x:f>IF(A286="","",IF(Z286="","Нет ID пары",IF(AND(COUNTIFS($Z$59:$Z$505,Z286,$Y$59:$Y$505,"Оптимальный",$W$59:$W$505,"Рассчитан")=1,COUNTIFS($Z$59:$Z$505,Z286,$Y$59:$Y$505,"Агрессивный",$W$59:$W$505,"Рассчитан")=1),"Да","Нет")))</x:f>
      </x:c>
      <x:c r="AF286" s="5"/>
      <x:c r="AG286" s="5"/>
    </x:row>
    <x:row r="287">
      <x:c r="A287" s="80"/>
      <x:c r="B287" s="80"/>
      <x:c r="C287" s="83"/>
      <x:c r="D287" s="80"/>
      <x:c r="E287" s="80"/>
      <x:c r="F287" s="86"/>
      <x:c r="G287" s="80"/>
      <x:c r="H287" s="95"/>
      <x:c r="I287" s="95"/>
      <x:c r="J287" s="96"/>
      <x:c r="K287" s="97"/>
      <x:c r="L287" s="98"/>
      <x:c r="M287" s="98"/>
      <x:c r="N287" s="98"/>
      <x:c r="O287" s="98"/>
      <x:c r="P287" s="98"/>
      <x:c r="Q287" s="80"/>
      <x:c r="R287" s="80"/>
      <x:c r="S287" s="80"/>
      <x:c r="T287" s="80"/>
      <x:c r="U287" s="80"/>
      <x:c r="V287" s="89" t="str">
        <x:f>IF(A287="","",IF(U287="","",IF(U287="Выигрыш",J287-1,IF(U287="Полувыигрыш",(J287-1)/2,IF(U287="Возврат",0,IF(U287="Полупроигрыш",-0.5,IF(U287="Поражение",-1,"Проверить результат")))))))</x:f>
      </x:c>
      <x:c r="W287" s="80" t="str">
        <x:f>IF(A287="","",IF(U287="","Открыт",IF(ISNUMBER(V287),"Рассчитан","Проверить результат")))</x:f>
      </x:c>
      <x:c r="X287" s="98"/>
      <x:c r="Y287" s="5"/>
      <x:c r="Z287" s="5"/>
      <x:c r="AA287" s="5"/>
      <x:c r="AB287" s="118"/>
      <x:c r="AC287" s="119"/>
      <x:c r="AD287" s="119"/>
      <x:c r="AE287" s="5" t="str">
        <x:f>IF(A287="","",IF(Z287="","Нет ID пары",IF(AND(COUNTIFS($Z$59:$Z$505,Z287,$Y$59:$Y$505,"Оптимальный",$W$59:$W$505,"Рассчитан")=1,COUNTIFS($Z$59:$Z$505,Z287,$Y$59:$Y$505,"Агрессивный",$W$59:$W$505,"Рассчитан")=1),"Да","Нет")))</x:f>
      </x:c>
      <x:c r="AF287" s="5"/>
      <x:c r="AG287" s="5"/>
    </x:row>
    <x:row r="288">
      <x:c r="A288" s="80"/>
      <x:c r="B288" s="80"/>
      <x:c r="C288" s="83"/>
      <x:c r="D288" s="80"/>
      <x:c r="E288" s="80"/>
      <x:c r="F288" s="86"/>
      <x:c r="G288" s="80"/>
      <x:c r="H288" s="95"/>
      <x:c r="I288" s="95"/>
      <x:c r="J288" s="96"/>
      <x:c r="K288" s="97"/>
      <x:c r="L288" s="98"/>
      <x:c r="M288" s="98"/>
      <x:c r="N288" s="98"/>
      <x:c r="O288" s="98"/>
      <x:c r="P288" s="98"/>
      <x:c r="Q288" s="80"/>
      <x:c r="R288" s="80"/>
      <x:c r="S288" s="80"/>
      <x:c r="T288" s="80"/>
      <x:c r="U288" s="80"/>
      <x:c r="V288" s="89" t="str">
        <x:f>IF(A288="","",IF(U288="","",IF(U288="Выигрыш",J288-1,IF(U288="Полувыигрыш",(J288-1)/2,IF(U288="Возврат",0,IF(U288="Полупроигрыш",-0.5,IF(U288="Поражение",-1,"Проверить результат")))))))</x:f>
      </x:c>
      <x:c r="W288" s="80" t="str">
        <x:f>IF(A288="","",IF(U288="","Открыт",IF(ISNUMBER(V288),"Рассчитан","Проверить результат")))</x:f>
      </x:c>
      <x:c r="X288" s="98"/>
      <x:c r="Y288" s="5"/>
      <x:c r="Z288" s="5"/>
      <x:c r="AA288" s="5"/>
      <x:c r="AB288" s="118"/>
      <x:c r="AC288" s="119"/>
      <x:c r="AD288" s="119"/>
      <x:c r="AE288" s="5" t="str">
        <x:f>IF(A288="","",IF(Z288="","Нет ID пары",IF(AND(COUNTIFS($Z$59:$Z$505,Z288,$Y$59:$Y$505,"Оптимальный",$W$59:$W$505,"Рассчитан")=1,COUNTIFS($Z$59:$Z$505,Z288,$Y$59:$Y$505,"Агрессивный",$W$59:$W$505,"Рассчитан")=1),"Да","Нет")))</x:f>
      </x:c>
      <x:c r="AF288" s="5"/>
      <x:c r="AG288" s="5"/>
    </x:row>
    <x:row r="289">
      <x:c r="A289" s="80"/>
      <x:c r="B289" s="80"/>
      <x:c r="C289" s="83"/>
      <x:c r="D289" s="80"/>
      <x:c r="E289" s="80"/>
      <x:c r="F289" s="86"/>
      <x:c r="G289" s="80"/>
      <x:c r="H289" s="95"/>
      <x:c r="I289" s="95"/>
      <x:c r="J289" s="96"/>
      <x:c r="K289" s="97"/>
      <x:c r="L289" s="98"/>
      <x:c r="M289" s="98"/>
      <x:c r="N289" s="98"/>
      <x:c r="O289" s="98"/>
      <x:c r="P289" s="98"/>
      <x:c r="Q289" s="80"/>
      <x:c r="R289" s="80"/>
      <x:c r="S289" s="80"/>
      <x:c r="T289" s="80"/>
      <x:c r="U289" s="80"/>
      <x:c r="V289" s="89" t="str">
        <x:f>IF(A289="","",IF(U289="","",IF(U289="Выигрыш",J289-1,IF(U289="Полувыигрыш",(J289-1)/2,IF(U289="Возврат",0,IF(U289="Полупроигрыш",-0.5,IF(U289="Поражение",-1,"Проверить результат")))))))</x:f>
      </x:c>
      <x:c r="W289" s="80" t="str">
        <x:f>IF(A289="","",IF(U289="","Открыт",IF(ISNUMBER(V289),"Рассчитан","Проверить результат")))</x:f>
      </x:c>
      <x:c r="X289" s="98"/>
      <x:c r="Y289" s="5"/>
      <x:c r="Z289" s="5"/>
      <x:c r="AA289" s="5"/>
      <x:c r="AB289" s="118"/>
      <x:c r="AC289" s="119"/>
      <x:c r="AD289" s="119"/>
      <x:c r="AE289" s="5" t="str">
        <x:f>IF(A289="","",IF(Z289="","Нет ID пары",IF(AND(COUNTIFS($Z$59:$Z$505,Z289,$Y$59:$Y$505,"Оптимальный",$W$59:$W$505,"Рассчитан")=1,COUNTIFS($Z$59:$Z$505,Z289,$Y$59:$Y$505,"Агрессивный",$W$59:$W$505,"Рассчитан")=1),"Да","Нет")))</x:f>
      </x:c>
      <x:c r="AF289" s="5"/>
      <x:c r="AG289" s="5"/>
    </x:row>
    <x:row r="290">
      <x:c r="A290" s="80"/>
      <x:c r="B290" s="80"/>
      <x:c r="C290" s="83"/>
      <x:c r="D290" s="80"/>
      <x:c r="E290" s="80"/>
      <x:c r="F290" s="86"/>
      <x:c r="G290" s="80"/>
      <x:c r="H290" s="95"/>
      <x:c r="I290" s="95"/>
      <x:c r="J290" s="96"/>
      <x:c r="K290" s="97"/>
      <x:c r="L290" s="98"/>
      <x:c r="M290" s="98"/>
      <x:c r="N290" s="98"/>
      <x:c r="O290" s="98"/>
      <x:c r="P290" s="98"/>
      <x:c r="Q290" s="80"/>
      <x:c r="R290" s="80"/>
      <x:c r="S290" s="80"/>
      <x:c r="T290" s="80"/>
      <x:c r="U290" s="80"/>
      <x:c r="V290" s="89" t="str">
        <x:f>IF(A290="","",IF(U290="","",IF(U290="Выигрыш",J290-1,IF(U290="Полувыигрыш",(J290-1)/2,IF(U290="Возврат",0,IF(U290="Полупроигрыш",-0.5,IF(U290="Поражение",-1,"Проверить результат")))))))</x:f>
      </x:c>
      <x:c r="W290" s="80" t="str">
        <x:f>IF(A290="","",IF(U290="","Открыт",IF(ISNUMBER(V290),"Рассчитан","Проверить результат")))</x:f>
      </x:c>
      <x:c r="X290" s="98"/>
      <x:c r="Y290" s="5"/>
      <x:c r="Z290" s="5"/>
      <x:c r="AA290" s="5"/>
      <x:c r="AB290" s="118"/>
      <x:c r="AC290" s="119"/>
      <x:c r="AD290" s="119"/>
      <x:c r="AE290" s="5" t="str">
        <x:f>IF(A290="","",IF(Z290="","Нет ID пары",IF(AND(COUNTIFS($Z$59:$Z$505,Z290,$Y$59:$Y$505,"Оптимальный",$W$59:$W$505,"Рассчитан")=1,COUNTIFS($Z$59:$Z$505,Z290,$Y$59:$Y$505,"Агрессивный",$W$59:$W$505,"Рассчитан")=1),"Да","Нет")))</x:f>
      </x:c>
      <x:c r="AF290" s="5"/>
      <x:c r="AG290" s="5"/>
    </x:row>
    <x:row r="291">
      <x:c r="A291" s="80"/>
      <x:c r="B291" s="80"/>
      <x:c r="C291" s="83"/>
      <x:c r="D291" s="80"/>
      <x:c r="E291" s="80"/>
      <x:c r="F291" s="86"/>
      <x:c r="G291" s="80"/>
      <x:c r="H291" s="95"/>
      <x:c r="I291" s="95"/>
      <x:c r="J291" s="96"/>
      <x:c r="K291" s="97"/>
      <x:c r="L291" s="98"/>
      <x:c r="M291" s="98"/>
      <x:c r="N291" s="98"/>
      <x:c r="O291" s="98"/>
      <x:c r="P291" s="98"/>
      <x:c r="Q291" s="80"/>
      <x:c r="R291" s="80"/>
      <x:c r="S291" s="80"/>
      <x:c r="T291" s="80"/>
      <x:c r="U291" s="80"/>
      <x:c r="V291" s="89" t="str">
        <x:f>IF(A291="","",IF(U291="","",IF(U291="Выигрыш",J291-1,IF(U291="Полувыигрыш",(J291-1)/2,IF(U291="Возврат",0,IF(U291="Полупроигрыш",-0.5,IF(U291="Поражение",-1,"Проверить результат")))))))</x:f>
      </x:c>
      <x:c r="W291" s="80" t="str">
        <x:f>IF(A291="","",IF(U291="","Открыт",IF(ISNUMBER(V291),"Рассчитан","Проверить результат")))</x:f>
      </x:c>
      <x:c r="X291" s="98"/>
      <x:c r="Y291" s="5"/>
      <x:c r="Z291" s="5"/>
      <x:c r="AA291" s="5"/>
      <x:c r="AB291" s="118"/>
      <x:c r="AC291" s="119"/>
      <x:c r="AD291" s="119"/>
      <x:c r="AE291" s="5" t="str">
        <x:f>IF(A291="","",IF(Z291="","Нет ID пары",IF(AND(COUNTIFS($Z$59:$Z$505,Z291,$Y$59:$Y$505,"Оптимальный",$W$59:$W$505,"Рассчитан")=1,COUNTIFS($Z$59:$Z$505,Z291,$Y$59:$Y$505,"Агрессивный",$W$59:$W$505,"Рассчитан")=1),"Да","Нет")))</x:f>
      </x:c>
      <x:c r="AF291" s="5"/>
      <x:c r="AG291" s="5"/>
    </x:row>
    <x:row r="292">
      <x:c r="A292" s="80"/>
      <x:c r="B292" s="80"/>
      <x:c r="C292" s="83"/>
      <x:c r="D292" s="80"/>
      <x:c r="E292" s="80"/>
      <x:c r="F292" s="86"/>
      <x:c r="G292" s="80"/>
      <x:c r="H292" s="95"/>
      <x:c r="I292" s="95"/>
      <x:c r="J292" s="96"/>
      <x:c r="K292" s="97"/>
      <x:c r="L292" s="98"/>
      <x:c r="M292" s="98"/>
      <x:c r="N292" s="98"/>
      <x:c r="O292" s="98"/>
      <x:c r="P292" s="98"/>
      <x:c r="Q292" s="80"/>
      <x:c r="R292" s="80"/>
      <x:c r="S292" s="80"/>
      <x:c r="T292" s="80"/>
      <x:c r="U292" s="80"/>
      <x:c r="V292" s="89" t="str">
        <x:f>IF(A292="","",IF(U292="","",IF(U292="Выигрыш",J292-1,IF(U292="Полувыигрыш",(J292-1)/2,IF(U292="Возврат",0,IF(U292="Полупроигрыш",-0.5,IF(U292="Поражение",-1,"Проверить результат")))))))</x:f>
      </x:c>
      <x:c r="W292" s="80" t="str">
        <x:f>IF(A292="","",IF(U292="","Открыт",IF(ISNUMBER(V292),"Рассчитан","Проверить результат")))</x:f>
      </x:c>
      <x:c r="X292" s="98"/>
      <x:c r="Y292" s="5"/>
      <x:c r="Z292" s="5"/>
      <x:c r="AA292" s="5"/>
      <x:c r="AB292" s="118"/>
      <x:c r="AC292" s="119"/>
      <x:c r="AD292" s="119"/>
      <x:c r="AE292" s="5" t="str">
        <x:f>IF(A292="","",IF(Z292="","Нет ID пары",IF(AND(COUNTIFS($Z$59:$Z$505,Z292,$Y$59:$Y$505,"Оптимальный",$W$59:$W$505,"Рассчитан")=1,COUNTIFS($Z$59:$Z$505,Z292,$Y$59:$Y$505,"Агрессивный",$W$59:$W$505,"Рассчитан")=1),"Да","Нет")))</x:f>
      </x:c>
      <x:c r="AF292" s="5"/>
      <x:c r="AG292" s="5"/>
    </x:row>
    <x:row r="293">
      <x:c r="A293" s="80"/>
      <x:c r="B293" s="80"/>
      <x:c r="C293" s="83"/>
      <x:c r="D293" s="80"/>
      <x:c r="E293" s="80"/>
      <x:c r="F293" s="86"/>
      <x:c r="G293" s="80"/>
      <x:c r="H293" s="95"/>
      <x:c r="I293" s="95"/>
      <x:c r="J293" s="96"/>
      <x:c r="K293" s="97"/>
      <x:c r="L293" s="98"/>
      <x:c r="M293" s="98"/>
      <x:c r="N293" s="98"/>
      <x:c r="O293" s="98"/>
      <x:c r="P293" s="98"/>
      <x:c r="Q293" s="80"/>
      <x:c r="R293" s="80"/>
      <x:c r="S293" s="80"/>
      <x:c r="T293" s="80"/>
      <x:c r="U293" s="80"/>
      <x:c r="V293" s="89" t="str">
        <x:f>IF(A293="","",IF(U293="","",IF(U293="Выигрыш",J293-1,IF(U293="Полувыигрыш",(J293-1)/2,IF(U293="Возврат",0,IF(U293="Полупроигрыш",-0.5,IF(U293="Поражение",-1,"Проверить результат")))))))</x:f>
      </x:c>
      <x:c r="W293" s="80" t="str">
        <x:f>IF(A293="","",IF(U293="","Открыт",IF(ISNUMBER(V293),"Рассчитан","Проверить результат")))</x:f>
      </x:c>
      <x:c r="X293" s="98"/>
      <x:c r="Y293" s="5"/>
      <x:c r="Z293" s="5"/>
      <x:c r="AA293" s="5"/>
      <x:c r="AB293" s="118"/>
      <x:c r="AC293" s="119"/>
      <x:c r="AD293" s="119"/>
      <x:c r="AE293" s="5" t="str">
        <x:f>IF(A293="","",IF(Z293="","Нет ID пары",IF(AND(COUNTIFS($Z$59:$Z$505,Z293,$Y$59:$Y$505,"Оптимальный",$W$59:$W$505,"Рассчитан")=1,COUNTIFS($Z$59:$Z$505,Z293,$Y$59:$Y$505,"Агрессивный",$W$59:$W$505,"Рассчитан")=1),"Да","Нет")))</x:f>
      </x:c>
      <x:c r="AF293" s="5"/>
      <x:c r="AG293" s="5"/>
    </x:row>
    <x:row r="294">
      <x:c r="A294" s="80"/>
      <x:c r="B294" s="80"/>
      <x:c r="C294" s="83"/>
      <x:c r="D294" s="80"/>
      <x:c r="E294" s="80"/>
      <x:c r="F294" s="86"/>
      <x:c r="G294" s="80"/>
      <x:c r="H294" s="95"/>
      <x:c r="I294" s="95"/>
      <x:c r="J294" s="96"/>
      <x:c r="K294" s="97"/>
      <x:c r="L294" s="98"/>
      <x:c r="M294" s="98"/>
      <x:c r="N294" s="98"/>
      <x:c r="O294" s="98"/>
      <x:c r="P294" s="98"/>
      <x:c r="Q294" s="80"/>
      <x:c r="R294" s="80"/>
      <x:c r="S294" s="80"/>
      <x:c r="T294" s="80"/>
      <x:c r="U294" s="80"/>
      <x:c r="V294" s="89" t="str">
        <x:f>IF(A294="","",IF(U294="","",IF(U294="Выигрыш",J294-1,IF(U294="Полувыигрыш",(J294-1)/2,IF(U294="Возврат",0,IF(U294="Полупроигрыш",-0.5,IF(U294="Поражение",-1,"Проверить результат")))))))</x:f>
      </x:c>
      <x:c r="W294" s="80" t="str">
        <x:f>IF(A294="","",IF(U294="","Открыт",IF(ISNUMBER(V294),"Рассчитан","Проверить результат")))</x:f>
      </x:c>
      <x:c r="X294" s="98"/>
      <x:c r="Y294" s="5"/>
      <x:c r="Z294" s="5"/>
      <x:c r="AA294" s="5"/>
      <x:c r="AB294" s="118"/>
      <x:c r="AC294" s="119"/>
      <x:c r="AD294" s="119"/>
      <x:c r="AE294" s="5" t="str">
        <x:f>IF(A294="","",IF(Z294="","Нет ID пары",IF(AND(COUNTIFS($Z$59:$Z$505,Z294,$Y$59:$Y$505,"Оптимальный",$W$59:$W$505,"Рассчитан")=1,COUNTIFS($Z$59:$Z$505,Z294,$Y$59:$Y$505,"Агрессивный",$W$59:$W$505,"Рассчитан")=1),"Да","Нет")))</x:f>
      </x:c>
      <x:c r="AF294" s="5"/>
      <x:c r="AG294" s="5"/>
    </x:row>
    <x:row r="295">
      <x:c r="A295" s="80"/>
      <x:c r="B295" s="80"/>
      <x:c r="C295" s="83"/>
      <x:c r="D295" s="80"/>
      <x:c r="E295" s="80"/>
      <x:c r="F295" s="86"/>
      <x:c r="G295" s="80"/>
      <x:c r="H295" s="95"/>
      <x:c r="I295" s="95"/>
      <x:c r="J295" s="96"/>
      <x:c r="K295" s="97"/>
      <x:c r="L295" s="98"/>
      <x:c r="M295" s="98"/>
      <x:c r="N295" s="98"/>
      <x:c r="O295" s="98"/>
      <x:c r="P295" s="98"/>
      <x:c r="Q295" s="80"/>
      <x:c r="R295" s="80"/>
      <x:c r="S295" s="80"/>
      <x:c r="T295" s="80"/>
      <x:c r="U295" s="80"/>
      <x:c r="V295" s="89" t="str">
        <x:f>IF(A295="","",IF(U295="","",IF(U295="Выигрыш",J295-1,IF(U295="Полувыигрыш",(J295-1)/2,IF(U295="Возврат",0,IF(U295="Полупроигрыш",-0.5,IF(U295="Поражение",-1,"Проверить результат")))))))</x:f>
      </x:c>
      <x:c r="W295" s="80" t="str">
        <x:f>IF(A295="","",IF(U295="","Открыт",IF(ISNUMBER(V295),"Рассчитан","Проверить результат")))</x:f>
      </x:c>
      <x:c r="X295" s="98"/>
      <x:c r="Y295" s="5"/>
      <x:c r="Z295" s="5"/>
      <x:c r="AA295" s="5"/>
      <x:c r="AB295" s="118"/>
      <x:c r="AC295" s="119"/>
      <x:c r="AD295" s="119"/>
      <x:c r="AE295" s="5" t="str">
        <x:f>IF(A295="","",IF(Z295="","Нет ID пары",IF(AND(COUNTIFS($Z$59:$Z$505,Z295,$Y$59:$Y$505,"Оптимальный",$W$59:$W$505,"Рассчитан")=1,COUNTIFS($Z$59:$Z$505,Z295,$Y$59:$Y$505,"Агрессивный",$W$59:$W$505,"Рассчитан")=1),"Да","Нет")))</x:f>
      </x:c>
      <x:c r="AF295" s="5"/>
      <x:c r="AG295" s="5"/>
    </x:row>
    <x:row r="296">
      <x:c r="A296" s="80"/>
      <x:c r="B296" s="80"/>
      <x:c r="C296" s="83"/>
      <x:c r="D296" s="80"/>
      <x:c r="E296" s="80"/>
      <x:c r="F296" s="86"/>
      <x:c r="G296" s="80"/>
      <x:c r="H296" s="95"/>
      <x:c r="I296" s="95"/>
      <x:c r="J296" s="96"/>
      <x:c r="K296" s="97"/>
      <x:c r="L296" s="98"/>
      <x:c r="M296" s="98"/>
      <x:c r="N296" s="98"/>
      <x:c r="O296" s="98"/>
      <x:c r="P296" s="98"/>
      <x:c r="Q296" s="80"/>
      <x:c r="R296" s="80"/>
      <x:c r="S296" s="80"/>
      <x:c r="T296" s="80"/>
      <x:c r="U296" s="80"/>
      <x:c r="V296" s="89" t="str">
        <x:f>IF(A296="","",IF(U296="","",IF(U296="Выигрыш",J296-1,IF(U296="Полувыигрыш",(J296-1)/2,IF(U296="Возврат",0,IF(U296="Полупроигрыш",-0.5,IF(U296="Поражение",-1,"Проверить результат")))))))</x:f>
      </x:c>
      <x:c r="W296" s="80" t="str">
        <x:f>IF(A296="","",IF(U296="","Открыт",IF(ISNUMBER(V296),"Рассчитан","Проверить результат")))</x:f>
      </x:c>
      <x:c r="X296" s="98"/>
      <x:c r="Y296" s="5"/>
      <x:c r="Z296" s="5"/>
      <x:c r="AA296" s="5"/>
      <x:c r="AB296" s="118"/>
      <x:c r="AC296" s="119"/>
      <x:c r="AD296" s="119"/>
      <x:c r="AE296" s="5" t="str">
        <x:f>IF(A296="","",IF(Z296="","Нет ID пары",IF(AND(COUNTIFS($Z$59:$Z$505,Z296,$Y$59:$Y$505,"Оптимальный",$W$59:$W$505,"Рассчитан")=1,COUNTIFS($Z$59:$Z$505,Z296,$Y$59:$Y$505,"Агрессивный",$W$59:$W$505,"Рассчитан")=1),"Да","Нет")))</x:f>
      </x:c>
      <x:c r="AF296" s="5"/>
      <x:c r="AG296" s="5"/>
    </x:row>
    <x:row r="297">
      <x:c r="A297" s="80"/>
      <x:c r="B297" s="80"/>
      <x:c r="C297" s="83"/>
      <x:c r="D297" s="80"/>
      <x:c r="E297" s="80"/>
      <x:c r="F297" s="86"/>
      <x:c r="G297" s="80"/>
      <x:c r="H297" s="95"/>
      <x:c r="I297" s="95"/>
      <x:c r="J297" s="96"/>
      <x:c r="K297" s="97"/>
      <x:c r="L297" s="98"/>
      <x:c r="M297" s="98"/>
      <x:c r="N297" s="98"/>
      <x:c r="O297" s="98"/>
      <x:c r="P297" s="98"/>
      <x:c r="Q297" s="80"/>
      <x:c r="R297" s="80"/>
      <x:c r="S297" s="80"/>
      <x:c r="T297" s="80"/>
      <x:c r="U297" s="80"/>
      <x:c r="V297" s="89" t="str">
        <x:f>IF(A297="","",IF(U297="","",IF(U297="Выигрыш",J297-1,IF(U297="Полувыигрыш",(J297-1)/2,IF(U297="Возврат",0,IF(U297="Полупроигрыш",-0.5,IF(U297="Поражение",-1,"Проверить результат")))))))</x:f>
      </x:c>
      <x:c r="W297" s="80" t="str">
        <x:f>IF(A297="","",IF(U297="","Открыт",IF(ISNUMBER(V297),"Рассчитан","Проверить результат")))</x:f>
      </x:c>
      <x:c r="X297" s="98"/>
      <x:c r="Y297" s="5"/>
      <x:c r="Z297" s="5"/>
      <x:c r="AA297" s="5"/>
      <x:c r="AB297" s="118"/>
      <x:c r="AC297" s="119"/>
      <x:c r="AD297" s="119"/>
      <x:c r="AE297" s="5" t="str">
        <x:f>IF(A297="","",IF(Z297="","Нет ID пары",IF(AND(COUNTIFS($Z$59:$Z$505,Z297,$Y$59:$Y$505,"Оптимальный",$W$59:$W$505,"Рассчитан")=1,COUNTIFS($Z$59:$Z$505,Z297,$Y$59:$Y$505,"Агрессивный",$W$59:$W$505,"Рассчитан")=1),"Да","Нет")))</x:f>
      </x:c>
      <x:c r="AF297" s="5"/>
      <x:c r="AG297" s="5"/>
    </x:row>
    <x:row r="298">
      <x:c r="A298" s="80"/>
      <x:c r="B298" s="80"/>
      <x:c r="C298" s="83"/>
      <x:c r="D298" s="80"/>
      <x:c r="E298" s="80"/>
      <x:c r="F298" s="86"/>
      <x:c r="G298" s="80"/>
      <x:c r="H298" s="95"/>
      <x:c r="I298" s="95"/>
      <x:c r="J298" s="96"/>
      <x:c r="K298" s="97"/>
      <x:c r="L298" s="98"/>
      <x:c r="M298" s="98"/>
      <x:c r="N298" s="98"/>
      <x:c r="O298" s="98"/>
      <x:c r="P298" s="98"/>
      <x:c r="Q298" s="80"/>
      <x:c r="R298" s="80"/>
      <x:c r="S298" s="80"/>
      <x:c r="T298" s="80"/>
      <x:c r="U298" s="80"/>
      <x:c r="V298" s="89" t="str">
        <x:f>IF(A298="","",IF(U298="","",IF(U298="Выигрыш",J298-1,IF(U298="Полувыигрыш",(J298-1)/2,IF(U298="Возврат",0,IF(U298="Полупроигрыш",-0.5,IF(U298="Поражение",-1,"Проверить результат")))))))</x:f>
      </x:c>
      <x:c r="W298" s="80" t="str">
        <x:f>IF(A298="","",IF(U298="","Открыт",IF(ISNUMBER(V298),"Рассчитан","Проверить результат")))</x:f>
      </x:c>
      <x:c r="X298" s="98"/>
      <x:c r="Y298" s="5"/>
      <x:c r="Z298" s="5"/>
      <x:c r="AA298" s="5"/>
      <x:c r="AB298" s="118"/>
      <x:c r="AC298" s="119"/>
      <x:c r="AD298" s="119"/>
      <x:c r="AE298" s="5" t="str">
        <x:f>IF(A298="","",IF(Z298="","Нет ID пары",IF(AND(COUNTIFS($Z$59:$Z$505,Z298,$Y$59:$Y$505,"Оптимальный",$W$59:$W$505,"Рассчитан")=1,COUNTIFS($Z$59:$Z$505,Z298,$Y$59:$Y$505,"Агрессивный",$W$59:$W$505,"Рассчитан")=1),"Да","Нет")))</x:f>
      </x:c>
      <x:c r="AF298" s="5"/>
      <x:c r="AG298" s="5"/>
    </x:row>
    <x:row r="299">
      <x:c r="A299" s="80"/>
      <x:c r="B299" s="80"/>
      <x:c r="C299" s="83"/>
      <x:c r="D299" s="80"/>
      <x:c r="E299" s="80"/>
      <x:c r="F299" s="86"/>
      <x:c r="G299" s="80"/>
      <x:c r="H299" s="95"/>
      <x:c r="I299" s="95"/>
      <x:c r="J299" s="96"/>
      <x:c r="K299" s="97"/>
      <x:c r="L299" s="98"/>
      <x:c r="M299" s="98"/>
      <x:c r="N299" s="98"/>
      <x:c r="O299" s="98"/>
      <x:c r="P299" s="98"/>
      <x:c r="Q299" s="80"/>
      <x:c r="R299" s="80"/>
      <x:c r="S299" s="80"/>
      <x:c r="T299" s="80"/>
      <x:c r="U299" s="80"/>
      <x:c r="V299" s="89" t="str">
        <x:f>IF(A299="","",IF(U299="","",IF(U299="Выигрыш",J299-1,IF(U299="Полувыигрыш",(J299-1)/2,IF(U299="Возврат",0,IF(U299="Полупроигрыш",-0.5,IF(U299="Поражение",-1,"Проверить результат")))))))</x:f>
      </x:c>
      <x:c r="W299" s="80" t="str">
        <x:f>IF(A299="","",IF(U299="","Открыт",IF(ISNUMBER(V299),"Рассчитан","Проверить результат")))</x:f>
      </x:c>
      <x:c r="X299" s="98"/>
      <x:c r="Y299" s="5"/>
      <x:c r="Z299" s="5"/>
      <x:c r="AA299" s="5"/>
      <x:c r="AB299" s="118"/>
      <x:c r="AC299" s="119"/>
      <x:c r="AD299" s="119"/>
      <x:c r="AE299" s="5" t="str">
        <x:f>IF(A299="","",IF(Z299="","Нет ID пары",IF(AND(COUNTIFS($Z$59:$Z$505,Z299,$Y$59:$Y$505,"Оптимальный",$W$59:$W$505,"Рассчитан")=1,COUNTIFS($Z$59:$Z$505,Z299,$Y$59:$Y$505,"Агрессивный",$W$59:$W$505,"Рассчитан")=1),"Да","Нет")))</x:f>
      </x:c>
      <x:c r="AF299" s="5"/>
      <x:c r="AG299" s="5"/>
    </x:row>
    <x:row r="300">
      <x:c r="A300" s="80"/>
      <x:c r="B300" s="80"/>
      <x:c r="C300" s="83"/>
      <x:c r="D300" s="80"/>
      <x:c r="E300" s="80"/>
      <x:c r="F300" s="86"/>
      <x:c r="G300" s="80"/>
      <x:c r="H300" s="95"/>
      <x:c r="I300" s="95"/>
      <x:c r="J300" s="96"/>
      <x:c r="K300" s="97"/>
      <x:c r="L300" s="98"/>
      <x:c r="M300" s="98"/>
      <x:c r="N300" s="98"/>
      <x:c r="O300" s="98"/>
      <x:c r="P300" s="98"/>
      <x:c r="Q300" s="80"/>
      <x:c r="R300" s="80"/>
      <x:c r="S300" s="80"/>
      <x:c r="T300" s="80"/>
      <x:c r="U300" s="80"/>
      <x:c r="V300" s="89" t="str">
        <x:f>IF(A300="","",IF(U300="","",IF(U300="Выигрыш",J300-1,IF(U300="Полувыигрыш",(J300-1)/2,IF(U300="Возврат",0,IF(U300="Полупроигрыш",-0.5,IF(U300="Поражение",-1,"Проверить результат")))))))</x:f>
      </x:c>
      <x:c r="W300" s="80" t="str">
        <x:f>IF(A300="","",IF(U300="","Открыт",IF(ISNUMBER(V300),"Рассчитан","Проверить результат")))</x:f>
      </x:c>
      <x:c r="X300" s="98"/>
      <x:c r="Y300" s="5"/>
      <x:c r="Z300" s="5"/>
      <x:c r="AA300" s="5"/>
      <x:c r="AB300" s="118"/>
      <x:c r="AC300" s="119"/>
      <x:c r="AD300" s="119"/>
      <x:c r="AE300" s="5" t="str">
        <x:f>IF(A300="","",IF(Z300="","Нет ID пары",IF(AND(COUNTIFS($Z$59:$Z$505,Z300,$Y$59:$Y$505,"Оптимальный",$W$59:$W$505,"Рассчитан")=1,COUNTIFS($Z$59:$Z$505,Z300,$Y$59:$Y$505,"Агрессивный",$W$59:$W$505,"Рассчитан")=1),"Да","Нет")))</x:f>
      </x:c>
      <x:c r="AF300" s="5"/>
      <x:c r="AG300" s="5"/>
    </x:row>
    <x:row r="301">
      <x:c r="A301" s="80"/>
      <x:c r="B301" s="80"/>
      <x:c r="C301" s="83"/>
      <x:c r="D301" s="80"/>
      <x:c r="E301" s="80"/>
      <x:c r="F301" s="86"/>
      <x:c r="G301" s="80"/>
      <x:c r="H301" s="95"/>
      <x:c r="I301" s="95"/>
      <x:c r="J301" s="96"/>
      <x:c r="K301" s="97"/>
      <x:c r="L301" s="98"/>
      <x:c r="M301" s="98"/>
      <x:c r="N301" s="98"/>
      <x:c r="O301" s="98"/>
      <x:c r="P301" s="98"/>
      <x:c r="Q301" s="80"/>
      <x:c r="R301" s="80"/>
      <x:c r="S301" s="80"/>
      <x:c r="T301" s="80"/>
      <x:c r="U301" s="80"/>
      <x:c r="V301" s="89" t="str">
        <x:f>IF(A301="","",IF(U301="","",IF(U301="Выигрыш",J301-1,IF(U301="Полувыигрыш",(J301-1)/2,IF(U301="Возврат",0,IF(U301="Полупроигрыш",-0.5,IF(U301="Поражение",-1,"Проверить результат")))))))</x:f>
      </x:c>
      <x:c r="W301" s="80" t="str">
        <x:f>IF(A301="","",IF(U301="","Открыт",IF(ISNUMBER(V301),"Рассчитан","Проверить результат")))</x:f>
      </x:c>
      <x:c r="X301" s="98"/>
      <x:c r="Y301" s="5"/>
      <x:c r="Z301" s="5"/>
      <x:c r="AA301" s="5"/>
      <x:c r="AB301" s="118"/>
      <x:c r="AC301" s="119"/>
      <x:c r="AD301" s="119"/>
      <x:c r="AE301" s="5" t="str">
        <x:f>IF(A301="","",IF(Z301="","Нет ID пары",IF(AND(COUNTIFS($Z$59:$Z$505,Z301,$Y$59:$Y$505,"Оптимальный",$W$59:$W$505,"Рассчитан")=1,COUNTIFS($Z$59:$Z$505,Z301,$Y$59:$Y$505,"Агрессивный",$W$59:$W$505,"Рассчитан")=1),"Да","Нет")))</x:f>
      </x:c>
      <x:c r="AF301" s="5"/>
      <x:c r="AG301" s="5"/>
    </x:row>
    <x:row r="302">
      <x:c r="A302" s="80"/>
      <x:c r="B302" s="80"/>
      <x:c r="C302" s="83"/>
      <x:c r="D302" s="80"/>
      <x:c r="E302" s="80"/>
      <x:c r="F302" s="86"/>
      <x:c r="G302" s="80"/>
      <x:c r="H302" s="95"/>
      <x:c r="I302" s="95"/>
      <x:c r="J302" s="96"/>
      <x:c r="K302" s="97"/>
      <x:c r="L302" s="98"/>
      <x:c r="M302" s="98"/>
      <x:c r="N302" s="98"/>
      <x:c r="O302" s="98"/>
      <x:c r="P302" s="98"/>
      <x:c r="Q302" s="80"/>
      <x:c r="R302" s="80"/>
      <x:c r="S302" s="80"/>
      <x:c r="T302" s="80"/>
      <x:c r="U302" s="80"/>
      <x:c r="V302" s="89" t="str">
        <x:f>IF(A302="","",IF(U302="","",IF(U302="Выигрыш",J302-1,IF(U302="Полувыигрыш",(J302-1)/2,IF(U302="Возврат",0,IF(U302="Полупроигрыш",-0.5,IF(U302="Поражение",-1,"Проверить результат")))))))</x:f>
      </x:c>
      <x:c r="W302" s="80" t="str">
        <x:f>IF(A302="","",IF(U302="","Открыт",IF(ISNUMBER(V302),"Рассчитан","Проверить результат")))</x:f>
      </x:c>
      <x:c r="X302" s="98"/>
      <x:c r="Y302" s="5"/>
      <x:c r="Z302" s="5"/>
      <x:c r="AA302" s="5"/>
      <x:c r="AB302" s="118"/>
      <x:c r="AC302" s="119"/>
      <x:c r="AD302" s="119"/>
      <x:c r="AE302" s="5" t="str">
        <x:f>IF(A302="","",IF(Z302="","Нет ID пары",IF(AND(COUNTIFS($Z$59:$Z$505,Z302,$Y$59:$Y$505,"Оптимальный",$W$59:$W$505,"Рассчитан")=1,COUNTIFS($Z$59:$Z$505,Z302,$Y$59:$Y$505,"Агрессивный",$W$59:$W$505,"Рассчитан")=1),"Да","Нет")))</x:f>
      </x:c>
      <x:c r="AF302" s="5"/>
      <x:c r="AG302" s="5"/>
    </x:row>
    <x:row r="303">
      <x:c r="A303" s="80"/>
      <x:c r="B303" s="80"/>
      <x:c r="C303" s="83"/>
      <x:c r="D303" s="80"/>
      <x:c r="E303" s="80"/>
      <x:c r="F303" s="86"/>
      <x:c r="G303" s="80"/>
      <x:c r="H303" s="95"/>
      <x:c r="I303" s="95"/>
      <x:c r="J303" s="96"/>
      <x:c r="K303" s="97"/>
      <x:c r="L303" s="98"/>
      <x:c r="M303" s="98"/>
      <x:c r="N303" s="98"/>
      <x:c r="O303" s="98"/>
      <x:c r="P303" s="98"/>
      <x:c r="Q303" s="80"/>
      <x:c r="R303" s="80"/>
      <x:c r="S303" s="80"/>
      <x:c r="T303" s="80"/>
      <x:c r="U303" s="80"/>
      <x:c r="V303" s="89" t="str">
        <x:f>IF(A303="","",IF(U303="","",IF(U303="Выигрыш",J303-1,IF(U303="Полувыигрыш",(J303-1)/2,IF(U303="Возврат",0,IF(U303="Полупроигрыш",-0.5,IF(U303="Поражение",-1,"Проверить результат")))))))</x:f>
      </x:c>
      <x:c r="W303" s="80" t="str">
        <x:f>IF(A303="","",IF(U303="","Открыт",IF(ISNUMBER(V303),"Рассчитан","Проверить результат")))</x:f>
      </x:c>
      <x:c r="X303" s="98"/>
      <x:c r="Y303" s="5"/>
      <x:c r="Z303" s="5"/>
      <x:c r="AA303" s="5"/>
      <x:c r="AB303" s="118"/>
      <x:c r="AC303" s="119"/>
      <x:c r="AD303" s="119"/>
      <x:c r="AE303" s="5" t="str">
        <x:f>IF(A303="","",IF(Z303="","Нет ID пары",IF(AND(COUNTIFS($Z$59:$Z$505,Z303,$Y$59:$Y$505,"Оптимальный",$W$59:$W$505,"Рассчитан")=1,COUNTIFS($Z$59:$Z$505,Z303,$Y$59:$Y$505,"Агрессивный",$W$59:$W$505,"Рассчитан")=1),"Да","Нет")))</x:f>
      </x:c>
      <x:c r="AF303" s="5"/>
      <x:c r="AG303" s="5"/>
    </x:row>
    <x:row r="304">
      <x:c r="A304" s="80"/>
      <x:c r="B304" s="80"/>
      <x:c r="C304" s="83"/>
      <x:c r="D304" s="80"/>
      <x:c r="E304" s="80"/>
      <x:c r="F304" s="86"/>
      <x:c r="G304" s="80"/>
      <x:c r="H304" s="95"/>
      <x:c r="I304" s="95"/>
      <x:c r="J304" s="96"/>
      <x:c r="K304" s="97"/>
      <x:c r="L304" s="98"/>
      <x:c r="M304" s="98"/>
      <x:c r="N304" s="98"/>
      <x:c r="O304" s="98"/>
      <x:c r="P304" s="98"/>
      <x:c r="Q304" s="80"/>
      <x:c r="R304" s="80"/>
      <x:c r="S304" s="80"/>
      <x:c r="T304" s="80"/>
      <x:c r="U304" s="80"/>
      <x:c r="V304" s="89" t="str">
        <x:f>IF(A304="","",IF(U304="","",IF(U304="Выигрыш",J304-1,IF(U304="Полувыигрыш",(J304-1)/2,IF(U304="Возврат",0,IF(U304="Полупроигрыш",-0.5,IF(U304="Поражение",-1,"Проверить результат")))))))</x:f>
      </x:c>
      <x:c r="W304" s="80" t="str">
        <x:f>IF(A304="","",IF(U304="","Открыт",IF(ISNUMBER(V304),"Рассчитан","Проверить результат")))</x:f>
      </x:c>
      <x:c r="X304" s="98"/>
      <x:c r="Y304" s="5"/>
      <x:c r="Z304" s="5"/>
      <x:c r="AA304" s="5"/>
      <x:c r="AB304" s="118"/>
      <x:c r="AC304" s="119"/>
      <x:c r="AD304" s="119"/>
      <x:c r="AE304" s="5" t="str">
        <x:f>IF(A304="","",IF(Z304="","Нет ID пары",IF(AND(COUNTIFS($Z$59:$Z$505,Z304,$Y$59:$Y$505,"Оптимальный",$W$59:$W$505,"Рассчитан")=1,COUNTIFS($Z$59:$Z$505,Z304,$Y$59:$Y$505,"Агрессивный",$W$59:$W$505,"Рассчитан")=1),"Да","Нет")))</x:f>
      </x:c>
      <x:c r="AF304" s="5"/>
      <x:c r="AG304" s="5"/>
    </x:row>
    <x:row r="305">
      <x:c r="A305" s="80"/>
      <x:c r="B305" s="80"/>
      <x:c r="C305" s="83"/>
      <x:c r="D305" s="80"/>
      <x:c r="E305" s="80"/>
      <x:c r="F305" s="86"/>
      <x:c r="G305" s="80"/>
      <x:c r="H305" s="95"/>
      <x:c r="I305" s="95"/>
      <x:c r="J305" s="96"/>
      <x:c r="K305" s="97"/>
      <x:c r="L305" s="98"/>
      <x:c r="M305" s="98"/>
      <x:c r="N305" s="98"/>
      <x:c r="O305" s="98"/>
      <x:c r="P305" s="98"/>
      <x:c r="Q305" s="80"/>
      <x:c r="R305" s="80"/>
      <x:c r="S305" s="80"/>
      <x:c r="T305" s="80"/>
      <x:c r="U305" s="80"/>
      <x:c r="V305" s="89" t="str">
        <x:f>IF(A305="","",IF(U305="","",IF(U305="Выигрыш",J305-1,IF(U305="Полувыигрыш",(J305-1)/2,IF(U305="Возврат",0,IF(U305="Полупроигрыш",-0.5,IF(U305="Поражение",-1,"Проверить результат")))))))</x:f>
      </x:c>
      <x:c r="W305" s="80" t="str">
        <x:f>IF(A305="","",IF(U305="","Открыт",IF(ISNUMBER(V305),"Рассчитан","Проверить результат")))</x:f>
      </x:c>
      <x:c r="X305" s="98"/>
      <x:c r="Y305" s="5"/>
      <x:c r="Z305" s="5"/>
      <x:c r="AA305" s="5"/>
      <x:c r="AB305" s="118"/>
      <x:c r="AC305" s="119"/>
      <x:c r="AD305" s="119"/>
      <x:c r="AE305" s="5" t="str">
        <x:f>IF(A305="","",IF(Z305="","Нет ID пары",IF(AND(COUNTIFS($Z$59:$Z$505,Z305,$Y$59:$Y$505,"Оптимальный",$W$59:$W$505,"Рассчитан")=1,COUNTIFS($Z$59:$Z$505,Z305,$Y$59:$Y$505,"Агрессивный",$W$59:$W$505,"Рассчитан")=1),"Да","Нет")))</x:f>
      </x:c>
      <x:c r="AF305" s="5"/>
      <x:c r="AG305" s="5"/>
    </x:row>
    <x:row r="306">
      <x:c r="A306" s="80"/>
      <x:c r="B306" s="80"/>
      <x:c r="C306" s="83"/>
      <x:c r="D306" s="80"/>
      <x:c r="E306" s="80"/>
      <x:c r="F306" s="86"/>
      <x:c r="G306" s="80"/>
      <x:c r="H306" s="95"/>
      <x:c r="I306" s="95"/>
      <x:c r="J306" s="96"/>
      <x:c r="K306" s="97"/>
      <x:c r="L306" s="98"/>
      <x:c r="M306" s="98"/>
      <x:c r="N306" s="98"/>
      <x:c r="O306" s="98"/>
      <x:c r="P306" s="98"/>
      <x:c r="Q306" s="80"/>
      <x:c r="R306" s="80"/>
      <x:c r="S306" s="80"/>
      <x:c r="T306" s="80"/>
      <x:c r="U306" s="80"/>
      <x:c r="V306" s="89" t="str">
        <x:f>IF(A306="","",IF(U306="","",IF(U306="Выигрыш",J306-1,IF(U306="Полувыигрыш",(J306-1)/2,IF(U306="Возврат",0,IF(U306="Полупроигрыш",-0.5,IF(U306="Поражение",-1,"Проверить результат")))))))</x:f>
      </x:c>
      <x:c r="W306" s="80" t="str">
        <x:f>IF(A306="","",IF(U306="","Открыт",IF(ISNUMBER(V306),"Рассчитан","Проверить результат")))</x:f>
      </x:c>
      <x:c r="X306" s="98"/>
      <x:c r="Y306" s="5"/>
      <x:c r="Z306" s="5"/>
      <x:c r="AA306" s="5"/>
      <x:c r="AB306" s="118"/>
      <x:c r="AC306" s="119"/>
      <x:c r="AD306" s="119"/>
      <x:c r="AE306" s="5" t="str">
        <x:f>IF(A306="","",IF(Z306="","Нет ID пары",IF(AND(COUNTIFS($Z$59:$Z$505,Z306,$Y$59:$Y$505,"Оптимальный",$W$59:$W$505,"Рассчитан")=1,COUNTIFS($Z$59:$Z$505,Z306,$Y$59:$Y$505,"Агрессивный",$W$59:$W$505,"Рассчитан")=1),"Да","Нет")))</x:f>
      </x:c>
      <x:c r="AF306" s="5"/>
      <x:c r="AG306" s="5"/>
    </x:row>
    <x:row r="307">
      <x:c r="A307" s="80"/>
      <x:c r="B307" s="80"/>
      <x:c r="C307" s="83"/>
      <x:c r="D307" s="80"/>
      <x:c r="E307" s="80"/>
      <x:c r="F307" s="86"/>
      <x:c r="G307" s="80"/>
      <x:c r="H307" s="95"/>
      <x:c r="I307" s="95"/>
      <x:c r="J307" s="96"/>
      <x:c r="K307" s="97"/>
      <x:c r="L307" s="98"/>
      <x:c r="M307" s="98"/>
      <x:c r="N307" s="98"/>
      <x:c r="O307" s="98"/>
      <x:c r="P307" s="98"/>
      <x:c r="Q307" s="80"/>
      <x:c r="R307" s="80"/>
      <x:c r="S307" s="80"/>
      <x:c r="T307" s="80"/>
      <x:c r="U307" s="80"/>
      <x:c r="V307" s="89" t="str">
        <x:f>IF(A307="","",IF(U307="","",IF(U307="Выигрыш",J307-1,IF(U307="Полувыигрыш",(J307-1)/2,IF(U307="Возврат",0,IF(U307="Полупроигрыш",-0.5,IF(U307="Поражение",-1,"Проверить результат")))))))</x:f>
      </x:c>
      <x:c r="W307" s="80" t="str">
        <x:f>IF(A307="","",IF(U307="","Открыт",IF(ISNUMBER(V307),"Рассчитан","Проверить результат")))</x:f>
      </x:c>
      <x:c r="X307" s="98"/>
      <x:c r="Y307" s="5"/>
      <x:c r="Z307" s="5"/>
      <x:c r="AA307" s="5"/>
      <x:c r="AB307" s="118"/>
      <x:c r="AC307" s="119"/>
      <x:c r="AD307" s="119"/>
      <x:c r="AE307" s="5" t="str">
        <x:f>IF(A307="","",IF(Z307="","Нет ID пары",IF(AND(COUNTIFS($Z$59:$Z$505,Z307,$Y$59:$Y$505,"Оптимальный",$W$59:$W$505,"Рассчитан")=1,COUNTIFS($Z$59:$Z$505,Z307,$Y$59:$Y$505,"Агрессивный",$W$59:$W$505,"Рассчитан")=1),"Да","Нет")))</x:f>
      </x:c>
      <x:c r="AF307" s="5"/>
      <x:c r="AG307" s="5"/>
    </x:row>
    <x:row r="308">
      <x:c r="A308" s="80"/>
      <x:c r="B308" s="80"/>
      <x:c r="C308" s="83"/>
      <x:c r="D308" s="80"/>
      <x:c r="E308" s="80"/>
      <x:c r="F308" s="86"/>
      <x:c r="G308" s="80"/>
      <x:c r="H308" s="95"/>
      <x:c r="I308" s="95"/>
      <x:c r="J308" s="96"/>
      <x:c r="K308" s="97"/>
      <x:c r="L308" s="98"/>
      <x:c r="M308" s="98"/>
      <x:c r="N308" s="98"/>
      <x:c r="O308" s="98"/>
      <x:c r="P308" s="98"/>
      <x:c r="Q308" s="80"/>
      <x:c r="R308" s="80"/>
      <x:c r="S308" s="80"/>
      <x:c r="T308" s="80"/>
      <x:c r="U308" s="80"/>
      <x:c r="V308" s="89" t="str">
        <x:f>IF(A308="","",IF(U308="","",IF(U308="Выигрыш",J308-1,IF(U308="Полувыигрыш",(J308-1)/2,IF(U308="Возврат",0,IF(U308="Полупроигрыш",-0.5,IF(U308="Поражение",-1,"Проверить результат")))))))</x:f>
      </x:c>
      <x:c r="W308" s="80" t="str">
        <x:f>IF(A308="","",IF(U308="","Открыт",IF(ISNUMBER(V308),"Рассчитан","Проверить результат")))</x:f>
      </x:c>
      <x:c r="X308" s="98"/>
      <x:c r="Y308" s="5"/>
      <x:c r="Z308" s="5"/>
      <x:c r="AA308" s="5"/>
      <x:c r="AB308" s="118"/>
      <x:c r="AC308" s="119"/>
      <x:c r="AD308" s="119"/>
      <x:c r="AE308" s="5" t="str">
        <x:f>IF(A308="","",IF(Z308="","Нет ID пары",IF(AND(COUNTIFS($Z$59:$Z$505,Z308,$Y$59:$Y$505,"Оптимальный",$W$59:$W$505,"Рассчитан")=1,COUNTIFS($Z$59:$Z$505,Z308,$Y$59:$Y$505,"Агрессивный",$W$59:$W$505,"Рассчитан")=1),"Да","Нет")))</x:f>
      </x:c>
      <x:c r="AF308" s="5"/>
      <x:c r="AG308" s="5"/>
    </x:row>
    <x:row r="309">
      <x:c r="A309" s="80"/>
      <x:c r="B309" s="80"/>
      <x:c r="C309" s="83"/>
      <x:c r="D309" s="80"/>
      <x:c r="E309" s="80"/>
      <x:c r="F309" s="86"/>
      <x:c r="G309" s="80"/>
      <x:c r="H309" s="95"/>
      <x:c r="I309" s="95"/>
      <x:c r="J309" s="96"/>
      <x:c r="K309" s="97"/>
      <x:c r="L309" s="98"/>
      <x:c r="M309" s="98"/>
      <x:c r="N309" s="98"/>
      <x:c r="O309" s="98"/>
      <x:c r="P309" s="98"/>
      <x:c r="Q309" s="80"/>
      <x:c r="R309" s="80"/>
      <x:c r="S309" s="80"/>
      <x:c r="T309" s="80"/>
      <x:c r="U309" s="80"/>
      <x:c r="V309" s="89" t="str">
        <x:f>IF(A309="","",IF(U309="","",IF(U309="Выигрыш",J309-1,IF(U309="Полувыигрыш",(J309-1)/2,IF(U309="Возврат",0,IF(U309="Полупроигрыш",-0.5,IF(U309="Поражение",-1,"Проверить результат")))))))</x:f>
      </x:c>
      <x:c r="W309" s="80" t="str">
        <x:f>IF(A309="","",IF(U309="","Открыт",IF(ISNUMBER(V309),"Рассчитан","Проверить результат")))</x:f>
      </x:c>
      <x:c r="X309" s="98"/>
      <x:c r="Y309" s="5"/>
      <x:c r="Z309" s="5"/>
      <x:c r="AA309" s="5"/>
      <x:c r="AB309" s="118"/>
      <x:c r="AC309" s="119"/>
      <x:c r="AD309" s="119"/>
      <x:c r="AE309" s="5" t="str">
        <x:f>IF(A309="","",IF(Z309="","Нет ID пары",IF(AND(COUNTIFS($Z$59:$Z$505,Z309,$Y$59:$Y$505,"Оптимальный",$W$59:$W$505,"Рассчитан")=1,COUNTIFS($Z$59:$Z$505,Z309,$Y$59:$Y$505,"Агрессивный",$W$59:$W$505,"Рассчитан")=1),"Да","Нет")))</x:f>
      </x:c>
      <x:c r="AF309" s="5"/>
      <x:c r="AG309" s="5"/>
    </x:row>
    <x:row r="310">
      <x:c r="A310" s="80"/>
      <x:c r="B310" s="80"/>
      <x:c r="C310" s="83"/>
      <x:c r="D310" s="80"/>
      <x:c r="E310" s="80"/>
      <x:c r="F310" s="86"/>
      <x:c r="G310" s="80"/>
      <x:c r="H310" s="95"/>
      <x:c r="I310" s="95"/>
      <x:c r="J310" s="96"/>
      <x:c r="K310" s="97"/>
      <x:c r="L310" s="98"/>
      <x:c r="M310" s="98"/>
      <x:c r="N310" s="98"/>
      <x:c r="O310" s="98"/>
      <x:c r="P310" s="98"/>
      <x:c r="Q310" s="80"/>
      <x:c r="R310" s="80"/>
      <x:c r="S310" s="80"/>
      <x:c r="T310" s="80"/>
      <x:c r="U310" s="80"/>
      <x:c r="V310" s="89" t="str">
        <x:f>IF(A310="","",IF(U310="","",IF(U310="Выигрыш",J310-1,IF(U310="Полувыигрыш",(J310-1)/2,IF(U310="Возврат",0,IF(U310="Полупроигрыш",-0.5,IF(U310="Поражение",-1,"Проверить результат")))))))</x:f>
      </x:c>
      <x:c r="W310" s="80" t="str">
        <x:f>IF(A310="","",IF(U310="","Открыт",IF(ISNUMBER(V310),"Рассчитан","Проверить результат")))</x:f>
      </x:c>
      <x:c r="X310" s="98"/>
      <x:c r="Y310" s="5"/>
      <x:c r="Z310" s="5"/>
      <x:c r="AA310" s="5"/>
      <x:c r="AB310" s="118"/>
      <x:c r="AC310" s="119"/>
      <x:c r="AD310" s="119"/>
      <x:c r="AE310" s="5" t="str">
        <x:f>IF(A310="","",IF(Z310="","Нет ID пары",IF(AND(COUNTIFS($Z$59:$Z$505,Z310,$Y$59:$Y$505,"Оптимальный",$W$59:$W$505,"Рассчитан")=1,COUNTIFS($Z$59:$Z$505,Z310,$Y$59:$Y$505,"Агрессивный",$W$59:$W$505,"Рассчитан")=1),"Да","Нет")))</x:f>
      </x:c>
      <x:c r="AF310" s="5"/>
      <x:c r="AG310" s="5"/>
    </x:row>
    <x:row r="311">
      <x:c r="A311" s="80"/>
      <x:c r="B311" s="80"/>
      <x:c r="C311" s="83"/>
      <x:c r="D311" s="80"/>
      <x:c r="E311" s="80"/>
      <x:c r="F311" s="86"/>
      <x:c r="G311" s="80"/>
      <x:c r="H311" s="95"/>
      <x:c r="I311" s="95"/>
      <x:c r="J311" s="96"/>
      <x:c r="K311" s="97"/>
      <x:c r="L311" s="98"/>
      <x:c r="M311" s="98"/>
      <x:c r="N311" s="98"/>
      <x:c r="O311" s="98"/>
      <x:c r="P311" s="98"/>
      <x:c r="Q311" s="80"/>
      <x:c r="R311" s="80"/>
      <x:c r="S311" s="80"/>
      <x:c r="T311" s="80"/>
      <x:c r="U311" s="80"/>
      <x:c r="V311" s="89" t="str">
        <x:f>IF(A311="","",IF(U311="","",IF(U311="Выигрыш",J311-1,IF(U311="Полувыигрыш",(J311-1)/2,IF(U311="Возврат",0,IF(U311="Полупроигрыш",-0.5,IF(U311="Поражение",-1,"Проверить результат")))))))</x:f>
      </x:c>
      <x:c r="W311" s="80" t="str">
        <x:f>IF(A311="","",IF(U311="","Открыт",IF(ISNUMBER(V311),"Рассчитан","Проверить результат")))</x:f>
      </x:c>
      <x:c r="X311" s="98"/>
      <x:c r="Y311" s="5"/>
      <x:c r="Z311" s="5"/>
      <x:c r="AA311" s="5"/>
      <x:c r="AB311" s="118"/>
      <x:c r="AC311" s="119"/>
      <x:c r="AD311" s="119"/>
      <x:c r="AE311" s="5" t="str">
        <x:f>IF(A311="","",IF(Z311="","Нет ID пары",IF(AND(COUNTIFS($Z$59:$Z$505,Z311,$Y$59:$Y$505,"Оптимальный",$W$59:$W$505,"Рассчитан")=1,COUNTIFS($Z$59:$Z$505,Z311,$Y$59:$Y$505,"Агрессивный",$W$59:$W$505,"Рассчитан")=1),"Да","Нет")))</x:f>
      </x:c>
      <x:c r="AF311" s="5"/>
      <x:c r="AG311" s="5"/>
    </x:row>
    <x:row r="312">
      <x:c r="A312" s="80"/>
      <x:c r="B312" s="80"/>
      <x:c r="C312" s="83"/>
      <x:c r="D312" s="80"/>
      <x:c r="E312" s="80"/>
      <x:c r="F312" s="86"/>
      <x:c r="G312" s="80"/>
      <x:c r="H312" s="95"/>
      <x:c r="I312" s="95"/>
      <x:c r="J312" s="96"/>
      <x:c r="K312" s="97"/>
      <x:c r="L312" s="98"/>
      <x:c r="M312" s="98"/>
      <x:c r="N312" s="98"/>
      <x:c r="O312" s="98"/>
      <x:c r="P312" s="98"/>
      <x:c r="Q312" s="80"/>
      <x:c r="R312" s="80"/>
      <x:c r="S312" s="80"/>
      <x:c r="T312" s="80"/>
      <x:c r="U312" s="80"/>
      <x:c r="V312" s="89" t="str">
        <x:f>IF(A312="","",IF(U312="","",IF(U312="Выигрыш",J312-1,IF(U312="Полувыигрыш",(J312-1)/2,IF(U312="Возврат",0,IF(U312="Полупроигрыш",-0.5,IF(U312="Поражение",-1,"Проверить результат")))))))</x:f>
      </x:c>
      <x:c r="W312" s="80" t="str">
        <x:f>IF(A312="","",IF(U312="","Открыт",IF(ISNUMBER(V312),"Рассчитан","Проверить результат")))</x:f>
      </x:c>
      <x:c r="X312" s="98"/>
      <x:c r="Y312" s="5"/>
      <x:c r="Z312" s="5"/>
      <x:c r="AA312" s="5"/>
      <x:c r="AB312" s="118"/>
      <x:c r="AC312" s="119"/>
      <x:c r="AD312" s="119"/>
      <x:c r="AE312" s="5" t="str">
        <x:f>IF(A312="","",IF(Z312="","Нет ID пары",IF(AND(COUNTIFS($Z$59:$Z$505,Z312,$Y$59:$Y$505,"Оптимальный",$W$59:$W$505,"Рассчитан")=1,COUNTIFS($Z$59:$Z$505,Z312,$Y$59:$Y$505,"Агрессивный",$W$59:$W$505,"Рассчитан")=1),"Да","Нет")))</x:f>
      </x:c>
      <x:c r="AF312" s="5"/>
      <x:c r="AG312" s="5"/>
    </x:row>
    <x:row r="313">
      <x:c r="A313" s="80"/>
      <x:c r="B313" s="80"/>
      <x:c r="C313" s="83"/>
      <x:c r="D313" s="80"/>
      <x:c r="E313" s="80"/>
      <x:c r="F313" s="86"/>
      <x:c r="G313" s="80"/>
      <x:c r="H313" s="95"/>
      <x:c r="I313" s="95"/>
      <x:c r="J313" s="96"/>
      <x:c r="K313" s="97"/>
      <x:c r="L313" s="98"/>
      <x:c r="M313" s="98"/>
      <x:c r="N313" s="98"/>
      <x:c r="O313" s="98"/>
      <x:c r="P313" s="98"/>
      <x:c r="Q313" s="80"/>
      <x:c r="R313" s="80"/>
      <x:c r="S313" s="80"/>
      <x:c r="T313" s="80"/>
      <x:c r="U313" s="80"/>
      <x:c r="V313" s="89" t="str">
        <x:f>IF(A313="","",IF(U313="","",IF(U313="Выигрыш",J313-1,IF(U313="Полувыигрыш",(J313-1)/2,IF(U313="Возврат",0,IF(U313="Полупроигрыш",-0.5,IF(U313="Поражение",-1,"Проверить результат")))))))</x:f>
      </x:c>
      <x:c r="W313" s="80" t="str">
        <x:f>IF(A313="","",IF(U313="","Открыт",IF(ISNUMBER(V313),"Рассчитан","Проверить результат")))</x:f>
      </x:c>
      <x:c r="X313" s="98"/>
      <x:c r="Y313" s="5"/>
      <x:c r="Z313" s="5"/>
      <x:c r="AA313" s="5"/>
      <x:c r="AB313" s="118"/>
      <x:c r="AC313" s="119"/>
      <x:c r="AD313" s="119"/>
      <x:c r="AE313" s="5" t="str">
        <x:f>IF(A313="","",IF(Z313="","Нет ID пары",IF(AND(COUNTIFS($Z$59:$Z$505,Z313,$Y$59:$Y$505,"Оптимальный",$W$59:$W$505,"Рассчитан")=1,COUNTIFS($Z$59:$Z$505,Z313,$Y$59:$Y$505,"Агрессивный",$W$59:$W$505,"Рассчитан")=1),"Да","Нет")))</x:f>
      </x:c>
      <x:c r="AF313" s="5"/>
      <x:c r="AG313" s="5"/>
    </x:row>
    <x:row r="314">
      <x:c r="A314" s="80"/>
      <x:c r="B314" s="80"/>
      <x:c r="C314" s="83"/>
      <x:c r="D314" s="80"/>
      <x:c r="E314" s="80"/>
      <x:c r="F314" s="86"/>
      <x:c r="G314" s="80"/>
      <x:c r="H314" s="95"/>
      <x:c r="I314" s="95"/>
      <x:c r="J314" s="96"/>
      <x:c r="K314" s="97"/>
      <x:c r="L314" s="98"/>
      <x:c r="M314" s="98"/>
      <x:c r="N314" s="98"/>
      <x:c r="O314" s="98"/>
      <x:c r="P314" s="98"/>
      <x:c r="Q314" s="80"/>
      <x:c r="R314" s="80"/>
      <x:c r="S314" s="80"/>
      <x:c r="T314" s="80"/>
      <x:c r="U314" s="80"/>
      <x:c r="V314" s="89" t="str">
        <x:f>IF(A314="","",IF(U314="","",IF(U314="Выигрыш",J314-1,IF(U314="Полувыигрыш",(J314-1)/2,IF(U314="Возврат",0,IF(U314="Полупроигрыш",-0.5,IF(U314="Поражение",-1,"Проверить результат")))))))</x:f>
      </x:c>
      <x:c r="W314" s="80" t="str">
        <x:f>IF(A314="","",IF(U314="","Открыт",IF(ISNUMBER(V314),"Рассчитан","Проверить результат")))</x:f>
      </x:c>
      <x:c r="X314" s="98"/>
      <x:c r="Y314" s="5"/>
      <x:c r="Z314" s="5"/>
      <x:c r="AA314" s="5"/>
      <x:c r="AB314" s="118"/>
      <x:c r="AC314" s="119"/>
      <x:c r="AD314" s="119"/>
      <x:c r="AE314" s="5" t="str">
        <x:f>IF(A314="","",IF(Z314="","Нет ID пары",IF(AND(COUNTIFS($Z$59:$Z$505,Z314,$Y$59:$Y$505,"Оптимальный",$W$59:$W$505,"Рассчитан")=1,COUNTIFS($Z$59:$Z$505,Z314,$Y$59:$Y$505,"Агрессивный",$W$59:$W$505,"Рассчитан")=1),"Да","Нет")))</x:f>
      </x:c>
      <x:c r="AF314" s="5"/>
      <x:c r="AG314" s="5"/>
    </x:row>
    <x:row r="315">
      <x:c r="A315" s="80"/>
      <x:c r="B315" s="80"/>
      <x:c r="C315" s="83"/>
      <x:c r="D315" s="80"/>
      <x:c r="E315" s="80"/>
      <x:c r="F315" s="86"/>
      <x:c r="G315" s="80"/>
      <x:c r="H315" s="95"/>
      <x:c r="I315" s="95"/>
      <x:c r="J315" s="96"/>
      <x:c r="K315" s="97"/>
      <x:c r="L315" s="98"/>
      <x:c r="M315" s="98"/>
      <x:c r="N315" s="98"/>
      <x:c r="O315" s="98"/>
      <x:c r="P315" s="98"/>
      <x:c r="Q315" s="80"/>
      <x:c r="R315" s="80"/>
      <x:c r="S315" s="80"/>
      <x:c r="T315" s="80"/>
      <x:c r="U315" s="80"/>
      <x:c r="V315" s="89" t="str">
        <x:f>IF(A315="","",IF(U315="","",IF(U315="Выигрыш",J315-1,IF(U315="Полувыигрыш",(J315-1)/2,IF(U315="Возврат",0,IF(U315="Полупроигрыш",-0.5,IF(U315="Поражение",-1,"Проверить результат")))))))</x:f>
      </x:c>
      <x:c r="W315" s="80" t="str">
        <x:f>IF(A315="","",IF(U315="","Открыт",IF(ISNUMBER(V315),"Рассчитан","Проверить результат")))</x:f>
      </x:c>
      <x:c r="X315" s="98"/>
      <x:c r="Y315" s="5"/>
      <x:c r="Z315" s="5"/>
      <x:c r="AA315" s="5"/>
      <x:c r="AB315" s="118"/>
      <x:c r="AC315" s="119"/>
      <x:c r="AD315" s="119"/>
      <x:c r="AE315" s="5" t="str">
        <x:f>IF(A315="","",IF(Z315="","Нет ID пары",IF(AND(COUNTIFS($Z$59:$Z$505,Z315,$Y$59:$Y$505,"Оптимальный",$W$59:$W$505,"Рассчитан")=1,COUNTIFS($Z$59:$Z$505,Z315,$Y$59:$Y$505,"Агрессивный",$W$59:$W$505,"Рассчитан")=1),"Да","Нет")))</x:f>
      </x:c>
      <x:c r="AF315" s="5"/>
      <x:c r="AG315" s="5"/>
    </x:row>
    <x:row r="316">
      <x:c r="A316" s="80"/>
      <x:c r="B316" s="80"/>
      <x:c r="C316" s="83"/>
      <x:c r="D316" s="80"/>
      <x:c r="E316" s="80"/>
      <x:c r="F316" s="86"/>
      <x:c r="G316" s="80"/>
      <x:c r="H316" s="95"/>
      <x:c r="I316" s="95"/>
      <x:c r="J316" s="96"/>
      <x:c r="K316" s="97"/>
      <x:c r="L316" s="98"/>
      <x:c r="M316" s="98"/>
      <x:c r="N316" s="98"/>
      <x:c r="O316" s="98"/>
      <x:c r="P316" s="98"/>
      <x:c r="Q316" s="80"/>
      <x:c r="R316" s="80"/>
      <x:c r="S316" s="80"/>
      <x:c r="T316" s="80"/>
      <x:c r="U316" s="80"/>
      <x:c r="V316" s="89" t="str">
        <x:f>IF(A316="","",IF(U316="","",IF(U316="Выигрыш",J316-1,IF(U316="Полувыигрыш",(J316-1)/2,IF(U316="Возврат",0,IF(U316="Полупроигрыш",-0.5,IF(U316="Поражение",-1,"Проверить результат")))))))</x:f>
      </x:c>
      <x:c r="W316" s="80" t="str">
        <x:f>IF(A316="","",IF(U316="","Открыт",IF(ISNUMBER(V316),"Рассчитан","Проверить результат")))</x:f>
      </x:c>
      <x:c r="X316" s="98"/>
      <x:c r="Y316" s="5"/>
      <x:c r="Z316" s="5"/>
      <x:c r="AA316" s="5"/>
      <x:c r="AB316" s="118"/>
      <x:c r="AC316" s="119"/>
      <x:c r="AD316" s="119"/>
      <x:c r="AE316" s="5" t="str">
        <x:f>IF(A316="","",IF(Z316="","Нет ID пары",IF(AND(COUNTIFS($Z$59:$Z$505,Z316,$Y$59:$Y$505,"Оптимальный",$W$59:$W$505,"Рассчитан")=1,COUNTIFS($Z$59:$Z$505,Z316,$Y$59:$Y$505,"Агрессивный",$W$59:$W$505,"Рассчитан")=1),"Да","Нет")))</x:f>
      </x:c>
      <x:c r="AF316" s="5"/>
      <x:c r="AG316" s="5"/>
    </x:row>
    <x:row r="317">
      <x:c r="A317" s="80"/>
      <x:c r="B317" s="80"/>
      <x:c r="C317" s="83"/>
      <x:c r="D317" s="80"/>
      <x:c r="E317" s="80"/>
      <x:c r="F317" s="86"/>
      <x:c r="G317" s="80"/>
      <x:c r="H317" s="95"/>
      <x:c r="I317" s="95"/>
      <x:c r="J317" s="96"/>
      <x:c r="K317" s="97"/>
      <x:c r="L317" s="98"/>
      <x:c r="M317" s="98"/>
      <x:c r="N317" s="98"/>
      <x:c r="O317" s="98"/>
      <x:c r="P317" s="98"/>
      <x:c r="Q317" s="80"/>
      <x:c r="R317" s="80"/>
      <x:c r="S317" s="80"/>
      <x:c r="T317" s="80"/>
      <x:c r="U317" s="80"/>
      <x:c r="V317" s="89" t="str">
        <x:f>IF(A317="","",IF(U317="","",IF(U317="Выигрыш",J317-1,IF(U317="Полувыигрыш",(J317-1)/2,IF(U317="Возврат",0,IF(U317="Полупроигрыш",-0.5,IF(U317="Поражение",-1,"Проверить результат")))))))</x:f>
      </x:c>
      <x:c r="W317" s="80" t="str">
        <x:f>IF(A317="","",IF(U317="","Открыт",IF(ISNUMBER(V317),"Рассчитан","Проверить результат")))</x:f>
      </x:c>
      <x:c r="X317" s="98"/>
      <x:c r="Y317" s="5"/>
      <x:c r="Z317" s="5"/>
      <x:c r="AA317" s="5"/>
      <x:c r="AB317" s="118"/>
      <x:c r="AC317" s="119"/>
      <x:c r="AD317" s="119"/>
      <x:c r="AE317" s="5" t="str">
        <x:f>IF(A317="","",IF(Z317="","Нет ID пары",IF(AND(COUNTIFS($Z$59:$Z$505,Z317,$Y$59:$Y$505,"Оптимальный",$W$59:$W$505,"Рассчитан")=1,COUNTIFS($Z$59:$Z$505,Z317,$Y$59:$Y$505,"Агрессивный",$W$59:$W$505,"Рассчитан")=1),"Да","Нет")))</x:f>
      </x:c>
      <x:c r="AF317" s="5"/>
      <x:c r="AG317" s="5"/>
    </x:row>
    <x:row r="318">
      <x:c r="A318" s="80"/>
      <x:c r="B318" s="80"/>
      <x:c r="C318" s="83"/>
      <x:c r="D318" s="80"/>
      <x:c r="E318" s="80"/>
      <x:c r="F318" s="86"/>
      <x:c r="G318" s="80"/>
      <x:c r="H318" s="95"/>
      <x:c r="I318" s="95"/>
      <x:c r="J318" s="96"/>
      <x:c r="K318" s="97"/>
      <x:c r="L318" s="98"/>
      <x:c r="M318" s="98"/>
      <x:c r="N318" s="98"/>
      <x:c r="O318" s="98"/>
      <x:c r="P318" s="98"/>
      <x:c r="Q318" s="80"/>
      <x:c r="R318" s="80"/>
      <x:c r="S318" s="80"/>
      <x:c r="T318" s="80"/>
      <x:c r="U318" s="80"/>
      <x:c r="V318" s="89" t="str">
        <x:f>IF(A318="","",IF(U318="","",IF(U318="Выигрыш",J318-1,IF(U318="Полувыигрыш",(J318-1)/2,IF(U318="Возврат",0,IF(U318="Полупроигрыш",-0.5,IF(U318="Поражение",-1,"Проверить результат")))))))</x:f>
      </x:c>
      <x:c r="W318" s="80" t="str">
        <x:f>IF(A318="","",IF(U318="","Открыт",IF(ISNUMBER(V318),"Рассчитан","Проверить результат")))</x:f>
      </x:c>
      <x:c r="X318" s="98"/>
      <x:c r="Y318" s="5"/>
      <x:c r="Z318" s="5"/>
      <x:c r="AA318" s="5"/>
      <x:c r="AB318" s="118"/>
      <x:c r="AC318" s="119"/>
      <x:c r="AD318" s="119"/>
      <x:c r="AE318" s="5" t="str">
        <x:f>IF(A318="","",IF(Z318="","Нет ID пары",IF(AND(COUNTIFS($Z$59:$Z$505,Z318,$Y$59:$Y$505,"Оптимальный",$W$59:$W$505,"Рассчитан")=1,COUNTIFS($Z$59:$Z$505,Z318,$Y$59:$Y$505,"Агрессивный",$W$59:$W$505,"Рассчитан")=1),"Да","Нет")))</x:f>
      </x:c>
      <x:c r="AF318" s="5"/>
      <x:c r="AG318" s="5"/>
    </x:row>
    <x:row r="319">
      <x:c r="A319" s="80"/>
      <x:c r="B319" s="80"/>
      <x:c r="C319" s="83"/>
      <x:c r="D319" s="80"/>
      <x:c r="E319" s="80"/>
      <x:c r="F319" s="86"/>
      <x:c r="G319" s="80"/>
      <x:c r="H319" s="95"/>
      <x:c r="I319" s="95"/>
      <x:c r="J319" s="96"/>
      <x:c r="K319" s="97"/>
      <x:c r="L319" s="98"/>
      <x:c r="M319" s="98"/>
      <x:c r="N319" s="98"/>
      <x:c r="O319" s="98"/>
      <x:c r="P319" s="98"/>
      <x:c r="Q319" s="80"/>
      <x:c r="R319" s="80"/>
      <x:c r="S319" s="80"/>
      <x:c r="T319" s="80"/>
      <x:c r="U319" s="80"/>
      <x:c r="V319" s="89" t="str">
        <x:f>IF(A319="","",IF(U319="","",IF(U319="Выигрыш",J319-1,IF(U319="Полувыигрыш",(J319-1)/2,IF(U319="Возврат",0,IF(U319="Полупроигрыш",-0.5,IF(U319="Поражение",-1,"Проверить результат")))))))</x:f>
      </x:c>
      <x:c r="W319" s="80" t="str">
        <x:f>IF(A319="","",IF(U319="","Открыт",IF(ISNUMBER(V319),"Рассчитан","Проверить результат")))</x:f>
      </x:c>
      <x:c r="X319" s="98"/>
      <x:c r="Y319" s="5"/>
      <x:c r="Z319" s="5"/>
      <x:c r="AA319" s="5"/>
      <x:c r="AB319" s="118"/>
      <x:c r="AC319" s="119"/>
      <x:c r="AD319" s="119"/>
      <x:c r="AE319" s="5" t="str">
        <x:f>IF(A319="","",IF(Z319="","Нет ID пары",IF(AND(COUNTIFS($Z$59:$Z$505,Z319,$Y$59:$Y$505,"Оптимальный",$W$59:$W$505,"Рассчитан")=1,COUNTIFS($Z$59:$Z$505,Z319,$Y$59:$Y$505,"Агрессивный",$W$59:$W$505,"Рассчитан")=1),"Да","Нет")))</x:f>
      </x:c>
      <x:c r="AF319" s="5"/>
      <x:c r="AG319" s="5"/>
    </x:row>
    <x:row r="320">
      <x:c r="A320" s="80"/>
      <x:c r="B320" s="80"/>
      <x:c r="C320" s="83"/>
      <x:c r="D320" s="80"/>
      <x:c r="E320" s="80"/>
      <x:c r="F320" s="86"/>
      <x:c r="G320" s="80"/>
      <x:c r="H320" s="95"/>
      <x:c r="I320" s="95"/>
      <x:c r="J320" s="96"/>
      <x:c r="K320" s="97"/>
      <x:c r="L320" s="98"/>
      <x:c r="M320" s="98"/>
      <x:c r="N320" s="98"/>
      <x:c r="O320" s="98"/>
      <x:c r="P320" s="98"/>
      <x:c r="Q320" s="80"/>
      <x:c r="R320" s="80"/>
      <x:c r="S320" s="80"/>
      <x:c r="T320" s="80"/>
      <x:c r="U320" s="80"/>
      <x:c r="V320" s="89" t="str">
        <x:f>IF(A320="","",IF(U320="","",IF(U320="Выигрыш",J320-1,IF(U320="Полувыигрыш",(J320-1)/2,IF(U320="Возврат",0,IF(U320="Полупроигрыш",-0.5,IF(U320="Поражение",-1,"Проверить результат")))))))</x:f>
      </x:c>
      <x:c r="W320" s="80" t="str">
        <x:f>IF(A320="","",IF(U320="","Открыт",IF(ISNUMBER(V320),"Рассчитан","Проверить результат")))</x:f>
      </x:c>
      <x:c r="X320" s="98"/>
      <x:c r="Y320" s="5"/>
      <x:c r="Z320" s="5"/>
      <x:c r="AA320" s="5"/>
      <x:c r="AB320" s="118"/>
      <x:c r="AC320" s="119"/>
      <x:c r="AD320" s="119"/>
      <x:c r="AE320" s="5" t="str">
        <x:f>IF(A320="","",IF(Z320="","Нет ID пары",IF(AND(COUNTIFS($Z$59:$Z$505,Z320,$Y$59:$Y$505,"Оптимальный",$W$59:$W$505,"Рассчитан")=1,COUNTIFS($Z$59:$Z$505,Z320,$Y$59:$Y$505,"Агрессивный",$W$59:$W$505,"Рассчитан")=1),"Да","Нет")))</x:f>
      </x:c>
      <x:c r="AF320" s="5"/>
      <x:c r="AG320" s="5"/>
    </x:row>
    <x:row r="321">
      <x:c r="A321" s="80"/>
      <x:c r="B321" s="80"/>
      <x:c r="C321" s="83"/>
      <x:c r="D321" s="80"/>
      <x:c r="E321" s="80"/>
      <x:c r="F321" s="86"/>
      <x:c r="G321" s="80"/>
      <x:c r="H321" s="95"/>
      <x:c r="I321" s="95"/>
      <x:c r="J321" s="96"/>
      <x:c r="K321" s="97"/>
      <x:c r="L321" s="98"/>
      <x:c r="M321" s="98"/>
      <x:c r="N321" s="98"/>
      <x:c r="O321" s="98"/>
      <x:c r="P321" s="98"/>
      <x:c r="Q321" s="80"/>
      <x:c r="R321" s="80"/>
      <x:c r="S321" s="80"/>
      <x:c r="T321" s="80"/>
      <x:c r="U321" s="80"/>
      <x:c r="V321" s="89" t="str">
        <x:f>IF(A321="","",IF(U321="","",IF(U321="Выигрыш",J321-1,IF(U321="Полувыигрыш",(J321-1)/2,IF(U321="Возврат",0,IF(U321="Полупроигрыш",-0.5,IF(U321="Поражение",-1,"Проверить результат")))))))</x:f>
      </x:c>
      <x:c r="W321" s="80" t="str">
        <x:f>IF(A321="","",IF(U321="","Открыт",IF(ISNUMBER(V321),"Рассчитан","Проверить результат")))</x:f>
      </x:c>
      <x:c r="X321" s="98"/>
      <x:c r="Y321" s="5"/>
      <x:c r="Z321" s="5"/>
      <x:c r="AA321" s="5"/>
      <x:c r="AB321" s="118"/>
      <x:c r="AC321" s="119"/>
      <x:c r="AD321" s="119"/>
      <x:c r="AE321" s="5" t="str">
        <x:f>IF(A321="","",IF(Z321="","Нет ID пары",IF(AND(COUNTIFS($Z$59:$Z$505,Z321,$Y$59:$Y$505,"Оптимальный",$W$59:$W$505,"Рассчитан")=1,COUNTIFS($Z$59:$Z$505,Z321,$Y$59:$Y$505,"Агрессивный",$W$59:$W$505,"Рассчитан")=1),"Да","Нет")))</x:f>
      </x:c>
      <x:c r="AF321" s="5"/>
      <x:c r="AG321" s="5"/>
    </x:row>
    <x:row r="322">
      <x:c r="A322" s="80"/>
      <x:c r="B322" s="80"/>
      <x:c r="C322" s="83"/>
      <x:c r="D322" s="80"/>
      <x:c r="E322" s="80"/>
      <x:c r="F322" s="86"/>
      <x:c r="G322" s="80"/>
      <x:c r="H322" s="95"/>
      <x:c r="I322" s="95"/>
      <x:c r="J322" s="96"/>
      <x:c r="K322" s="97"/>
      <x:c r="L322" s="98"/>
      <x:c r="M322" s="98"/>
      <x:c r="N322" s="98"/>
      <x:c r="O322" s="98"/>
      <x:c r="P322" s="98"/>
      <x:c r="Q322" s="80"/>
      <x:c r="R322" s="80"/>
      <x:c r="S322" s="80"/>
      <x:c r="T322" s="80"/>
      <x:c r="U322" s="80"/>
      <x:c r="V322" s="89" t="str">
        <x:f>IF(A322="","",IF(U322="","",IF(U322="Выигрыш",J322-1,IF(U322="Полувыигрыш",(J322-1)/2,IF(U322="Возврат",0,IF(U322="Полупроигрыш",-0.5,IF(U322="Поражение",-1,"Проверить результат")))))))</x:f>
      </x:c>
      <x:c r="W322" s="80" t="str">
        <x:f>IF(A322="","",IF(U322="","Открыт",IF(ISNUMBER(V322),"Рассчитан","Проверить результат")))</x:f>
      </x:c>
      <x:c r="X322" s="98"/>
      <x:c r="Y322" s="5"/>
      <x:c r="Z322" s="5"/>
      <x:c r="AA322" s="5"/>
      <x:c r="AB322" s="118"/>
      <x:c r="AC322" s="119"/>
      <x:c r="AD322" s="119"/>
      <x:c r="AE322" s="5" t="str">
        <x:f>IF(A322="","",IF(Z322="","Нет ID пары",IF(AND(COUNTIFS($Z$59:$Z$505,Z322,$Y$59:$Y$505,"Оптимальный",$W$59:$W$505,"Рассчитан")=1,COUNTIFS($Z$59:$Z$505,Z322,$Y$59:$Y$505,"Агрессивный",$W$59:$W$505,"Рассчитан")=1),"Да","Нет")))</x:f>
      </x:c>
      <x:c r="AF322" s="5"/>
      <x:c r="AG322" s="5"/>
    </x:row>
    <x:row r="323">
      <x:c r="A323" s="80"/>
      <x:c r="B323" s="80"/>
      <x:c r="C323" s="83"/>
      <x:c r="D323" s="80"/>
      <x:c r="E323" s="80"/>
      <x:c r="F323" s="86"/>
      <x:c r="G323" s="80"/>
      <x:c r="H323" s="95"/>
      <x:c r="I323" s="95"/>
      <x:c r="J323" s="96"/>
      <x:c r="K323" s="97"/>
      <x:c r="L323" s="98"/>
      <x:c r="M323" s="98"/>
      <x:c r="N323" s="98"/>
      <x:c r="O323" s="98"/>
      <x:c r="P323" s="98"/>
      <x:c r="Q323" s="80"/>
      <x:c r="R323" s="80"/>
      <x:c r="S323" s="80"/>
      <x:c r="T323" s="80"/>
      <x:c r="U323" s="80"/>
      <x:c r="V323" s="89" t="str">
        <x:f>IF(A323="","",IF(U323="","",IF(U323="Выигрыш",J323-1,IF(U323="Полувыигрыш",(J323-1)/2,IF(U323="Возврат",0,IF(U323="Полупроигрыш",-0.5,IF(U323="Поражение",-1,"Проверить результат")))))))</x:f>
      </x:c>
      <x:c r="W323" s="80" t="str">
        <x:f>IF(A323="","",IF(U323="","Открыт",IF(ISNUMBER(V323),"Рассчитан","Проверить результат")))</x:f>
      </x:c>
      <x:c r="X323" s="98"/>
      <x:c r="Y323" s="5"/>
      <x:c r="Z323" s="5"/>
      <x:c r="AA323" s="5"/>
      <x:c r="AB323" s="118"/>
      <x:c r="AC323" s="119"/>
      <x:c r="AD323" s="119"/>
      <x:c r="AE323" s="5" t="str">
        <x:f>IF(A323="","",IF(Z323="","Нет ID пары",IF(AND(COUNTIFS($Z$59:$Z$505,Z323,$Y$59:$Y$505,"Оптимальный",$W$59:$W$505,"Рассчитан")=1,COUNTIFS($Z$59:$Z$505,Z323,$Y$59:$Y$505,"Агрессивный",$W$59:$W$505,"Рассчитан")=1),"Да","Нет")))</x:f>
      </x:c>
      <x:c r="AF323" s="5"/>
      <x:c r="AG323" s="5"/>
    </x:row>
    <x:row r="324">
      <x:c r="A324" s="80"/>
      <x:c r="B324" s="80"/>
      <x:c r="C324" s="83"/>
      <x:c r="D324" s="80"/>
      <x:c r="E324" s="80"/>
      <x:c r="F324" s="86"/>
      <x:c r="G324" s="80"/>
      <x:c r="H324" s="95"/>
      <x:c r="I324" s="95"/>
      <x:c r="J324" s="96"/>
      <x:c r="K324" s="97"/>
      <x:c r="L324" s="98"/>
      <x:c r="M324" s="98"/>
      <x:c r="N324" s="98"/>
      <x:c r="O324" s="98"/>
      <x:c r="P324" s="98"/>
      <x:c r="Q324" s="80"/>
      <x:c r="R324" s="80"/>
      <x:c r="S324" s="80"/>
      <x:c r="T324" s="80"/>
      <x:c r="U324" s="80"/>
      <x:c r="V324" s="89" t="str">
        <x:f>IF(A324="","",IF(U324="","",IF(U324="Выигрыш",J324-1,IF(U324="Полувыигрыш",(J324-1)/2,IF(U324="Возврат",0,IF(U324="Полупроигрыш",-0.5,IF(U324="Поражение",-1,"Проверить результат")))))))</x:f>
      </x:c>
      <x:c r="W324" s="80" t="str">
        <x:f>IF(A324="","",IF(U324="","Открыт",IF(ISNUMBER(V324),"Рассчитан","Проверить результат")))</x:f>
      </x:c>
      <x:c r="X324" s="98"/>
      <x:c r="Y324" s="5"/>
      <x:c r="Z324" s="5"/>
      <x:c r="AA324" s="5"/>
      <x:c r="AB324" s="118"/>
      <x:c r="AC324" s="119"/>
      <x:c r="AD324" s="119"/>
      <x:c r="AE324" s="5" t="str">
        <x:f>IF(A324="","",IF(Z324="","Нет ID пары",IF(AND(COUNTIFS($Z$59:$Z$505,Z324,$Y$59:$Y$505,"Оптимальный",$W$59:$W$505,"Рассчитан")=1,COUNTIFS($Z$59:$Z$505,Z324,$Y$59:$Y$505,"Агрессивный",$W$59:$W$505,"Рассчитан")=1),"Да","Нет")))</x:f>
      </x:c>
      <x:c r="AF324" s="5"/>
      <x:c r="AG324" s="5"/>
    </x:row>
    <x:row r="325">
      <x:c r="A325" s="80"/>
      <x:c r="B325" s="80"/>
      <x:c r="C325" s="83"/>
      <x:c r="D325" s="80"/>
      <x:c r="E325" s="80"/>
      <x:c r="F325" s="86"/>
      <x:c r="G325" s="80"/>
      <x:c r="H325" s="95"/>
      <x:c r="I325" s="95"/>
      <x:c r="J325" s="96"/>
      <x:c r="K325" s="97"/>
      <x:c r="L325" s="98"/>
      <x:c r="M325" s="98"/>
      <x:c r="N325" s="98"/>
      <x:c r="O325" s="98"/>
      <x:c r="P325" s="98"/>
      <x:c r="Q325" s="80"/>
      <x:c r="R325" s="80"/>
      <x:c r="S325" s="80"/>
      <x:c r="T325" s="80"/>
      <x:c r="U325" s="80"/>
      <x:c r="V325" s="89" t="str">
        <x:f>IF(A325="","",IF(U325="","",IF(U325="Выигрыш",J325-1,IF(U325="Полувыигрыш",(J325-1)/2,IF(U325="Возврат",0,IF(U325="Полупроигрыш",-0.5,IF(U325="Поражение",-1,"Проверить результат")))))))</x:f>
      </x:c>
      <x:c r="W325" s="80" t="str">
        <x:f>IF(A325="","",IF(U325="","Открыт",IF(ISNUMBER(V325),"Рассчитан","Проверить результат")))</x:f>
      </x:c>
      <x:c r="X325" s="98"/>
      <x:c r="Y325" s="5"/>
      <x:c r="Z325" s="5"/>
      <x:c r="AA325" s="5"/>
      <x:c r="AB325" s="118"/>
      <x:c r="AC325" s="119"/>
      <x:c r="AD325" s="119"/>
      <x:c r="AE325" s="5" t="str">
        <x:f>IF(A325="","",IF(Z325="","Нет ID пары",IF(AND(COUNTIFS($Z$59:$Z$505,Z325,$Y$59:$Y$505,"Оптимальный",$W$59:$W$505,"Рассчитан")=1,COUNTIFS($Z$59:$Z$505,Z325,$Y$59:$Y$505,"Агрессивный",$W$59:$W$505,"Рассчитан")=1),"Да","Нет")))</x:f>
      </x:c>
      <x:c r="AF325" s="5"/>
      <x:c r="AG325" s="5"/>
    </x:row>
    <x:row r="326">
      <x:c r="A326" s="80"/>
      <x:c r="B326" s="80"/>
      <x:c r="C326" s="83"/>
      <x:c r="D326" s="80"/>
      <x:c r="E326" s="80"/>
      <x:c r="F326" s="86"/>
      <x:c r="G326" s="80"/>
      <x:c r="H326" s="95"/>
      <x:c r="I326" s="95"/>
      <x:c r="J326" s="96"/>
      <x:c r="K326" s="97"/>
      <x:c r="L326" s="98"/>
      <x:c r="M326" s="98"/>
      <x:c r="N326" s="98"/>
      <x:c r="O326" s="98"/>
      <x:c r="P326" s="98"/>
      <x:c r="Q326" s="80"/>
      <x:c r="R326" s="80"/>
      <x:c r="S326" s="80"/>
      <x:c r="T326" s="80"/>
      <x:c r="U326" s="80"/>
      <x:c r="V326" s="89" t="str">
        <x:f>IF(A326="","",IF(U326="","",IF(U326="Выигрыш",J326-1,IF(U326="Полувыигрыш",(J326-1)/2,IF(U326="Возврат",0,IF(U326="Полупроигрыш",-0.5,IF(U326="Поражение",-1,"Проверить результат")))))))</x:f>
      </x:c>
      <x:c r="W326" s="80" t="str">
        <x:f>IF(A326="","",IF(U326="","Открыт",IF(ISNUMBER(V326),"Рассчитан","Проверить результат")))</x:f>
      </x:c>
      <x:c r="X326" s="98"/>
      <x:c r="Y326" s="5"/>
      <x:c r="Z326" s="5"/>
      <x:c r="AA326" s="5"/>
      <x:c r="AB326" s="118"/>
      <x:c r="AC326" s="119"/>
      <x:c r="AD326" s="119"/>
      <x:c r="AE326" s="5" t="str">
        <x:f>IF(A326="","",IF(Z326="","Нет ID пары",IF(AND(COUNTIFS($Z$59:$Z$505,Z326,$Y$59:$Y$505,"Оптимальный",$W$59:$W$505,"Рассчитан")=1,COUNTIFS($Z$59:$Z$505,Z326,$Y$59:$Y$505,"Агрессивный",$W$59:$W$505,"Рассчитан")=1),"Да","Нет")))</x:f>
      </x:c>
      <x:c r="AF326" s="5"/>
      <x:c r="AG326" s="5"/>
    </x:row>
    <x:row r="327">
      <x:c r="A327" s="80"/>
      <x:c r="B327" s="80"/>
      <x:c r="C327" s="83"/>
      <x:c r="D327" s="80"/>
      <x:c r="E327" s="80"/>
      <x:c r="F327" s="86"/>
      <x:c r="G327" s="80"/>
      <x:c r="H327" s="95"/>
      <x:c r="I327" s="95"/>
      <x:c r="J327" s="96"/>
      <x:c r="K327" s="97"/>
      <x:c r="L327" s="98"/>
      <x:c r="M327" s="98"/>
      <x:c r="N327" s="98"/>
      <x:c r="O327" s="98"/>
      <x:c r="P327" s="98"/>
      <x:c r="Q327" s="80"/>
      <x:c r="R327" s="80"/>
      <x:c r="S327" s="80"/>
      <x:c r="T327" s="80"/>
      <x:c r="U327" s="80"/>
      <x:c r="V327" s="89" t="str">
        <x:f>IF(A327="","",IF(U327="","",IF(U327="Выигрыш",J327-1,IF(U327="Полувыигрыш",(J327-1)/2,IF(U327="Возврат",0,IF(U327="Полупроигрыш",-0.5,IF(U327="Поражение",-1,"Проверить результат")))))))</x:f>
      </x:c>
      <x:c r="W327" s="80" t="str">
        <x:f>IF(A327="","",IF(U327="","Открыт",IF(ISNUMBER(V327),"Рассчитан","Проверить результат")))</x:f>
      </x:c>
      <x:c r="X327" s="98"/>
      <x:c r="Y327" s="5"/>
      <x:c r="Z327" s="5"/>
      <x:c r="AA327" s="5"/>
      <x:c r="AB327" s="118"/>
      <x:c r="AC327" s="119"/>
      <x:c r="AD327" s="119"/>
      <x:c r="AE327" s="5" t="str">
        <x:f>IF(A327="","",IF(Z327="","Нет ID пары",IF(AND(COUNTIFS($Z$59:$Z$505,Z327,$Y$59:$Y$505,"Оптимальный",$W$59:$W$505,"Рассчитан")=1,COUNTIFS($Z$59:$Z$505,Z327,$Y$59:$Y$505,"Агрессивный",$W$59:$W$505,"Рассчитан")=1),"Да","Нет")))</x:f>
      </x:c>
      <x:c r="AF327" s="5"/>
      <x:c r="AG327" s="5"/>
    </x:row>
    <x:row r="328">
      <x:c r="A328" s="80"/>
      <x:c r="B328" s="80"/>
      <x:c r="C328" s="83"/>
      <x:c r="D328" s="80"/>
      <x:c r="E328" s="80"/>
      <x:c r="F328" s="86"/>
      <x:c r="G328" s="80"/>
      <x:c r="H328" s="95"/>
      <x:c r="I328" s="95"/>
      <x:c r="J328" s="96"/>
      <x:c r="K328" s="97"/>
      <x:c r="L328" s="98"/>
      <x:c r="M328" s="98"/>
      <x:c r="N328" s="98"/>
      <x:c r="O328" s="98"/>
      <x:c r="P328" s="98"/>
      <x:c r="Q328" s="80"/>
      <x:c r="R328" s="80"/>
      <x:c r="S328" s="80"/>
      <x:c r="T328" s="80"/>
      <x:c r="U328" s="80"/>
      <x:c r="V328" s="89" t="str">
        <x:f>IF(A328="","",IF(U328="","",IF(U328="Выигрыш",J328-1,IF(U328="Полувыигрыш",(J328-1)/2,IF(U328="Возврат",0,IF(U328="Полупроигрыш",-0.5,IF(U328="Поражение",-1,"Проверить результат")))))))</x:f>
      </x:c>
      <x:c r="W328" s="80" t="str">
        <x:f>IF(A328="","",IF(U328="","Открыт",IF(ISNUMBER(V328),"Рассчитан","Проверить результат")))</x:f>
      </x:c>
      <x:c r="X328" s="98"/>
      <x:c r="Y328" s="5"/>
      <x:c r="Z328" s="5"/>
      <x:c r="AA328" s="5"/>
      <x:c r="AB328" s="118"/>
      <x:c r="AC328" s="119"/>
      <x:c r="AD328" s="119"/>
      <x:c r="AE328" s="5" t="str">
        <x:f>IF(A328="","",IF(Z328="","Нет ID пары",IF(AND(COUNTIFS($Z$59:$Z$505,Z328,$Y$59:$Y$505,"Оптимальный",$W$59:$W$505,"Рассчитан")=1,COUNTIFS($Z$59:$Z$505,Z328,$Y$59:$Y$505,"Агрессивный",$W$59:$W$505,"Рассчитан")=1),"Да","Нет")))</x:f>
      </x:c>
      <x:c r="AF328" s="5"/>
      <x:c r="AG328" s="5"/>
    </x:row>
    <x:row r="329">
      <x:c r="A329" s="80"/>
      <x:c r="B329" s="80"/>
      <x:c r="C329" s="83"/>
      <x:c r="D329" s="80"/>
      <x:c r="E329" s="80"/>
      <x:c r="F329" s="86"/>
      <x:c r="G329" s="80"/>
      <x:c r="H329" s="95"/>
      <x:c r="I329" s="95"/>
      <x:c r="J329" s="96"/>
      <x:c r="K329" s="97"/>
      <x:c r="L329" s="98"/>
      <x:c r="M329" s="98"/>
      <x:c r="N329" s="98"/>
      <x:c r="O329" s="98"/>
      <x:c r="P329" s="98"/>
      <x:c r="Q329" s="80"/>
      <x:c r="R329" s="80"/>
      <x:c r="S329" s="80"/>
      <x:c r="T329" s="80"/>
      <x:c r="U329" s="80"/>
      <x:c r="V329" s="89" t="str">
        <x:f>IF(A329="","",IF(U329="","",IF(U329="Выигрыш",J329-1,IF(U329="Полувыигрыш",(J329-1)/2,IF(U329="Возврат",0,IF(U329="Полупроигрыш",-0.5,IF(U329="Поражение",-1,"Проверить результат")))))))</x:f>
      </x:c>
      <x:c r="W329" s="80" t="str">
        <x:f>IF(A329="","",IF(U329="","Открыт",IF(ISNUMBER(V329),"Рассчитан","Проверить результат")))</x:f>
      </x:c>
      <x:c r="X329" s="98"/>
      <x:c r="Y329" s="5"/>
      <x:c r="Z329" s="5"/>
      <x:c r="AA329" s="5"/>
      <x:c r="AB329" s="118"/>
      <x:c r="AC329" s="119"/>
      <x:c r="AD329" s="119"/>
      <x:c r="AE329" s="5" t="str">
        <x:f>IF(A329="","",IF(Z329="","Нет ID пары",IF(AND(COUNTIFS($Z$59:$Z$505,Z329,$Y$59:$Y$505,"Оптимальный",$W$59:$W$505,"Рассчитан")=1,COUNTIFS($Z$59:$Z$505,Z329,$Y$59:$Y$505,"Агрессивный",$W$59:$W$505,"Рассчитан")=1),"Да","Нет")))</x:f>
      </x:c>
      <x:c r="AF329" s="5"/>
      <x:c r="AG329" s="5"/>
    </x:row>
    <x:row r="330">
      <x:c r="A330" s="80"/>
      <x:c r="B330" s="80"/>
      <x:c r="C330" s="83"/>
      <x:c r="D330" s="80"/>
      <x:c r="E330" s="80"/>
      <x:c r="F330" s="86"/>
      <x:c r="G330" s="80"/>
      <x:c r="H330" s="95"/>
      <x:c r="I330" s="95"/>
      <x:c r="J330" s="96"/>
      <x:c r="K330" s="97"/>
      <x:c r="L330" s="98"/>
      <x:c r="M330" s="98"/>
      <x:c r="N330" s="98"/>
      <x:c r="O330" s="98"/>
      <x:c r="P330" s="98"/>
      <x:c r="Q330" s="80"/>
      <x:c r="R330" s="80"/>
      <x:c r="S330" s="80"/>
      <x:c r="T330" s="80"/>
      <x:c r="U330" s="80"/>
      <x:c r="V330" s="89" t="str">
        <x:f>IF(A330="","",IF(U330="","",IF(U330="Выигрыш",J330-1,IF(U330="Полувыигрыш",(J330-1)/2,IF(U330="Возврат",0,IF(U330="Полупроигрыш",-0.5,IF(U330="Поражение",-1,"Проверить результат")))))))</x:f>
      </x:c>
      <x:c r="W330" s="80" t="str">
        <x:f>IF(A330="","",IF(U330="","Открыт",IF(ISNUMBER(V330),"Рассчитан","Проверить результат")))</x:f>
      </x:c>
      <x:c r="X330" s="98"/>
      <x:c r="Y330" s="5"/>
      <x:c r="Z330" s="5"/>
      <x:c r="AA330" s="5"/>
      <x:c r="AB330" s="118"/>
      <x:c r="AC330" s="119"/>
      <x:c r="AD330" s="119"/>
      <x:c r="AE330" s="5" t="str">
        <x:f>IF(A330="","",IF(Z330="","Нет ID пары",IF(AND(COUNTIFS($Z$59:$Z$505,Z330,$Y$59:$Y$505,"Оптимальный",$W$59:$W$505,"Рассчитан")=1,COUNTIFS($Z$59:$Z$505,Z330,$Y$59:$Y$505,"Агрессивный",$W$59:$W$505,"Рассчитан")=1),"Да","Нет")))</x:f>
      </x:c>
      <x:c r="AF330" s="5"/>
      <x:c r="AG330" s="5"/>
    </x:row>
    <x:row r="331">
      <x:c r="A331" s="80"/>
      <x:c r="B331" s="80"/>
      <x:c r="C331" s="83"/>
      <x:c r="D331" s="80"/>
      <x:c r="E331" s="80"/>
      <x:c r="F331" s="86"/>
      <x:c r="G331" s="80"/>
      <x:c r="H331" s="95"/>
      <x:c r="I331" s="95"/>
      <x:c r="J331" s="96"/>
      <x:c r="K331" s="97"/>
      <x:c r="L331" s="98"/>
      <x:c r="M331" s="98"/>
      <x:c r="N331" s="98"/>
      <x:c r="O331" s="98"/>
      <x:c r="P331" s="98"/>
      <x:c r="Q331" s="80"/>
      <x:c r="R331" s="80"/>
      <x:c r="S331" s="80"/>
      <x:c r="T331" s="80"/>
      <x:c r="U331" s="80"/>
      <x:c r="V331" s="89" t="str">
        <x:f>IF(A331="","",IF(U331="","",IF(U331="Выигрыш",J331-1,IF(U331="Полувыигрыш",(J331-1)/2,IF(U331="Возврат",0,IF(U331="Полупроигрыш",-0.5,IF(U331="Поражение",-1,"Проверить результат")))))))</x:f>
      </x:c>
      <x:c r="W331" s="80" t="str">
        <x:f>IF(A331="","",IF(U331="","Открыт",IF(ISNUMBER(V331),"Рассчитан","Проверить результат")))</x:f>
      </x:c>
      <x:c r="X331" s="98"/>
      <x:c r="Y331" s="5"/>
      <x:c r="Z331" s="5"/>
      <x:c r="AA331" s="5"/>
      <x:c r="AB331" s="118"/>
      <x:c r="AC331" s="119"/>
      <x:c r="AD331" s="119"/>
      <x:c r="AE331" s="5" t="str">
        <x:f>IF(A331="","",IF(Z331="","Нет ID пары",IF(AND(COUNTIFS($Z$59:$Z$505,Z331,$Y$59:$Y$505,"Оптимальный",$W$59:$W$505,"Рассчитан")=1,COUNTIFS($Z$59:$Z$505,Z331,$Y$59:$Y$505,"Агрессивный",$W$59:$W$505,"Рассчитан")=1),"Да","Нет")))</x:f>
      </x:c>
      <x:c r="AF331" s="5"/>
      <x:c r="AG331" s="5"/>
    </x:row>
    <x:row r="332">
      <x:c r="A332" s="80"/>
      <x:c r="B332" s="80"/>
      <x:c r="C332" s="83"/>
      <x:c r="D332" s="80"/>
      <x:c r="E332" s="80"/>
      <x:c r="F332" s="86"/>
      <x:c r="G332" s="80"/>
      <x:c r="H332" s="95"/>
      <x:c r="I332" s="95"/>
      <x:c r="J332" s="96"/>
      <x:c r="K332" s="97"/>
      <x:c r="L332" s="98"/>
      <x:c r="M332" s="98"/>
      <x:c r="N332" s="98"/>
      <x:c r="O332" s="98"/>
      <x:c r="P332" s="98"/>
      <x:c r="Q332" s="80"/>
      <x:c r="R332" s="80"/>
      <x:c r="S332" s="80"/>
      <x:c r="T332" s="80"/>
      <x:c r="U332" s="80"/>
      <x:c r="V332" s="89" t="str">
        <x:f>IF(A332="","",IF(U332="","",IF(U332="Выигрыш",J332-1,IF(U332="Полувыигрыш",(J332-1)/2,IF(U332="Возврат",0,IF(U332="Полупроигрыш",-0.5,IF(U332="Поражение",-1,"Проверить результат")))))))</x:f>
      </x:c>
      <x:c r="W332" s="80" t="str">
        <x:f>IF(A332="","",IF(U332="","Открыт",IF(ISNUMBER(V332),"Рассчитан","Проверить результат")))</x:f>
      </x:c>
      <x:c r="X332" s="98"/>
      <x:c r="Y332" s="5"/>
      <x:c r="Z332" s="5"/>
      <x:c r="AA332" s="5"/>
      <x:c r="AB332" s="118"/>
      <x:c r="AC332" s="119"/>
      <x:c r="AD332" s="119"/>
      <x:c r="AE332" s="5" t="str">
        <x:f>IF(A332="","",IF(Z332="","Нет ID пары",IF(AND(COUNTIFS($Z$59:$Z$505,Z332,$Y$59:$Y$505,"Оптимальный",$W$59:$W$505,"Рассчитан")=1,COUNTIFS($Z$59:$Z$505,Z332,$Y$59:$Y$505,"Агрессивный",$W$59:$W$505,"Рассчитан")=1),"Да","Нет")))</x:f>
      </x:c>
      <x:c r="AF332" s="5"/>
      <x:c r="AG332" s="5"/>
    </x:row>
    <x:row r="333">
      <x:c r="A333" s="80"/>
      <x:c r="B333" s="80"/>
      <x:c r="C333" s="83"/>
      <x:c r="D333" s="80"/>
      <x:c r="E333" s="80"/>
      <x:c r="F333" s="86"/>
      <x:c r="G333" s="80"/>
      <x:c r="H333" s="95"/>
      <x:c r="I333" s="95"/>
      <x:c r="J333" s="96"/>
      <x:c r="K333" s="97"/>
      <x:c r="L333" s="98"/>
      <x:c r="M333" s="98"/>
      <x:c r="N333" s="98"/>
      <x:c r="O333" s="98"/>
      <x:c r="P333" s="98"/>
      <x:c r="Q333" s="80"/>
      <x:c r="R333" s="80"/>
      <x:c r="S333" s="80"/>
      <x:c r="T333" s="80"/>
      <x:c r="U333" s="80"/>
      <x:c r="V333" s="89" t="str">
        <x:f>IF(A333="","",IF(U333="","",IF(U333="Выигрыш",J333-1,IF(U333="Полувыигрыш",(J333-1)/2,IF(U333="Возврат",0,IF(U333="Полупроигрыш",-0.5,IF(U333="Поражение",-1,"Проверить результат")))))))</x:f>
      </x:c>
      <x:c r="W333" s="80" t="str">
        <x:f>IF(A333="","",IF(U333="","Открыт",IF(ISNUMBER(V333),"Рассчитан","Проверить результат")))</x:f>
      </x:c>
      <x:c r="X333" s="98"/>
      <x:c r="Y333" s="5"/>
      <x:c r="Z333" s="5"/>
      <x:c r="AA333" s="5"/>
      <x:c r="AB333" s="118"/>
      <x:c r="AC333" s="119"/>
      <x:c r="AD333" s="119"/>
      <x:c r="AE333" s="5" t="str">
        <x:f>IF(A333="","",IF(Z333="","Нет ID пары",IF(AND(COUNTIFS($Z$59:$Z$505,Z333,$Y$59:$Y$505,"Оптимальный",$W$59:$W$505,"Рассчитан")=1,COUNTIFS($Z$59:$Z$505,Z333,$Y$59:$Y$505,"Агрессивный",$W$59:$W$505,"Рассчитан")=1),"Да","Нет")))</x:f>
      </x:c>
      <x:c r="AF333" s="5"/>
      <x:c r="AG333" s="5"/>
    </x:row>
    <x:row r="334">
      <x:c r="A334" s="80"/>
      <x:c r="B334" s="80"/>
      <x:c r="C334" s="83"/>
      <x:c r="D334" s="80"/>
      <x:c r="E334" s="80"/>
      <x:c r="F334" s="86"/>
      <x:c r="G334" s="80"/>
      <x:c r="H334" s="95"/>
      <x:c r="I334" s="95"/>
      <x:c r="J334" s="96"/>
      <x:c r="K334" s="97"/>
      <x:c r="L334" s="98"/>
      <x:c r="M334" s="98"/>
      <x:c r="N334" s="98"/>
      <x:c r="O334" s="98"/>
      <x:c r="P334" s="98"/>
      <x:c r="Q334" s="80"/>
      <x:c r="R334" s="80"/>
      <x:c r="S334" s="80"/>
      <x:c r="T334" s="80"/>
      <x:c r="U334" s="80"/>
      <x:c r="V334" s="89" t="str">
        <x:f>IF(A334="","",IF(U334="","",IF(U334="Выигрыш",J334-1,IF(U334="Полувыигрыш",(J334-1)/2,IF(U334="Возврат",0,IF(U334="Полупроигрыш",-0.5,IF(U334="Поражение",-1,"Проверить результат")))))))</x:f>
      </x:c>
      <x:c r="W334" s="80" t="str">
        <x:f>IF(A334="","",IF(U334="","Открыт",IF(ISNUMBER(V334),"Рассчитан","Проверить результат")))</x:f>
      </x:c>
      <x:c r="X334" s="98"/>
      <x:c r="Y334" s="5"/>
      <x:c r="Z334" s="5"/>
      <x:c r="AA334" s="5"/>
      <x:c r="AB334" s="118"/>
      <x:c r="AC334" s="119"/>
      <x:c r="AD334" s="119"/>
      <x:c r="AE334" s="5" t="str">
        <x:f>IF(A334="","",IF(Z334="","Нет ID пары",IF(AND(COUNTIFS($Z$59:$Z$505,Z334,$Y$59:$Y$505,"Оптимальный",$W$59:$W$505,"Рассчитан")=1,COUNTIFS($Z$59:$Z$505,Z334,$Y$59:$Y$505,"Агрессивный",$W$59:$W$505,"Рассчитан")=1),"Да","Нет")))</x:f>
      </x:c>
      <x:c r="AF334" s="5"/>
      <x:c r="AG334" s="5"/>
    </x:row>
    <x:row r="335">
      <x:c r="A335" s="80"/>
      <x:c r="B335" s="80"/>
      <x:c r="C335" s="83"/>
      <x:c r="D335" s="80"/>
      <x:c r="E335" s="80"/>
      <x:c r="F335" s="86"/>
      <x:c r="G335" s="80"/>
      <x:c r="H335" s="95"/>
      <x:c r="I335" s="95"/>
      <x:c r="J335" s="96"/>
      <x:c r="K335" s="97"/>
      <x:c r="L335" s="98"/>
      <x:c r="M335" s="98"/>
      <x:c r="N335" s="98"/>
      <x:c r="O335" s="98"/>
      <x:c r="P335" s="98"/>
      <x:c r="Q335" s="80"/>
      <x:c r="R335" s="80"/>
      <x:c r="S335" s="80"/>
      <x:c r="T335" s="80"/>
      <x:c r="U335" s="80"/>
      <x:c r="V335" s="89" t="str">
        <x:f>IF(A335="","",IF(U335="","",IF(U335="Выигрыш",J335-1,IF(U335="Полувыигрыш",(J335-1)/2,IF(U335="Возврат",0,IF(U335="Полупроигрыш",-0.5,IF(U335="Поражение",-1,"Проверить результат")))))))</x:f>
      </x:c>
      <x:c r="W335" s="80" t="str">
        <x:f>IF(A335="","",IF(U335="","Открыт",IF(ISNUMBER(V335),"Рассчитан","Проверить результат")))</x:f>
      </x:c>
      <x:c r="X335" s="98"/>
      <x:c r="Y335" s="5"/>
      <x:c r="Z335" s="5"/>
      <x:c r="AA335" s="5"/>
      <x:c r="AB335" s="118"/>
      <x:c r="AC335" s="119"/>
      <x:c r="AD335" s="119"/>
      <x:c r="AE335" s="5" t="str">
        <x:f>IF(A335="","",IF(Z335="","Нет ID пары",IF(AND(COUNTIFS($Z$59:$Z$505,Z335,$Y$59:$Y$505,"Оптимальный",$W$59:$W$505,"Рассчитан")=1,COUNTIFS($Z$59:$Z$505,Z335,$Y$59:$Y$505,"Агрессивный",$W$59:$W$505,"Рассчитан")=1),"Да","Нет")))</x:f>
      </x:c>
      <x:c r="AF335" s="5"/>
      <x:c r="AG335" s="5"/>
    </x:row>
    <x:row r="336">
      <x:c r="A336" s="80"/>
      <x:c r="B336" s="80"/>
      <x:c r="C336" s="83"/>
      <x:c r="D336" s="80"/>
      <x:c r="E336" s="80"/>
      <x:c r="F336" s="86"/>
      <x:c r="G336" s="80"/>
      <x:c r="H336" s="95"/>
      <x:c r="I336" s="95"/>
      <x:c r="J336" s="96"/>
      <x:c r="K336" s="97"/>
      <x:c r="L336" s="98"/>
      <x:c r="M336" s="98"/>
      <x:c r="N336" s="98"/>
      <x:c r="O336" s="98"/>
      <x:c r="P336" s="98"/>
      <x:c r="Q336" s="80"/>
      <x:c r="R336" s="80"/>
      <x:c r="S336" s="80"/>
      <x:c r="T336" s="80"/>
      <x:c r="U336" s="80"/>
      <x:c r="V336" s="89" t="str">
        <x:f>IF(A336="","",IF(U336="","",IF(U336="Выигрыш",J336-1,IF(U336="Полувыигрыш",(J336-1)/2,IF(U336="Возврат",0,IF(U336="Полупроигрыш",-0.5,IF(U336="Поражение",-1,"Проверить результат")))))))</x:f>
      </x:c>
      <x:c r="W336" s="80" t="str">
        <x:f>IF(A336="","",IF(U336="","Открыт",IF(ISNUMBER(V336),"Рассчитан","Проверить результат")))</x:f>
      </x:c>
      <x:c r="X336" s="98"/>
      <x:c r="Y336" s="5"/>
      <x:c r="Z336" s="5"/>
      <x:c r="AA336" s="5"/>
      <x:c r="AB336" s="118"/>
      <x:c r="AC336" s="119"/>
      <x:c r="AD336" s="119"/>
      <x:c r="AE336" s="5" t="str">
        <x:f>IF(A336="","",IF(Z336="","Нет ID пары",IF(AND(COUNTIFS($Z$59:$Z$505,Z336,$Y$59:$Y$505,"Оптимальный",$W$59:$W$505,"Рассчитан")=1,COUNTIFS($Z$59:$Z$505,Z336,$Y$59:$Y$505,"Агрессивный",$W$59:$W$505,"Рассчитан")=1),"Да","Нет")))</x:f>
      </x:c>
      <x:c r="AF336" s="5"/>
      <x:c r="AG336" s="5"/>
    </x:row>
    <x:row r="337">
      <x:c r="A337" s="80"/>
      <x:c r="B337" s="80"/>
      <x:c r="C337" s="83"/>
      <x:c r="D337" s="80"/>
      <x:c r="E337" s="80"/>
      <x:c r="F337" s="86"/>
      <x:c r="G337" s="80"/>
      <x:c r="H337" s="95"/>
      <x:c r="I337" s="95"/>
      <x:c r="J337" s="96"/>
      <x:c r="K337" s="97"/>
      <x:c r="L337" s="98"/>
      <x:c r="M337" s="98"/>
      <x:c r="N337" s="98"/>
      <x:c r="O337" s="98"/>
      <x:c r="P337" s="98"/>
      <x:c r="Q337" s="80"/>
      <x:c r="R337" s="80"/>
      <x:c r="S337" s="80"/>
      <x:c r="T337" s="80"/>
      <x:c r="U337" s="80"/>
      <x:c r="V337" s="89" t="str">
        <x:f>IF(A337="","",IF(U337="","",IF(U337="Выигрыш",J337-1,IF(U337="Полувыигрыш",(J337-1)/2,IF(U337="Возврат",0,IF(U337="Полупроигрыш",-0.5,IF(U337="Поражение",-1,"Проверить результат")))))))</x:f>
      </x:c>
      <x:c r="W337" s="80" t="str">
        <x:f>IF(A337="","",IF(U337="","Открыт",IF(ISNUMBER(V337),"Рассчитан","Проверить результат")))</x:f>
      </x:c>
      <x:c r="X337" s="98"/>
      <x:c r="Y337" s="5"/>
      <x:c r="Z337" s="5"/>
      <x:c r="AA337" s="5"/>
      <x:c r="AB337" s="118"/>
      <x:c r="AC337" s="119"/>
      <x:c r="AD337" s="119"/>
      <x:c r="AE337" s="5" t="str">
        <x:f>IF(A337="","",IF(Z337="","Нет ID пары",IF(AND(COUNTIFS($Z$59:$Z$505,Z337,$Y$59:$Y$505,"Оптимальный",$W$59:$W$505,"Рассчитан")=1,COUNTIFS($Z$59:$Z$505,Z337,$Y$59:$Y$505,"Агрессивный",$W$59:$W$505,"Рассчитан")=1),"Да","Нет")))</x:f>
      </x:c>
      <x:c r="AF337" s="5"/>
      <x:c r="AG337" s="5"/>
    </x:row>
    <x:row r="338">
      <x:c r="A338" s="80"/>
      <x:c r="B338" s="80"/>
      <x:c r="C338" s="83"/>
      <x:c r="D338" s="80"/>
      <x:c r="E338" s="80"/>
      <x:c r="F338" s="86"/>
      <x:c r="G338" s="80"/>
      <x:c r="H338" s="95"/>
      <x:c r="I338" s="95"/>
      <x:c r="J338" s="96"/>
      <x:c r="K338" s="97"/>
      <x:c r="L338" s="98"/>
      <x:c r="M338" s="98"/>
      <x:c r="N338" s="98"/>
      <x:c r="O338" s="98"/>
      <x:c r="P338" s="98"/>
      <x:c r="Q338" s="80"/>
      <x:c r="R338" s="80"/>
      <x:c r="S338" s="80"/>
      <x:c r="T338" s="80"/>
      <x:c r="U338" s="80"/>
      <x:c r="V338" s="89" t="str">
        <x:f>IF(A338="","",IF(U338="","",IF(U338="Выигрыш",J338-1,IF(U338="Полувыигрыш",(J338-1)/2,IF(U338="Возврат",0,IF(U338="Полупроигрыш",-0.5,IF(U338="Поражение",-1,"Проверить результат")))))))</x:f>
      </x:c>
      <x:c r="W338" s="80" t="str">
        <x:f>IF(A338="","",IF(U338="","Открыт",IF(ISNUMBER(V338),"Рассчитан","Проверить результат")))</x:f>
      </x:c>
      <x:c r="X338" s="98"/>
      <x:c r="Y338" s="5"/>
      <x:c r="Z338" s="5"/>
      <x:c r="AA338" s="5"/>
      <x:c r="AB338" s="118"/>
      <x:c r="AC338" s="119"/>
      <x:c r="AD338" s="119"/>
      <x:c r="AE338" s="5" t="str">
        <x:f>IF(A338="","",IF(Z338="","Нет ID пары",IF(AND(COUNTIFS($Z$59:$Z$505,Z338,$Y$59:$Y$505,"Оптимальный",$W$59:$W$505,"Рассчитан")=1,COUNTIFS($Z$59:$Z$505,Z338,$Y$59:$Y$505,"Агрессивный",$W$59:$W$505,"Рассчитан")=1),"Да","Нет")))</x:f>
      </x:c>
      <x:c r="AF338" s="5"/>
      <x:c r="AG338" s="5"/>
    </x:row>
    <x:row r="339">
      <x:c r="A339" s="80"/>
      <x:c r="B339" s="80"/>
      <x:c r="C339" s="83"/>
      <x:c r="D339" s="80"/>
      <x:c r="E339" s="80"/>
      <x:c r="F339" s="86"/>
      <x:c r="G339" s="80"/>
      <x:c r="H339" s="95"/>
      <x:c r="I339" s="95"/>
      <x:c r="J339" s="96"/>
      <x:c r="K339" s="97"/>
      <x:c r="L339" s="98"/>
      <x:c r="M339" s="98"/>
      <x:c r="N339" s="98"/>
      <x:c r="O339" s="98"/>
      <x:c r="P339" s="98"/>
      <x:c r="Q339" s="80"/>
      <x:c r="R339" s="80"/>
      <x:c r="S339" s="80"/>
      <x:c r="T339" s="80"/>
      <x:c r="U339" s="80"/>
      <x:c r="V339" s="89" t="str">
        <x:f>IF(A339="","",IF(U339="","",IF(U339="Выигрыш",J339-1,IF(U339="Полувыигрыш",(J339-1)/2,IF(U339="Возврат",0,IF(U339="Полупроигрыш",-0.5,IF(U339="Поражение",-1,"Проверить результат")))))))</x:f>
      </x:c>
      <x:c r="W339" s="80" t="str">
        <x:f>IF(A339="","",IF(U339="","Открыт",IF(ISNUMBER(V339),"Рассчитан","Проверить результат")))</x:f>
      </x:c>
      <x:c r="X339" s="98"/>
      <x:c r="Y339" s="5"/>
      <x:c r="Z339" s="5"/>
      <x:c r="AA339" s="5"/>
      <x:c r="AB339" s="118"/>
      <x:c r="AC339" s="119"/>
      <x:c r="AD339" s="119"/>
      <x:c r="AE339" s="5" t="str">
        <x:f>IF(A339="","",IF(Z339="","Нет ID пары",IF(AND(COUNTIFS($Z$59:$Z$505,Z339,$Y$59:$Y$505,"Оптимальный",$W$59:$W$505,"Рассчитан")=1,COUNTIFS($Z$59:$Z$505,Z339,$Y$59:$Y$505,"Агрессивный",$W$59:$W$505,"Рассчитан")=1),"Да","Нет")))</x:f>
      </x:c>
      <x:c r="AF339" s="5"/>
      <x:c r="AG339" s="5"/>
    </x:row>
    <x:row r="340">
      <x:c r="A340" s="80"/>
      <x:c r="B340" s="80"/>
      <x:c r="C340" s="83"/>
      <x:c r="D340" s="80"/>
      <x:c r="E340" s="80"/>
      <x:c r="F340" s="86"/>
      <x:c r="G340" s="80"/>
      <x:c r="H340" s="95"/>
      <x:c r="I340" s="95"/>
      <x:c r="J340" s="96"/>
      <x:c r="K340" s="97"/>
      <x:c r="L340" s="98"/>
      <x:c r="M340" s="98"/>
      <x:c r="N340" s="98"/>
      <x:c r="O340" s="98"/>
      <x:c r="P340" s="98"/>
      <x:c r="Q340" s="80"/>
      <x:c r="R340" s="80"/>
      <x:c r="S340" s="80"/>
      <x:c r="T340" s="80"/>
      <x:c r="U340" s="80"/>
      <x:c r="V340" s="89" t="str">
        <x:f>IF(A340="","",IF(U340="","",IF(U340="Выигрыш",J340-1,IF(U340="Полувыигрыш",(J340-1)/2,IF(U340="Возврат",0,IF(U340="Полупроигрыш",-0.5,IF(U340="Поражение",-1,"Проверить результат")))))))</x:f>
      </x:c>
      <x:c r="W340" s="80" t="str">
        <x:f>IF(A340="","",IF(U340="","Открыт",IF(ISNUMBER(V340),"Рассчитан","Проверить результат")))</x:f>
      </x:c>
      <x:c r="X340" s="98"/>
      <x:c r="Y340" s="5"/>
      <x:c r="Z340" s="5"/>
      <x:c r="AA340" s="5"/>
      <x:c r="AB340" s="118"/>
      <x:c r="AC340" s="119"/>
      <x:c r="AD340" s="119"/>
      <x:c r="AE340" s="5" t="str">
        <x:f>IF(A340="","",IF(Z340="","Нет ID пары",IF(AND(COUNTIFS($Z$59:$Z$505,Z340,$Y$59:$Y$505,"Оптимальный",$W$59:$W$505,"Рассчитан")=1,COUNTIFS($Z$59:$Z$505,Z340,$Y$59:$Y$505,"Агрессивный",$W$59:$W$505,"Рассчитан")=1),"Да","Нет")))</x:f>
      </x:c>
      <x:c r="AF340" s="5"/>
      <x:c r="AG340" s="5"/>
    </x:row>
    <x:row r="341">
      <x:c r="A341" s="80"/>
      <x:c r="B341" s="80"/>
      <x:c r="C341" s="83"/>
      <x:c r="D341" s="80"/>
      <x:c r="E341" s="80"/>
      <x:c r="F341" s="86"/>
      <x:c r="G341" s="80"/>
      <x:c r="H341" s="95"/>
      <x:c r="I341" s="95"/>
      <x:c r="J341" s="96"/>
      <x:c r="K341" s="97"/>
      <x:c r="L341" s="98"/>
      <x:c r="M341" s="98"/>
      <x:c r="N341" s="98"/>
      <x:c r="O341" s="98"/>
      <x:c r="P341" s="98"/>
      <x:c r="Q341" s="80"/>
      <x:c r="R341" s="80"/>
      <x:c r="S341" s="80"/>
      <x:c r="T341" s="80"/>
      <x:c r="U341" s="80"/>
      <x:c r="V341" s="89" t="str">
        <x:f>IF(A341="","",IF(U341="","",IF(U341="Выигрыш",J341-1,IF(U341="Полувыигрыш",(J341-1)/2,IF(U341="Возврат",0,IF(U341="Полупроигрыш",-0.5,IF(U341="Поражение",-1,"Проверить результат")))))))</x:f>
      </x:c>
      <x:c r="W341" s="80" t="str">
        <x:f>IF(A341="","",IF(U341="","Открыт",IF(ISNUMBER(V341),"Рассчитан","Проверить результат")))</x:f>
      </x:c>
      <x:c r="X341" s="98"/>
      <x:c r="Y341" s="5"/>
      <x:c r="Z341" s="5"/>
      <x:c r="AA341" s="5"/>
      <x:c r="AB341" s="118"/>
      <x:c r="AC341" s="119"/>
      <x:c r="AD341" s="119"/>
      <x:c r="AE341" s="5" t="str">
        <x:f>IF(A341="","",IF(Z341="","Нет ID пары",IF(AND(COUNTIFS($Z$59:$Z$505,Z341,$Y$59:$Y$505,"Оптимальный",$W$59:$W$505,"Рассчитан")=1,COUNTIFS($Z$59:$Z$505,Z341,$Y$59:$Y$505,"Агрессивный",$W$59:$W$505,"Рассчитан")=1),"Да","Нет")))</x:f>
      </x:c>
      <x:c r="AF341" s="5"/>
      <x:c r="AG341" s="5"/>
    </x:row>
    <x:row r="342">
      <x:c r="A342" s="80"/>
      <x:c r="B342" s="80"/>
      <x:c r="C342" s="83"/>
      <x:c r="D342" s="80"/>
      <x:c r="E342" s="80"/>
      <x:c r="F342" s="86"/>
      <x:c r="G342" s="80"/>
      <x:c r="H342" s="95"/>
      <x:c r="I342" s="95"/>
      <x:c r="J342" s="96"/>
      <x:c r="K342" s="97"/>
      <x:c r="L342" s="98"/>
      <x:c r="M342" s="98"/>
      <x:c r="N342" s="98"/>
      <x:c r="O342" s="98"/>
      <x:c r="P342" s="98"/>
      <x:c r="Q342" s="80"/>
      <x:c r="R342" s="80"/>
      <x:c r="S342" s="80"/>
      <x:c r="T342" s="80"/>
      <x:c r="U342" s="80"/>
      <x:c r="V342" s="89" t="str">
        <x:f>IF(A342="","",IF(U342="","",IF(U342="Выигрыш",J342-1,IF(U342="Полувыигрыш",(J342-1)/2,IF(U342="Возврат",0,IF(U342="Полупроигрыш",-0.5,IF(U342="Поражение",-1,"Проверить результат")))))))</x:f>
      </x:c>
      <x:c r="W342" s="80" t="str">
        <x:f>IF(A342="","",IF(U342="","Открыт",IF(ISNUMBER(V342),"Рассчитан","Проверить результат")))</x:f>
      </x:c>
      <x:c r="X342" s="98"/>
      <x:c r="Y342" s="5"/>
      <x:c r="Z342" s="5"/>
      <x:c r="AA342" s="5"/>
      <x:c r="AB342" s="118"/>
      <x:c r="AC342" s="119"/>
      <x:c r="AD342" s="119"/>
      <x:c r="AE342" s="5" t="str">
        <x:f>IF(A342="","",IF(Z342="","Нет ID пары",IF(AND(COUNTIFS($Z$59:$Z$505,Z342,$Y$59:$Y$505,"Оптимальный",$W$59:$W$505,"Рассчитан")=1,COUNTIFS($Z$59:$Z$505,Z342,$Y$59:$Y$505,"Агрессивный",$W$59:$W$505,"Рассчитан")=1),"Да","Нет")))</x:f>
      </x:c>
      <x:c r="AF342" s="5"/>
      <x:c r="AG342" s="5"/>
    </x:row>
    <x:row r="343">
      <x:c r="A343" s="80"/>
      <x:c r="B343" s="80"/>
      <x:c r="C343" s="83"/>
      <x:c r="D343" s="80"/>
      <x:c r="E343" s="80"/>
      <x:c r="F343" s="86"/>
      <x:c r="G343" s="80"/>
      <x:c r="H343" s="95"/>
      <x:c r="I343" s="95"/>
      <x:c r="J343" s="96"/>
      <x:c r="K343" s="97"/>
      <x:c r="L343" s="98"/>
      <x:c r="M343" s="98"/>
      <x:c r="N343" s="98"/>
      <x:c r="O343" s="98"/>
      <x:c r="P343" s="98"/>
      <x:c r="Q343" s="80"/>
      <x:c r="R343" s="80"/>
      <x:c r="S343" s="80"/>
      <x:c r="T343" s="80"/>
      <x:c r="U343" s="80"/>
      <x:c r="V343" s="89" t="str">
        <x:f>IF(A343="","",IF(U343="","",IF(U343="Выигрыш",J343-1,IF(U343="Полувыигрыш",(J343-1)/2,IF(U343="Возврат",0,IF(U343="Полупроигрыш",-0.5,IF(U343="Поражение",-1,"Проверить результат")))))))</x:f>
      </x:c>
      <x:c r="W343" s="80" t="str">
        <x:f>IF(A343="","",IF(U343="","Открыт",IF(ISNUMBER(V343),"Рассчитан","Проверить результат")))</x:f>
      </x:c>
      <x:c r="X343" s="98"/>
      <x:c r="Y343" s="5"/>
      <x:c r="Z343" s="5"/>
      <x:c r="AA343" s="5"/>
      <x:c r="AB343" s="118"/>
      <x:c r="AC343" s="119"/>
      <x:c r="AD343" s="119"/>
      <x:c r="AE343" s="5" t="str">
        <x:f>IF(A343="","",IF(Z343="","Нет ID пары",IF(AND(COUNTIFS($Z$59:$Z$505,Z343,$Y$59:$Y$505,"Оптимальный",$W$59:$W$505,"Рассчитан")=1,COUNTIFS($Z$59:$Z$505,Z343,$Y$59:$Y$505,"Агрессивный",$W$59:$W$505,"Рассчитан")=1),"Да","Нет")))</x:f>
      </x:c>
      <x:c r="AF343" s="5"/>
      <x:c r="AG343" s="5"/>
    </x:row>
    <x:row r="344">
      <x:c r="A344" s="80"/>
      <x:c r="B344" s="80"/>
      <x:c r="C344" s="83"/>
      <x:c r="D344" s="80"/>
      <x:c r="E344" s="80"/>
      <x:c r="F344" s="86"/>
      <x:c r="G344" s="80"/>
      <x:c r="H344" s="95"/>
      <x:c r="I344" s="95"/>
      <x:c r="J344" s="96"/>
      <x:c r="K344" s="97"/>
      <x:c r="L344" s="98"/>
      <x:c r="M344" s="98"/>
      <x:c r="N344" s="98"/>
      <x:c r="O344" s="98"/>
      <x:c r="P344" s="98"/>
      <x:c r="Q344" s="80"/>
      <x:c r="R344" s="80"/>
      <x:c r="S344" s="80"/>
      <x:c r="T344" s="80"/>
      <x:c r="U344" s="80"/>
      <x:c r="V344" s="89" t="str">
        <x:f>IF(A344="","",IF(U344="","",IF(U344="Выигрыш",J344-1,IF(U344="Полувыигрыш",(J344-1)/2,IF(U344="Возврат",0,IF(U344="Полупроигрыш",-0.5,IF(U344="Поражение",-1,"Проверить результат")))))))</x:f>
      </x:c>
      <x:c r="W344" s="80" t="str">
        <x:f>IF(A344="","",IF(U344="","Открыт",IF(ISNUMBER(V344),"Рассчитан","Проверить результат")))</x:f>
      </x:c>
      <x:c r="X344" s="98"/>
      <x:c r="Y344" s="5"/>
      <x:c r="Z344" s="5"/>
      <x:c r="AA344" s="5"/>
      <x:c r="AB344" s="118"/>
      <x:c r="AC344" s="119"/>
      <x:c r="AD344" s="119"/>
      <x:c r="AE344" s="5" t="str">
        <x:f>IF(A344="","",IF(Z344="","Нет ID пары",IF(AND(COUNTIFS($Z$59:$Z$505,Z344,$Y$59:$Y$505,"Оптимальный",$W$59:$W$505,"Рассчитан")=1,COUNTIFS($Z$59:$Z$505,Z344,$Y$59:$Y$505,"Агрессивный",$W$59:$W$505,"Рассчитан")=1),"Да","Нет")))</x:f>
      </x:c>
      <x:c r="AF344" s="5"/>
      <x:c r="AG344" s="5"/>
    </x:row>
    <x:row r="345">
      <x:c r="A345" s="80"/>
      <x:c r="B345" s="80"/>
      <x:c r="C345" s="83"/>
      <x:c r="D345" s="80"/>
      <x:c r="E345" s="80"/>
      <x:c r="F345" s="86"/>
      <x:c r="G345" s="80"/>
      <x:c r="H345" s="95"/>
      <x:c r="I345" s="95"/>
      <x:c r="J345" s="96"/>
      <x:c r="K345" s="97"/>
      <x:c r="L345" s="98"/>
      <x:c r="M345" s="98"/>
      <x:c r="N345" s="98"/>
      <x:c r="O345" s="98"/>
      <x:c r="P345" s="98"/>
      <x:c r="Q345" s="80"/>
      <x:c r="R345" s="80"/>
      <x:c r="S345" s="80"/>
      <x:c r="T345" s="80"/>
      <x:c r="U345" s="80"/>
      <x:c r="V345" s="89" t="str">
        <x:f>IF(A345="","",IF(U345="","",IF(U345="Выигрыш",J345-1,IF(U345="Полувыигрыш",(J345-1)/2,IF(U345="Возврат",0,IF(U345="Полупроигрыш",-0.5,IF(U345="Поражение",-1,"Проверить результат")))))))</x:f>
      </x:c>
      <x:c r="W345" s="80" t="str">
        <x:f>IF(A345="","",IF(U345="","Открыт",IF(ISNUMBER(V345),"Рассчитан","Проверить результат")))</x:f>
      </x:c>
      <x:c r="X345" s="98"/>
      <x:c r="Y345" s="5"/>
      <x:c r="Z345" s="5"/>
      <x:c r="AA345" s="5"/>
      <x:c r="AB345" s="118"/>
      <x:c r="AC345" s="119"/>
      <x:c r="AD345" s="119"/>
      <x:c r="AE345" s="5" t="str">
        <x:f>IF(A345="","",IF(Z345="","Нет ID пары",IF(AND(COUNTIFS($Z$59:$Z$505,Z345,$Y$59:$Y$505,"Оптимальный",$W$59:$W$505,"Рассчитан")=1,COUNTIFS($Z$59:$Z$505,Z345,$Y$59:$Y$505,"Агрессивный",$W$59:$W$505,"Рассчитан")=1),"Да","Нет")))</x:f>
      </x:c>
      <x:c r="AF345" s="5"/>
      <x:c r="AG345" s="5"/>
    </x:row>
    <x:row r="346">
      <x:c r="A346" s="80"/>
      <x:c r="B346" s="80"/>
      <x:c r="C346" s="83"/>
      <x:c r="D346" s="80"/>
      <x:c r="E346" s="80"/>
      <x:c r="F346" s="86"/>
      <x:c r="G346" s="80"/>
      <x:c r="H346" s="95"/>
      <x:c r="I346" s="95"/>
      <x:c r="J346" s="96"/>
      <x:c r="K346" s="97"/>
      <x:c r="L346" s="98"/>
      <x:c r="M346" s="98"/>
      <x:c r="N346" s="98"/>
      <x:c r="O346" s="98"/>
      <x:c r="P346" s="98"/>
      <x:c r="Q346" s="80"/>
      <x:c r="R346" s="80"/>
      <x:c r="S346" s="80"/>
      <x:c r="T346" s="80"/>
      <x:c r="U346" s="80"/>
      <x:c r="V346" s="89" t="str">
        <x:f>IF(A346="","",IF(U346="","",IF(U346="Выигрыш",J346-1,IF(U346="Полувыигрыш",(J346-1)/2,IF(U346="Возврат",0,IF(U346="Полупроигрыш",-0.5,IF(U346="Поражение",-1,"Проверить результат")))))))</x:f>
      </x:c>
      <x:c r="W346" s="80" t="str">
        <x:f>IF(A346="","",IF(U346="","Открыт",IF(ISNUMBER(V346),"Рассчитан","Проверить результат")))</x:f>
      </x:c>
      <x:c r="X346" s="98"/>
      <x:c r="Y346" s="5"/>
      <x:c r="Z346" s="5"/>
      <x:c r="AA346" s="5"/>
      <x:c r="AB346" s="118"/>
      <x:c r="AC346" s="119"/>
      <x:c r="AD346" s="119"/>
      <x:c r="AE346" s="5" t="str">
        <x:f>IF(A346="","",IF(Z346="","Нет ID пары",IF(AND(COUNTIFS($Z$59:$Z$505,Z346,$Y$59:$Y$505,"Оптимальный",$W$59:$W$505,"Рассчитан")=1,COUNTIFS($Z$59:$Z$505,Z346,$Y$59:$Y$505,"Агрессивный",$W$59:$W$505,"Рассчитан")=1),"Да","Нет")))</x:f>
      </x:c>
      <x:c r="AF346" s="5"/>
      <x:c r="AG346" s="5"/>
    </x:row>
    <x:row r="347">
      <x:c r="A347" s="80"/>
      <x:c r="B347" s="80"/>
      <x:c r="C347" s="83"/>
      <x:c r="D347" s="80"/>
      <x:c r="E347" s="80"/>
      <x:c r="F347" s="86"/>
      <x:c r="G347" s="80"/>
      <x:c r="H347" s="95"/>
      <x:c r="I347" s="95"/>
      <x:c r="J347" s="96"/>
      <x:c r="K347" s="97"/>
      <x:c r="L347" s="98"/>
      <x:c r="M347" s="98"/>
      <x:c r="N347" s="98"/>
      <x:c r="O347" s="98"/>
      <x:c r="P347" s="98"/>
      <x:c r="Q347" s="80"/>
      <x:c r="R347" s="80"/>
      <x:c r="S347" s="80"/>
      <x:c r="T347" s="80"/>
      <x:c r="U347" s="80"/>
      <x:c r="V347" s="89" t="str">
        <x:f>IF(A347="","",IF(U347="","",IF(U347="Выигрыш",J347-1,IF(U347="Полувыигрыш",(J347-1)/2,IF(U347="Возврат",0,IF(U347="Полупроигрыш",-0.5,IF(U347="Поражение",-1,"Проверить результат")))))))</x:f>
      </x:c>
      <x:c r="W347" s="80" t="str">
        <x:f>IF(A347="","",IF(U347="","Открыт",IF(ISNUMBER(V347),"Рассчитан","Проверить результат")))</x:f>
      </x:c>
      <x:c r="X347" s="98"/>
      <x:c r="Y347" s="5"/>
      <x:c r="Z347" s="5"/>
      <x:c r="AA347" s="5"/>
      <x:c r="AB347" s="118"/>
      <x:c r="AC347" s="119"/>
      <x:c r="AD347" s="119"/>
      <x:c r="AE347" s="5" t="str">
        <x:f>IF(A347="","",IF(Z347="","Нет ID пары",IF(AND(COUNTIFS($Z$59:$Z$505,Z347,$Y$59:$Y$505,"Оптимальный",$W$59:$W$505,"Рассчитан")=1,COUNTIFS($Z$59:$Z$505,Z347,$Y$59:$Y$505,"Агрессивный",$W$59:$W$505,"Рассчитан")=1),"Да","Нет")))</x:f>
      </x:c>
      <x:c r="AF347" s="5"/>
      <x:c r="AG347" s="5"/>
    </x:row>
    <x:row r="348">
      <x:c r="A348" s="80"/>
      <x:c r="B348" s="80"/>
      <x:c r="C348" s="83"/>
      <x:c r="D348" s="80"/>
      <x:c r="E348" s="80"/>
      <x:c r="F348" s="86"/>
      <x:c r="G348" s="80"/>
      <x:c r="H348" s="95"/>
      <x:c r="I348" s="95"/>
      <x:c r="J348" s="96"/>
      <x:c r="K348" s="97"/>
      <x:c r="L348" s="98"/>
      <x:c r="M348" s="98"/>
      <x:c r="N348" s="98"/>
      <x:c r="O348" s="98"/>
      <x:c r="P348" s="98"/>
      <x:c r="Q348" s="80"/>
      <x:c r="R348" s="80"/>
      <x:c r="S348" s="80"/>
      <x:c r="T348" s="80"/>
      <x:c r="U348" s="80"/>
      <x:c r="V348" s="89" t="str">
        <x:f>IF(A348="","",IF(U348="","",IF(U348="Выигрыш",J348-1,IF(U348="Полувыигрыш",(J348-1)/2,IF(U348="Возврат",0,IF(U348="Полупроигрыш",-0.5,IF(U348="Поражение",-1,"Проверить результат")))))))</x:f>
      </x:c>
      <x:c r="W348" s="80" t="str">
        <x:f>IF(A348="","",IF(U348="","Открыт",IF(ISNUMBER(V348),"Рассчитан","Проверить результат")))</x:f>
      </x:c>
      <x:c r="X348" s="98"/>
      <x:c r="Y348" s="5"/>
      <x:c r="Z348" s="5"/>
      <x:c r="AA348" s="5"/>
      <x:c r="AB348" s="118"/>
      <x:c r="AC348" s="119"/>
      <x:c r="AD348" s="119"/>
      <x:c r="AE348" s="5" t="str">
        <x:f>IF(A348="","",IF(Z348="","Нет ID пары",IF(AND(COUNTIFS($Z$59:$Z$505,Z348,$Y$59:$Y$505,"Оптимальный",$W$59:$W$505,"Рассчитан")=1,COUNTIFS($Z$59:$Z$505,Z348,$Y$59:$Y$505,"Агрессивный",$W$59:$W$505,"Рассчитан")=1),"Да","Нет")))</x:f>
      </x:c>
      <x:c r="AF348" s="5"/>
      <x:c r="AG348" s="5"/>
    </x:row>
    <x:row r="349">
      <x:c r="A349" s="80"/>
      <x:c r="B349" s="80"/>
      <x:c r="C349" s="83"/>
      <x:c r="D349" s="80"/>
      <x:c r="E349" s="80"/>
      <x:c r="F349" s="86"/>
      <x:c r="G349" s="80"/>
      <x:c r="H349" s="95"/>
      <x:c r="I349" s="95"/>
      <x:c r="J349" s="96"/>
      <x:c r="K349" s="97"/>
      <x:c r="L349" s="98"/>
      <x:c r="M349" s="98"/>
      <x:c r="N349" s="98"/>
      <x:c r="O349" s="98"/>
      <x:c r="P349" s="98"/>
      <x:c r="Q349" s="80"/>
      <x:c r="R349" s="80"/>
      <x:c r="S349" s="80"/>
      <x:c r="T349" s="80"/>
      <x:c r="U349" s="80"/>
      <x:c r="V349" s="89" t="str">
        <x:f>IF(A349="","",IF(U349="","",IF(U349="Выигрыш",J349-1,IF(U349="Полувыигрыш",(J349-1)/2,IF(U349="Возврат",0,IF(U349="Полупроигрыш",-0.5,IF(U349="Поражение",-1,"Проверить результат")))))))</x:f>
      </x:c>
      <x:c r="W349" s="80" t="str">
        <x:f>IF(A349="","",IF(U349="","Открыт",IF(ISNUMBER(V349),"Рассчитан","Проверить результат")))</x:f>
      </x:c>
      <x:c r="X349" s="98"/>
      <x:c r="Y349" s="5"/>
      <x:c r="Z349" s="5"/>
      <x:c r="AA349" s="5"/>
      <x:c r="AB349" s="118"/>
      <x:c r="AC349" s="119"/>
      <x:c r="AD349" s="119"/>
      <x:c r="AE349" s="5" t="str">
        <x:f>IF(A349="","",IF(Z349="","Нет ID пары",IF(AND(COUNTIFS($Z$59:$Z$505,Z349,$Y$59:$Y$505,"Оптимальный",$W$59:$W$505,"Рассчитан")=1,COUNTIFS($Z$59:$Z$505,Z349,$Y$59:$Y$505,"Агрессивный",$W$59:$W$505,"Рассчитан")=1),"Да","Нет")))</x:f>
      </x:c>
      <x:c r="AF349" s="5"/>
      <x:c r="AG349" s="5"/>
    </x:row>
    <x:row r="350">
      <x:c r="A350" s="80"/>
      <x:c r="B350" s="80"/>
      <x:c r="C350" s="83"/>
      <x:c r="D350" s="80"/>
      <x:c r="E350" s="80"/>
      <x:c r="F350" s="86"/>
      <x:c r="G350" s="80"/>
      <x:c r="H350" s="95"/>
      <x:c r="I350" s="95"/>
      <x:c r="J350" s="96"/>
      <x:c r="K350" s="97"/>
      <x:c r="L350" s="98"/>
      <x:c r="M350" s="98"/>
      <x:c r="N350" s="98"/>
      <x:c r="O350" s="98"/>
      <x:c r="P350" s="98"/>
      <x:c r="Q350" s="80"/>
      <x:c r="R350" s="80"/>
      <x:c r="S350" s="80"/>
      <x:c r="T350" s="80"/>
      <x:c r="U350" s="80"/>
      <x:c r="V350" s="89" t="str">
        <x:f>IF(A350="","",IF(U350="","",IF(U350="Выигрыш",J350-1,IF(U350="Полувыигрыш",(J350-1)/2,IF(U350="Возврат",0,IF(U350="Полупроигрыш",-0.5,IF(U350="Поражение",-1,"Проверить результат")))))))</x:f>
      </x:c>
      <x:c r="W350" s="80" t="str">
        <x:f>IF(A350="","",IF(U350="","Открыт",IF(ISNUMBER(V350),"Рассчитан","Проверить результат")))</x:f>
      </x:c>
      <x:c r="X350" s="98"/>
      <x:c r="Y350" s="5"/>
      <x:c r="Z350" s="5"/>
      <x:c r="AA350" s="5"/>
      <x:c r="AB350" s="118"/>
      <x:c r="AC350" s="119"/>
      <x:c r="AD350" s="119"/>
      <x:c r="AE350" s="5" t="str">
        <x:f>IF(A350="","",IF(Z350="","Нет ID пары",IF(AND(COUNTIFS($Z$59:$Z$505,Z350,$Y$59:$Y$505,"Оптимальный",$W$59:$W$505,"Рассчитан")=1,COUNTIFS($Z$59:$Z$505,Z350,$Y$59:$Y$505,"Агрессивный",$W$59:$W$505,"Рассчитан")=1),"Да","Нет")))</x:f>
      </x:c>
      <x:c r="AF350" s="5"/>
      <x:c r="AG350" s="5"/>
    </x:row>
    <x:row r="351">
      <x:c r="A351" s="80"/>
      <x:c r="B351" s="80"/>
      <x:c r="C351" s="83"/>
      <x:c r="D351" s="80"/>
      <x:c r="E351" s="80"/>
      <x:c r="F351" s="86"/>
      <x:c r="G351" s="80"/>
      <x:c r="H351" s="95"/>
      <x:c r="I351" s="95"/>
      <x:c r="J351" s="96"/>
      <x:c r="K351" s="97"/>
      <x:c r="L351" s="98"/>
      <x:c r="M351" s="98"/>
      <x:c r="N351" s="98"/>
      <x:c r="O351" s="98"/>
      <x:c r="P351" s="98"/>
      <x:c r="Q351" s="80"/>
      <x:c r="R351" s="80"/>
      <x:c r="S351" s="80"/>
      <x:c r="T351" s="80"/>
      <x:c r="U351" s="80"/>
      <x:c r="V351" s="89" t="str">
        <x:f>IF(A351="","",IF(U351="","",IF(U351="Выигрыш",J351-1,IF(U351="Полувыигрыш",(J351-1)/2,IF(U351="Возврат",0,IF(U351="Полупроигрыш",-0.5,IF(U351="Поражение",-1,"Проверить результат")))))))</x:f>
      </x:c>
      <x:c r="W351" s="80" t="str">
        <x:f>IF(A351="","",IF(U351="","Открыт",IF(ISNUMBER(V351),"Рассчитан","Проверить результат")))</x:f>
      </x:c>
      <x:c r="X351" s="98"/>
      <x:c r="Y351" s="5"/>
      <x:c r="Z351" s="5"/>
      <x:c r="AA351" s="5"/>
      <x:c r="AB351" s="118"/>
      <x:c r="AC351" s="119"/>
      <x:c r="AD351" s="119"/>
      <x:c r="AE351" s="5" t="str">
        <x:f>IF(A351="","",IF(Z351="","Нет ID пары",IF(AND(COUNTIFS($Z$59:$Z$505,Z351,$Y$59:$Y$505,"Оптимальный",$W$59:$W$505,"Рассчитан")=1,COUNTIFS($Z$59:$Z$505,Z351,$Y$59:$Y$505,"Агрессивный",$W$59:$W$505,"Рассчитан")=1),"Да","Нет")))</x:f>
      </x:c>
      <x:c r="AF351" s="5"/>
      <x:c r="AG351" s="5"/>
    </x:row>
    <x:row r="352">
      <x:c r="A352" s="80"/>
      <x:c r="B352" s="80"/>
      <x:c r="C352" s="83"/>
      <x:c r="D352" s="80"/>
      <x:c r="E352" s="80"/>
      <x:c r="F352" s="86"/>
      <x:c r="G352" s="80"/>
      <x:c r="H352" s="95"/>
      <x:c r="I352" s="95"/>
      <x:c r="J352" s="96"/>
      <x:c r="K352" s="97"/>
      <x:c r="L352" s="98"/>
      <x:c r="M352" s="98"/>
      <x:c r="N352" s="98"/>
      <x:c r="O352" s="98"/>
      <x:c r="P352" s="98"/>
      <x:c r="Q352" s="80"/>
      <x:c r="R352" s="80"/>
      <x:c r="S352" s="80"/>
      <x:c r="T352" s="80"/>
      <x:c r="U352" s="80"/>
      <x:c r="V352" s="89" t="str">
        <x:f>IF(A352="","",IF(U352="","",IF(U352="Выигрыш",J352-1,IF(U352="Полувыигрыш",(J352-1)/2,IF(U352="Возврат",0,IF(U352="Полупроигрыш",-0.5,IF(U352="Поражение",-1,"Проверить результат")))))))</x:f>
      </x:c>
      <x:c r="W352" s="80" t="str">
        <x:f>IF(A352="","",IF(U352="","Открыт",IF(ISNUMBER(V352),"Рассчитан","Проверить результат")))</x:f>
      </x:c>
      <x:c r="X352" s="98"/>
      <x:c r="Y352" s="5"/>
      <x:c r="Z352" s="5"/>
      <x:c r="AA352" s="5"/>
      <x:c r="AB352" s="118"/>
      <x:c r="AC352" s="119"/>
      <x:c r="AD352" s="119"/>
      <x:c r="AE352" s="5" t="str">
        <x:f>IF(A352="","",IF(Z352="","Нет ID пары",IF(AND(COUNTIFS($Z$59:$Z$505,Z352,$Y$59:$Y$505,"Оптимальный",$W$59:$W$505,"Рассчитан")=1,COUNTIFS($Z$59:$Z$505,Z352,$Y$59:$Y$505,"Агрессивный",$W$59:$W$505,"Рассчитан")=1),"Да","Нет")))</x:f>
      </x:c>
      <x:c r="AF352" s="5"/>
      <x:c r="AG352" s="5"/>
    </x:row>
    <x:row r="353">
      <x:c r="A353" s="80"/>
      <x:c r="B353" s="80"/>
      <x:c r="C353" s="83"/>
      <x:c r="D353" s="80"/>
      <x:c r="E353" s="80"/>
      <x:c r="F353" s="86"/>
      <x:c r="G353" s="80"/>
      <x:c r="H353" s="95"/>
      <x:c r="I353" s="95"/>
      <x:c r="J353" s="96"/>
      <x:c r="K353" s="97"/>
      <x:c r="L353" s="98"/>
      <x:c r="M353" s="98"/>
      <x:c r="N353" s="98"/>
      <x:c r="O353" s="98"/>
      <x:c r="P353" s="98"/>
      <x:c r="Q353" s="80"/>
      <x:c r="R353" s="80"/>
      <x:c r="S353" s="80"/>
      <x:c r="T353" s="80"/>
      <x:c r="U353" s="80"/>
      <x:c r="V353" s="89" t="str">
        <x:f>IF(A353="","",IF(U353="","",IF(U353="Выигрыш",J353-1,IF(U353="Полувыигрыш",(J353-1)/2,IF(U353="Возврат",0,IF(U353="Полупроигрыш",-0.5,IF(U353="Поражение",-1,"Проверить результат")))))))</x:f>
      </x:c>
      <x:c r="W353" s="80" t="str">
        <x:f>IF(A353="","",IF(U353="","Открыт",IF(ISNUMBER(V353),"Рассчитан","Проверить результат")))</x:f>
      </x:c>
      <x:c r="X353" s="98"/>
      <x:c r="Y353" s="5"/>
      <x:c r="Z353" s="5"/>
      <x:c r="AA353" s="5"/>
      <x:c r="AB353" s="118"/>
      <x:c r="AC353" s="119"/>
      <x:c r="AD353" s="119"/>
      <x:c r="AE353" s="5" t="str">
        <x:f>IF(A353="","",IF(Z353="","Нет ID пары",IF(AND(COUNTIFS($Z$59:$Z$505,Z353,$Y$59:$Y$505,"Оптимальный",$W$59:$W$505,"Рассчитан")=1,COUNTIFS($Z$59:$Z$505,Z353,$Y$59:$Y$505,"Агрессивный",$W$59:$W$505,"Рассчитан")=1),"Да","Нет")))</x:f>
      </x:c>
      <x:c r="AF353" s="5"/>
      <x:c r="AG353" s="5"/>
    </x:row>
    <x:row r="354">
      <x:c r="A354" s="80"/>
      <x:c r="B354" s="80"/>
      <x:c r="C354" s="83"/>
      <x:c r="D354" s="80"/>
      <x:c r="E354" s="80"/>
      <x:c r="F354" s="86"/>
      <x:c r="G354" s="80"/>
      <x:c r="H354" s="95"/>
      <x:c r="I354" s="95"/>
      <x:c r="J354" s="96"/>
      <x:c r="K354" s="97"/>
      <x:c r="L354" s="98"/>
      <x:c r="M354" s="98"/>
      <x:c r="N354" s="98"/>
      <x:c r="O354" s="98"/>
      <x:c r="P354" s="98"/>
      <x:c r="Q354" s="80"/>
      <x:c r="R354" s="80"/>
      <x:c r="S354" s="80"/>
      <x:c r="T354" s="80"/>
      <x:c r="U354" s="80"/>
      <x:c r="V354" s="89" t="str">
        <x:f>IF(A354="","",IF(U354="","",IF(U354="Выигрыш",J354-1,IF(U354="Полувыигрыш",(J354-1)/2,IF(U354="Возврат",0,IF(U354="Полупроигрыш",-0.5,IF(U354="Поражение",-1,"Проверить результат")))))))</x:f>
      </x:c>
      <x:c r="W354" s="80" t="str">
        <x:f>IF(A354="","",IF(U354="","Открыт",IF(ISNUMBER(V354),"Рассчитан","Проверить результат")))</x:f>
      </x:c>
      <x:c r="X354" s="98"/>
      <x:c r="Y354" s="5"/>
      <x:c r="Z354" s="5"/>
      <x:c r="AA354" s="5"/>
      <x:c r="AB354" s="118"/>
      <x:c r="AC354" s="119"/>
      <x:c r="AD354" s="119"/>
      <x:c r="AE354" s="5" t="str">
        <x:f>IF(A354="","",IF(Z354="","Нет ID пары",IF(AND(COUNTIFS($Z$59:$Z$505,Z354,$Y$59:$Y$505,"Оптимальный",$W$59:$W$505,"Рассчитан")=1,COUNTIFS($Z$59:$Z$505,Z354,$Y$59:$Y$505,"Агрессивный",$W$59:$W$505,"Рассчитан")=1),"Да","Нет")))</x:f>
      </x:c>
      <x:c r="AF354" s="5"/>
      <x:c r="AG354" s="5"/>
    </x:row>
    <x:row r="355">
      <x:c r="A355" s="80"/>
      <x:c r="B355" s="80"/>
      <x:c r="C355" s="83"/>
      <x:c r="D355" s="80"/>
      <x:c r="E355" s="80"/>
      <x:c r="F355" s="86"/>
      <x:c r="G355" s="80"/>
      <x:c r="H355" s="95"/>
      <x:c r="I355" s="95"/>
      <x:c r="J355" s="96"/>
      <x:c r="K355" s="97"/>
      <x:c r="L355" s="98"/>
      <x:c r="M355" s="98"/>
      <x:c r="N355" s="98"/>
      <x:c r="O355" s="98"/>
      <x:c r="P355" s="98"/>
      <x:c r="Q355" s="80"/>
      <x:c r="R355" s="80"/>
      <x:c r="S355" s="80"/>
      <x:c r="T355" s="80"/>
      <x:c r="U355" s="80"/>
      <x:c r="V355" s="89" t="str">
        <x:f>IF(A355="","",IF(U355="","",IF(U355="Выигрыш",J355-1,IF(U355="Полувыигрыш",(J355-1)/2,IF(U355="Возврат",0,IF(U355="Полупроигрыш",-0.5,IF(U355="Поражение",-1,"Проверить результат")))))))</x:f>
      </x:c>
      <x:c r="W355" s="80" t="str">
        <x:f>IF(A355="","",IF(U355="","Открыт",IF(ISNUMBER(V355),"Рассчитан","Проверить результат")))</x:f>
      </x:c>
      <x:c r="X355" s="98"/>
      <x:c r="Y355" s="5"/>
      <x:c r="Z355" s="5"/>
      <x:c r="AA355" s="5"/>
      <x:c r="AB355" s="118"/>
      <x:c r="AC355" s="119"/>
      <x:c r="AD355" s="119"/>
      <x:c r="AE355" s="5" t="str">
        <x:f>IF(A355="","",IF(Z355="","Нет ID пары",IF(AND(COUNTIFS($Z$59:$Z$505,Z355,$Y$59:$Y$505,"Оптимальный",$W$59:$W$505,"Рассчитан")=1,COUNTIFS($Z$59:$Z$505,Z355,$Y$59:$Y$505,"Агрессивный",$W$59:$W$505,"Рассчитан")=1),"Да","Нет")))</x:f>
      </x:c>
      <x:c r="AF355" s="5"/>
      <x:c r="AG355" s="5"/>
    </x:row>
    <x:row r="356">
      <x:c r="A356" s="80"/>
      <x:c r="B356" s="80"/>
      <x:c r="C356" s="83"/>
      <x:c r="D356" s="80"/>
      <x:c r="E356" s="80"/>
      <x:c r="F356" s="86"/>
      <x:c r="G356" s="80"/>
      <x:c r="H356" s="95"/>
      <x:c r="I356" s="95"/>
      <x:c r="J356" s="96"/>
      <x:c r="K356" s="97"/>
      <x:c r="L356" s="98"/>
      <x:c r="M356" s="98"/>
      <x:c r="N356" s="98"/>
      <x:c r="O356" s="98"/>
      <x:c r="P356" s="98"/>
      <x:c r="Q356" s="80"/>
      <x:c r="R356" s="80"/>
      <x:c r="S356" s="80"/>
      <x:c r="T356" s="80"/>
      <x:c r="U356" s="80"/>
      <x:c r="V356" s="89" t="str">
        <x:f>IF(A356="","",IF(U356="","",IF(U356="Выигрыш",J356-1,IF(U356="Полувыигрыш",(J356-1)/2,IF(U356="Возврат",0,IF(U356="Полупроигрыш",-0.5,IF(U356="Поражение",-1,"Проверить результат")))))))</x:f>
      </x:c>
      <x:c r="W356" s="80" t="str">
        <x:f>IF(A356="","",IF(U356="","Открыт",IF(ISNUMBER(V356),"Рассчитан","Проверить результат")))</x:f>
      </x:c>
      <x:c r="X356" s="98"/>
      <x:c r="Y356" s="5"/>
      <x:c r="Z356" s="5"/>
      <x:c r="AA356" s="5"/>
      <x:c r="AB356" s="118"/>
      <x:c r="AC356" s="119"/>
      <x:c r="AD356" s="119"/>
      <x:c r="AE356" s="5" t="str">
        <x:f>IF(A356="","",IF(Z356="","Нет ID пары",IF(AND(COUNTIFS($Z$59:$Z$505,Z356,$Y$59:$Y$505,"Оптимальный",$W$59:$W$505,"Рассчитан")=1,COUNTIFS($Z$59:$Z$505,Z356,$Y$59:$Y$505,"Агрессивный",$W$59:$W$505,"Рассчитан")=1),"Да","Нет")))</x:f>
      </x:c>
      <x:c r="AF356" s="5"/>
      <x:c r="AG356" s="5"/>
    </x:row>
    <x:row r="357">
      <x:c r="A357" s="80"/>
      <x:c r="B357" s="80"/>
      <x:c r="C357" s="83"/>
      <x:c r="D357" s="80"/>
      <x:c r="E357" s="80"/>
      <x:c r="F357" s="86"/>
      <x:c r="G357" s="80"/>
      <x:c r="H357" s="95"/>
      <x:c r="I357" s="95"/>
      <x:c r="J357" s="96"/>
      <x:c r="K357" s="97"/>
      <x:c r="L357" s="98"/>
      <x:c r="M357" s="98"/>
      <x:c r="N357" s="98"/>
      <x:c r="O357" s="98"/>
      <x:c r="P357" s="98"/>
      <x:c r="Q357" s="80"/>
      <x:c r="R357" s="80"/>
      <x:c r="S357" s="80"/>
      <x:c r="T357" s="80"/>
      <x:c r="U357" s="80"/>
      <x:c r="V357" s="89" t="str">
        <x:f>IF(A357="","",IF(U357="","",IF(U357="Выигрыш",J357-1,IF(U357="Полувыигрыш",(J357-1)/2,IF(U357="Возврат",0,IF(U357="Полупроигрыш",-0.5,IF(U357="Поражение",-1,"Проверить результат")))))))</x:f>
      </x:c>
      <x:c r="W357" s="80" t="str">
        <x:f>IF(A357="","",IF(U357="","Открыт",IF(ISNUMBER(V357),"Рассчитан","Проверить результат")))</x:f>
      </x:c>
      <x:c r="X357" s="98"/>
      <x:c r="Y357" s="5"/>
      <x:c r="Z357" s="5"/>
      <x:c r="AA357" s="5"/>
      <x:c r="AB357" s="118"/>
      <x:c r="AC357" s="119"/>
      <x:c r="AD357" s="119"/>
      <x:c r="AE357" s="5" t="str">
        <x:f>IF(A357="","",IF(Z357="","Нет ID пары",IF(AND(COUNTIFS($Z$59:$Z$505,Z357,$Y$59:$Y$505,"Оптимальный",$W$59:$W$505,"Рассчитан")=1,COUNTIFS($Z$59:$Z$505,Z357,$Y$59:$Y$505,"Агрессивный",$W$59:$W$505,"Рассчитан")=1),"Да","Нет")))</x:f>
      </x:c>
      <x:c r="AF357" s="5"/>
      <x:c r="AG357" s="5"/>
    </x:row>
    <x:row r="358">
      <x:c r="A358" s="80"/>
      <x:c r="B358" s="80"/>
      <x:c r="C358" s="83"/>
      <x:c r="D358" s="80"/>
      <x:c r="E358" s="80"/>
      <x:c r="F358" s="86"/>
      <x:c r="G358" s="80"/>
      <x:c r="H358" s="95"/>
      <x:c r="I358" s="95"/>
      <x:c r="J358" s="96"/>
      <x:c r="K358" s="97"/>
      <x:c r="L358" s="98"/>
      <x:c r="M358" s="98"/>
      <x:c r="N358" s="98"/>
      <x:c r="O358" s="98"/>
      <x:c r="P358" s="98"/>
      <x:c r="Q358" s="80"/>
      <x:c r="R358" s="80"/>
      <x:c r="S358" s="80"/>
      <x:c r="T358" s="80"/>
      <x:c r="U358" s="80"/>
      <x:c r="V358" s="89" t="str">
        <x:f>IF(A358="","",IF(U358="","",IF(U358="Выигрыш",J358-1,IF(U358="Полувыигрыш",(J358-1)/2,IF(U358="Возврат",0,IF(U358="Полупроигрыш",-0.5,IF(U358="Поражение",-1,"Проверить результат")))))))</x:f>
      </x:c>
      <x:c r="W358" s="80" t="str">
        <x:f>IF(A358="","",IF(U358="","Открыт",IF(ISNUMBER(V358),"Рассчитан","Проверить результат")))</x:f>
      </x:c>
      <x:c r="X358" s="98"/>
      <x:c r="Y358" s="5"/>
      <x:c r="Z358" s="5"/>
      <x:c r="AA358" s="5"/>
      <x:c r="AB358" s="118"/>
      <x:c r="AC358" s="119"/>
      <x:c r="AD358" s="119"/>
      <x:c r="AE358" s="5" t="str">
        <x:f>IF(A358="","",IF(Z358="","Нет ID пары",IF(AND(COUNTIFS($Z$59:$Z$505,Z358,$Y$59:$Y$505,"Оптимальный",$W$59:$W$505,"Рассчитан")=1,COUNTIFS($Z$59:$Z$505,Z358,$Y$59:$Y$505,"Агрессивный",$W$59:$W$505,"Рассчитан")=1),"Да","Нет")))</x:f>
      </x:c>
      <x:c r="AF358" s="5"/>
      <x:c r="AG358" s="5"/>
    </x:row>
    <x:row r="359">
      <x:c r="A359" s="80"/>
      <x:c r="B359" s="80"/>
      <x:c r="C359" s="83"/>
      <x:c r="D359" s="80"/>
      <x:c r="E359" s="80"/>
      <x:c r="F359" s="86"/>
      <x:c r="G359" s="80"/>
      <x:c r="H359" s="95"/>
      <x:c r="I359" s="95"/>
      <x:c r="J359" s="96"/>
      <x:c r="K359" s="97"/>
      <x:c r="L359" s="98"/>
      <x:c r="M359" s="98"/>
      <x:c r="N359" s="98"/>
      <x:c r="O359" s="98"/>
      <x:c r="P359" s="98"/>
      <x:c r="Q359" s="80"/>
      <x:c r="R359" s="80"/>
      <x:c r="S359" s="80"/>
      <x:c r="T359" s="80"/>
      <x:c r="U359" s="80"/>
      <x:c r="V359" s="89" t="str">
        <x:f>IF(A359="","",IF(U359="","",IF(U359="Выигрыш",J359-1,IF(U359="Полувыигрыш",(J359-1)/2,IF(U359="Возврат",0,IF(U359="Полупроигрыш",-0.5,IF(U359="Поражение",-1,"Проверить результат")))))))</x:f>
      </x:c>
      <x:c r="W359" s="80" t="str">
        <x:f>IF(A359="","",IF(U359="","Открыт",IF(ISNUMBER(V359),"Рассчитан","Проверить результат")))</x:f>
      </x:c>
      <x:c r="X359" s="98"/>
      <x:c r="Y359" s="5"/>
      <x:c r="Z359" s="5"/>
      <x:c r="AA359" s="5"/>
      <x:c r="AB359" s="118"/>
      <x:c r="AC359" s="119"/>
      <x:c r="AD359" s="119"/>
      <x:c r="AE359" s="5" t="str">
        <x:f>IF(A359="","",IF(Z359="","Нет ID пары",IF(AND(COUNTIFS($Z$59:$Z$505,Z359,$Y$59:$Y$505,"Оптимальный",$W$59:$W$505,"Рассчитан")=1,COUNTIFS($Z$59:$Z$505,Z359,$Y$59:$Y$505,"Агрессивный",$W$59:$W$505,"Рассчитан")=1),"Да","Нет")))</x:f>
      </x:c>
      <x:c r="AF359" s="5"/>
      <x:c r="AG359" s="5"/>
    </x:row>
    <x:row r="360">
      <x:c r="A360" s="80"/>
      <x:c r="B360" s="80"/>
      <x:c r="C360" s="83"/>
      <x:c r="D360" s="80"/>
      <x:c r="E360" s="80"/>
      <x:c r="F360" s="86"/>
      <x:c r="G360" s="80"/>
      <x:c r="H360" s="95"/>
      <x:c r="I360" s="95"/>
      <x:c r="J360" s="96"/>
      <x:c r="K360" s="97"/>
      <x:c r="L360" s="98"/>
      <x:c r="M360" s="98"/>
      <x:c r="N360" s="98"/>
      <x:c r="O360" s="98"/>
      <x:c r="P360" s="98"/>
      <x:c r="Q360" s="80"/>
      <x:c r="R360" s="80"/>
      <x:c r="S360" s="80"/>
      <x:c r="T360" s="80"/>
      <x:c r="U360" s="80"/>
      <x:c r="V360" s="89" t="str">
        <x:f>IF(A360="","",IF(U360="","",IF(U360="Выигрыш",J360-1,IF(U360="Полувыигрыш",(J360-1)/2,IF(U360="Возврат",0,IF(U360="Полупроигрыш",-0.5,IF(U360="Поражение",-1,"Проверить результат")))))))</x:f>
      </x:c>
      <x:c r="W360" s="80" t="str">
        <x:f>IF(A360="","",IF(U360="","Открыт",IF(ISNUMBER(V360),"Рассчитан","Проверить результат")))</x:f>
      </x:c>
      <x:c r="X360" s="98"/>
      <x:c r="Y360" s="5"/>
      <x:c r="Z360" s="5"/>
      <x:c r="AA360" s="5"/>
      <x:c r="AB360" s="118"/>
      <x:c r="AC360" s="119"/>
      <x:c r="AD360" s="119"/>
      <x:c r="AE360" s="5" t="str">
        <x:f>IF(A360="","",IF(Z360="","Нет ID пары",IF(AND(COUNTIFS($Z$59:$Z$505,Z360,$Y$59:$Y$505,"Оптимальный",$W$59:$W$505,"Рассчитан")=1,COUNTIFS($Z$59:$Z$505,Z360,$Y$59:$Y$505,"Агрессивный",$W$59:$W$505,"Рассчитан")=1),"Да","Нет")))</x:f>
      </x:c>
      <x:c r="AF360" s="5"/>
      <x:c r="AG360" s="5"/>
    </x:row>
    <x:row r="361">
      <x:c r="A361" s="80"/>
      <x:c r="B361" s="80"/>
      <x:c r="C361" s="83"/>
      <x:c r="D361" s="80"/>
      <x:c r="E361" s="80"/>
      <x:c r="F361" s="86"/>
      <x:c r="G361" s="80"/>
      <x:c r="H361" s="95"/>
      <x:c r="I361" s="95"/>
      <x:c r="J361" s="96"/>
      <x:c r="K361" s="97"/>
      <x:c r="L361" s="98"/>
      <x:c r="M361" s="98"/>
      <x:c r="N361" s="98"/>
      <x:c r="O361" s="98"/>
      <x:c r="P361" s="98"/>
      <x:c r="Q361" s="80"/>
      <x:c r="R361" s="80"/>
      <x:c r="S361" s="80"/>
      <x:c r="T361" s="80"/>
      <x:c r="U361" s="80"/>
      <x:c r="V361" s="89" t="str">
        <x:f>IF(A361="","",IF(U361="","",IF(U361="Выигрыш",J361-1,IF(U361="Полувыигрыш",(J361-1)/2,IF(U361="Возврат",0,IF(U361="Полупроигрыш",-0.5,IF(U361="Поражение",-1,"Проверить результат")))))))</x:f>
      </x:c>
      <x:c r="W361" s="80" t="str">
        <x:f>IF(A361="","",IF(U361="","Открыт",IF(ISNUMBER(V361),"Рассчитан","Проверить результат")))</x:f>
      </x:c>
      <x:c r="X361" s="98"/>
      <x:c r="Y361" s="5"/>
      <x:c r="Z361" s="5"/>
      <x:c r="AA361" s="5"/>
      <x:c r="AB361" s="118"/>
      <x:c r="AC361" s="119"/>
      <x:c r="AD361" s="119"/>
      <x:c r="AE361" s="5" t="str">
        <x:f>IF(A361="","",IF(Z361="","Нет ID пары",IF(AND(COUNTIFS($Z$59:$Z$505,Z361,$Y$59:$Y$505,"Оптимальный",$W$59:$W$505,"Рассчитан")=1,COUNTIFS($Z$59:$Z$505,Z361,$Y$59:$Y$505,"Агрессивный",$W$59:$W$505,"Рассчитан")=1),"Да","Нет")))</x:f>
      </x:c>
      <x:c r="AF361" s="5"/>
      <x:c r="AG361" s="5"/>
    </x:row>
    <x:row r="362">
      <x:c r="A362" s="80"/>
      <x:c r="B362" s="80"/>
      <x:c r="C362" s="83"/>
      <x:c r="D362" s="80"/>
      <x:c r="E362" s="80"/>
      <x:c r="F362" s="86"/>
      <x:c r="G362" s="80"/>
      <x:c r="H362" s="95"/>
      <x:c r="I362" s="95"/>
      <x:c r="J362" s="96"/>
      <x:c r="K362" s="97"/>
      <x:c r="L362" s="98"/>
      <x:c r="M362" s="98"/>
      <x:c r="N362" s="98"/>
      <x:c r="O362" s="98"/>
      <x:c r="P362" s="98"/>
      <x:c r="Q362" s="80"/>
      <x:c r="R362" s="80"/>
      <x:c r="S362" s="80"/>
      <x:c r="T362" s="80"/>
      <x:c r="U362" s="80"/>
      <x:c r="V362" s="89" t="str">
        <x:f>IF(A362="","",IF(U362="","",IF(U362="Выигрыш",J362-1,IF(U362="Полувыигрыш",(J362-1)/2,IF(U362="Возврат",0,IF(U362="Полупроигрыш",-0.5,IF(U362="Поражение",-1,"Проверить результат")))))))</x:f>
      </x:c>
      <x:c r="W362" s="80" t="str">
        <x:f>IF(A362="","",IF(U362="","Открыт",IF(ISNUMBER(V362),"Рассчитан","Проверить результат")))</x:f>
      </x:c>
      <x:c r="X362" s="98"/>
      <x:c r="Y362" s="5"/>
      <x:c r="Z362" s="5"/>
      <x:c r="AA362" s="5"/>
      <x:c r="AB362" s="118"/>
      <x:c r="AC362" s="119"/>
      <x:c r="AD362" s="119"/>
      <x:c r="AE362" s="5" t="str">
        <x:f>IF(A362="","",IF(Z362="","Нет ID пары",IF(AND(COUNTIFS($Z$59:$Z$505,Z362,$Y$59:$Y$505,"Оптимальный",$W$59:$W$505,"Рассчитан")=1,COUNTIFS($Z$59:$Z$505,Z362,$Y$59:$Y$505,"Агрессивный",$W$59:$W$505,"Рассчитан")=1),"Да","Нет")))</x:f>
      </x:c>
      <x:c r="AF362" s="5"/>
      <x:c r="AG362" s="5"/>
    </x:row>
    <x:row r="363">
      <x:c r="A363" s="80"/>
      <x:c r="B363" s="80"/>
      <x:c r="C363" s="83"/>
      <x:c r="D363" s="80"/>
      <x:c r="E363" s="80"/>
      <x:c r="F363" s="86"/>
      <x:c r="G363" s="80"/>
      <x:c r="H363" s="95"/>
      <x:c r="I363" s="95"/>
      <x:c r="J363" s="96"/>
      <x:c r="K363" s="97"/>
      <x:c r="L363" s="98"/>
      <x:c r="M363" s="98"/>
      <x:c r="N363" s="98"/>
      <x:c r="O363" s="98"/>
      <x:c r="P363" s="98"/>
      <x:c r="Q363" s="80"/>
      <x:c r="R363" s="80"/>
      <x:c r="S363" s="80"/>
      <x:c r="T363" s="80"/>
      <x:c r="U363" s="80"/>
      <x:c r="V363" s="89" t="str">
        <x:f>IF(A363="","",IF(U363="","",IF(U363="Выигрыш",J363-1,IF(U363="Полувыигрыш",(J363-1)/2,IF(U363="Возврат",0,IF(U363="Полупроигрыш",-0.5,IF(U363="Поражение",-1,"Проверить результат")))))))</x:f>
      </x:c>
      <x:c r="W363" s="80" t="str">
        <x:f>IF(A363="","",IF(U363="","Открыт",IF(ISNUMBER(V363),"Рассчитан","Проверить результат")))</x:f>
      </x:c>
      <x:c r="X363" s="98"/>
      <x:c r="Y363" s="5"/>
      <x:c r="Z363" s="5"/>
      <x:c r="AA363" s="5"/>
      <x:c r="AB363" s="118"/>
      <x:c r="AC363" s="119"/>
      <x:c r="AD363" s="119"/>
      <x:c r="AE363" s="5" t="str">
        <x:f>IF(A363="","",IF(Z363="","Нет ID пары",IF(AND(COUNTIFS($Z$59:$Z$505,Z363,$Y$59:$Y$505,"Оптимальный",$W$59:$W$505,"Рассчитан")=1,COUNTIFS($Z$59:$Z$505,Z363,$Y$59:$Y$505,"Агрессивный",$W$59:$W$505,"Рассчитан")=1),"Да","Нет")))</x:f>
      </x:c>
      <x:c r="AF363" s="5"/>
      <x:c r="AG363" s="5"/>
    </x:row>
    <x:row r="364">
      <x:c r="A364" s="80"/>
      <x:c r="B364" s="80"/>
      <x:c r="C364" s="83"/>
      <x:c r="D364" s="80"/>
      <x:c r="E364" s="80"/>
      <x:c r="F364" s="86"/>
      <x:c r="G364" s="80"/>
      <x:c r="H364" s="95"/>
      <x:c r="I364" s="95"/>
      <x:c r="J364" s="96"/>
      <x:c r="K364" s="97"/>
      <x:c r="L364" s="98"/>
      <x:c r="M364" s="98"/>
      <x:c r="N364" s="98"/>
      <x:c r="O364" s="98"/>
      <x:c r="P364" s="98"/>
      <x:c r="Q364" s="80"/>
      <x:c r="R364" s="80"/>
      <x:c r="S364" s="80"/>
      <x:c r="T364" s="80"/>
      <x:c r="U364" s="80"/>
      <x:c r="V364" s="89" t="str">
        <x:f>IF(A364="","",IF(U364="","",IF(U364="Выигрыш",J364-1,IF(U364="Полувыигрыш",(J364-1)/2,IF(U364="Возврат",0,IF(U364="Полупроигрыш",-0.5,IF(U364="Поражение",-1,"Проверить результат")))))))</x:f>
      </x:c>
      <x:c r="W364" s="80" t="str">
        <x:f>IF(A364="","",IF(U364="","Открыт",IF(ISNUMBER(V364),"Рассчитан","Проверить результат")))</x:f>
      </x:c>
      <x:c r="X364" s="98"/>
      <x:c r="Y364" s="5"/>
      <x:c r="Z364" s="5"/>
      <x:c r="AA364" s="5"/>
      <x:c r="AB364" s="118"/>
      <x:c r="AC364" s="119"/>
      <x:c r="AD364" s="119"/>
      <x:c r="AE364" s="5" t="str">
        <x:f>IF(A364="","",IF(Z364="","Нет ID пары",IF(AND(COUNTIFS($Z$59:$Z$505,Z364,$Y$59:$Y$505,"Оптимальный",$W$59:$W$505,"Рассчитан")=1,COUNTIFS($Z$59:$Z$505,Z364,$Y$59:$Y$505,"Агрессивный",$W$59:$W$505,"Рассчитан")=1),"Да","Нет")))</x:f>
      </x:c>
      <x:c r="AF364" s="5"/>
      <x:c r="AG364" s="5"/>
    </x:row>
    <x:row r="365">
      <x:c r="A365" s="80"/>
      <x:c r="B365" s="80"/>
      <x:c r="C365" s="83"/>
      <x:c r="D365" s="80"/>
      <x:c r="E365" s="80"/>
      <x:c r="F365" s="86"/>
      <x:c r="G365" s="80"/>
      <x:c r="H365" s="95"/>
      <x:c r="I365" s="95"/>
      <x:c r="J365" s="96"/>
      <x:c r="K365" s="97"/>
      <x:c r="L365" s="98"/>
      <x:c r="M365" s="98"/>
      <x:c r="N365" s="98"/>
      <x:c r="O365" s="98"/>
      <x:c r="P365" s="98"/>
      <x:c r="Q365" s="80"/>
      <x:c r="R365" s="80"/>
      <x:c r="S365" s="80"/>
      <x:c r="T365" s="80"/>
      <x:c r="U365" s="80"/>
      <x:c r="V365" s="89" t="str">
        <x:f>IF(A365="","",IF(U365="","",IF(U365="Выигрыш",J365-1,IF(U365="Полувыигрыш",(J365-1)/2,IF(U365="Возврат",0,IF(U365="Полупроигрыш",-0.5,IF(U365="Поражение",-1,"Проверить результат")))))))</x:f>
      </x:c>
      <x:c r="W365" s="80" t="str">
        <x:f>IF(A365="","",IF(U365="","Открыт",IF(ISNUMBER(V365),"Рассчитан","Проверить результат")))</x:f>
      </x:c>
      <x:c r="X365" s="98"/>
      <x:c r="Y365" s="5"/>
      <x:c r="Z365" s="5"/>
      <x:c r="AA365" s="5"/>
      <x:c r="AB365" s="118"/>
      <x:c r="AC365" s="119"/>
      <x:c r="AD365" s="119"/>
      <x:c r="AE365" s="5" t="str">
        <x:f>IF(A365="","",IF(Z365="","Нет ID пары",IF(AND(COUNTIFS($Z$59:$Z$505,Z365,$Y$59:$Y$505,"Оптимальный",$W$59:$W$505,"Рассчитан")=1,COUNTIFS($Z$59:$Z$505,Z365,$Y$59:$Y$505,"Агрессивный",$W$59:$W$505,"Рассчитан")=1),"Да","Нет")))</x:f>
      </x:c>
      <x:c r="AF365" s="5"/>
      <x:c r="AG365" s="5"/>
    </x:row>
    <x:row r="366">
      <x:c r="A366" s="80"/>
      <x:c r="B366" s="80"/>
      <x:c r="C366" s="83"/>
      <x:c r="D366" s="80"/>
      <x:c r="E366" s="80"/>
      <x:c r="F366" s="86"/>
      <x:c r="G366" s="80"/>
      <x:c r="H366" s="95"/>
      <x:c r="I366" s="95"/>
      <x:c r="J366" s="96"/>
      <x:c r="K366" s="97"/>
      <x:c r="L366" s="98"/>
      <x:c r="M366" s="98"/>
      <x:c r="N366" s="98"/>
      <x:c r="O366" s="98"/>
      <x:c r="P366" s="98"/>
      <x:c r="Q366" s="80"/>
      <x:c r="R366" s="80"/>
      <x:c r="S366" s="80"/>
      <x:c r="T366" s="80"/>
      <x:c r="U366" s="80"/>
      <x:c r="V366" s="89" t="str">
        <x:f>IF(A366="","",IF(U366="","",IF(U366="Выигрыш",J366-1,IF(U366="Полувыигрыш",(J366-1)/2,IF(U366="Возврат",0,IF(U366="Полупроигрыш",-0.5,IF(U366="Поражение",-1,"Проверить результат")))))))</x:f>
      </x:c>
      <x:c r="W366" s="80" t="str">
        <x:f>IF(A366="","",IF(U366="","Открыт",IF(ISNUMBER(V366),"Рассчитан","Проверить результат")))</x:f>
      </x:c>
      <x:c r="X366" s="98"/>
      <x:c r="Y366" s="5"/>
      <x:c r="Z366" s="5"/>
      <x:c r="AA366" s="5"/>
      <x:c r="AB366" s="118"/>
      <x:c r="AC366" s="119"/>
      <x:c r="AD366" s="119"/>
      <x:c r="AE366" s="5" t="str">
        <x:f>IF(A366="","",IF(Z366="","Нет ID пары",IF(AND(COUNTIFS($Z$59:$Z$505,Z366,$Y$59:$Y$505,"Оптимальный",$W$59:$W$505,"Рассчитан")=1,COUNTIFS($Z$59:$Z$505,Z366,$Y$59:$Y$505,"Агрессивный",$W$59:$W$505,"Рассчитан")=1),"Да","Нет")))</x:f>
      </x:c>
      <x:c r="AF366" s="5"/>
      <x:c r="AG366" s="5"/>
    </x:row>
    <x:row r="367">
      <x:c r="A367" s="80"/>
      <x:c r="B367" s="80"/>
      <x:c r="C367" s="83"/>
      <x:c r="D367" s="80"/>
      <x:c r="E367" s="80"/>
      <x:c r="F367" s="86"/>
      <x:c r="G367" s="80"/>
      <x:c r="H367" s="95"/>
      <x:c r="I367" s="95"/>
      <x:c r="J367" s="96"/>
      <x:c r="K367" s="97"/>
      <x:c r="L367" s="98"/>
      <x:c r="M367" s="98"/>
      <x:c r="N367" s="98"/>
      <x:c r="O367" s="98"/>
      <x:c r="P367" s="98"/>
      <x:c r="Q367" s="80"/>
      <x:c r="R367" s="80"/>
      <x:c r="S367" s="80"/>
      <x:c r="T367" s="80"/>
      <x:c r="U367" s="80"/>
      <x:c r="V367" s="89" t="str">
        <x:f>IF(A367="","",IF(U367="","",IF(U367="Выигрыш",J367-1,IF(U367="Полувыигрыш",(J367-1)/2,IF(U367="Возврат",0,IF(U367="Полупроигрыш",-0.5,IF(U367="Поражение",-1,"Проверить результат")))))))</x:f>
      </x:c>
      <x:c r="W367" s="80" t="str">
        <x:f>IF(A367="","",IF(U367="","Открыт",IF(ISNUMBER(V367),"Рассчитан","Проверить результат")))</x:f>
      </x:c>
      <x:c r="X367" s="98"/>
      <x:c r="Y367" s="5"/>
      <x:c r="Z367" s="5"/>
      <x:c r="AA367" s="5"/>
      <x:c r="AB367" s="118"/>
      <x:c r="AC367" s="119"/>
      <x:c r="AD367" s="119"/>
      <x:c r="AE367" s="5" t="str">
        <x:f>IF(A367="","",IF(Z367="","Нет ID пары",IF(AND(COUNTIFS($Z$59:$Z$505,Z367,$Y$59:$Y$505,"Оптимальный",$W$59:$W$505,"Рассчитан")=1,COUNTIFS($Z$59:$Z$505,Z367,$Y$59:$Y$505,"Агрессивный",$W$59:$W$505,"Рассчитан")=1),"Да","Нет")))</x:f>
      </x:c>
      <x:c r="AF367" s="5"/>
      <x:c r="AG367" s="5"/>
    </x:row>
    <x:row r="368">
      <x:c r="A368" s="80"/>
      <x:c r="B368" s="80"/>
      <x:c r="C368" s="83"/>
      <x:c r="D368" s="80"/>
      <x:c r="E368" s="80"/>
      <x:c r="F368" s="86"/>
      <x:c r="G368" s="80"/>
      <x:c r="H368" s="95"/>
      <x:c r="I368" s="95"/>
      <x:c r="J368" s="96"/>
      <x:c r="K368" s="97"/>
      <x:c r="L368" s="98"/>
      <x:c r="M368" s="98"/>
      <x:c r="N368" s="98"/>
      <x:c r="O368" s="98"/>
      <x:c r="P368" s="98"/>
      <x:c r="Q368" s="80"/>
      <x:c r="R368" s="80"/>
      <x:c r="S368" s="80"/>
      <x:c r="T368" s="80"/>
      <x:c r="U368" s="80"/>
      <x:c r="V368" s="89" t="str">
        <x:f>IF(A368="","",IF(U368="","",IF(U368="Выигрыш",J368-1,IF(U368="Полувыигрыш",(J368-1)/2,IF(U368="Возврат",0,IF(U368="Полупроигрыш",-0.5,IF(U368="Поражение",-1,"Проверить результат")))))))</x:f>
      </x:c>
      <x:c r="W368" s="80" t="str">
        <x:f>IF(A368="","",IF(U368="","Открыт",IF(ISNUMBER(V368),"Рассчитан","Проверить результат")))</x:f>
      </x:c>
      <x:c r="X368" s="98"/>
      <x:c r="Y368" s="5"/>
      <x:c r="Z368" s="5"/>
      <x:c r="AA368" s="5"/>
      <x:c r="AB368" s="118"/>
      <x:c r="AC368" s="119"/>
      <x:c r="AD368" s="119"/>
      <x:c r="AE368" s="5" t="str">
        <x:f>IF(A368="","",IF(Z368="","Нет ID пары",IF(AND(COUNTIFS($Z$59:$Z$505,Z368,$Y$59:$Y$505,"Оптимальный",$W$59:$W$505,"Рассчитан")=1,COUNTIFS($Z$59:$Z$505,Z368,$Y$59:$Y$505,"Агрессивный",$W$59:$W$505,"Рассчитан")=1),"Да","Нет")))</x:f>
      </x:c>
      <x:c r="AF368" s="5"/>
      <x:c r="AG368" s="5"/>
    </x:row>
    <x:row r="369">
      <x:c r="A369" s="80"/>
      <x:c r="B369" s="80"/>
      <x:c r="C369" s="83"/>
      <x:c r="D369" s="80"/>
      <x:c r="E369" s="80"/>
      <x:c r="F369" s="86"/>
      <x:c r="G369" s="80"/>
      <x:c r="H369" s="95"/>
      <x:c r="I369" s="95"/>
      <x:c r="J369" s="96"/>
      <x:c r="K369" s="97"/>
      <x:c r="L369" s="98"/>
      <x:c r="M369" s="98"/>
      <x:c r="N369" s="98"/>
      <x:c r="O369" s="98"/>
      <x:c r="P369" s="98"/>
      <x:c r="Q369" s="80"/>
      <x:c r="R369" s="80"/>
      <x:c r="S369" s="80"/>
      <x:c r="T369" s="80"/>
      <x:c r="U369" s="80"/>
      <x:c r="V369" s="89" t="str">
        <x:f>IF(A369="","",IF(U369="","",IF(U369="Выигрыш",J369-1,IF(U369="Полувыигрыш",(J369-1)/2,IF(U369="Возврат",0,IF(U369="Полупроигрыш",-0.5,IF(U369="Поражение",-1,"Проверить результат")))))))</x:f>
      </x:c>
      <x:c r="W369" s="80" t="str">
        <x:f>IF(A369="","",IF(U369="","Открыт",IF(ISNUMBER(V369),"Рассчитан","Проверить результат")))</x:f>
      </x:c>
      <x:c r="X369" s="98"/>
      <x:c r="Y369" s="5"/>
      <x:c r="Z369" s="5"/>
      <x:c r="AA369" s="5"/>
      <x:c r="AB369" s="118"/>
      <x:c r="AC369" s="119"/>
      <x:c r="AD369" s="119"/>
      <x:c r="AE369" s="5" t="str">
        <x:f>IF(A369="","",IF(Z369="","Нет ID пары",IF(AND(COUNTIFS($Z$59:$Z$505,Z369,$Y$59:$Y$505,"Оптимальный",$W$59:$W$505,"Рассчитан")=1,COUNTIFS($Z$59:$Z$505,Z369,$Y$59:$Y$505,"Агрессивный",$W$59:$W$505,"Рассчитан")=1),"Да","Нет")))</x:f>
      </x:c>
      <x:c r="AF369" s="5"/>
      <x:c r="AG369" s="5"/>
    </x:row>
    <x:row r="370">
      <x:c r="A370" s="80"/>
      <x:c r="B370" s="80"/>
      <x:c r="C370" s="83"/>
      <x:c r="D370" s="80"/>
      <x:c r="E370" s="80"/>
      <x:c r="F370" s="86"/>
      <x:c r="G370" s="80"/>
      <x:c r="H370" s="95"/>
      <x:c r="I370" s="95"/>
      <x:c r="J370" s="96"/>
      <x:c r="K370" s="97"/>
      <x:c r="L370" s="98"/>
      <x:c r="M370" s="98"/>
      <x:c r="N370" s="98"/>
      <x:c r="O370" s="98"/>
      <x:c r="P370" s="98"/>
      <x:c r="Q370" s="80"/>
      <x:c r="R370" s="80"/>
      <x:c r="S370" s="80"/>
      <x:c r="T370" s="80"/>
      <x:c r="U370" s="80"/>
      <x:c r="V370" s="89" t="str">
        <x:f>IF(A370="","",IF(U370="","",IF(U370="Выигрыш",J370-1,IF(U370="Полувыигрыш",(J370-1)/2,IF(U370="Возврат",0,IF(U370="Полупроигрыш",-0.5,IF(U370="Поражение",-1,"Проверить результат")))))))</x:f>
      </x:c>
      <x:c r="W370" s="80" t="str">
        <x:f>IF(A370="","",IF(U370="","Открыт",IF(ISNUMBER(V370),"Рассчитан","Проверить результат")))</x:f>
      </x:c>
      <x:c r="X370" s="98"/>
      <x:c r="Y370" s="5"/>
      <x:c r="Z370" s="5"/>
      <x:c r="AA370" s="5"/>
      <x:c r="AB370" s="118"/>
      <x:c r="AC370" s="119"/>
      <x:c r="AD370" s="119"/>
      <x:c r="AE370" s="5" t="str">
        <x:f>IF(A370="","",IF(Z370="","Нет ID пары",IF(AND(COUNTIFS($Z$59:$Z$505,Z370,$Y$59:$Y$505,"Оптимальный",$W$59:$W$505,"Рассчитан")=1,COUNTIFS($Z$59:$Z$505,Z370,$Y$59:$Y$505,"Агрессивный",$W$59:$W$505,"Рассчитан")=1),"Да","Нет")))</x:f>
      </x:c>
      <x:c r="AF370" s="5"/>
      <x:c r="AG370" s="5"/>
    </x:row>
    <x:row r="371">
      <x:c r="A371" s="80"/>
      <x:c r="B371" s="80"/>
      <x:c r="C371" s="83"/>
      <x:c r="D371" s="80"/>
      <x:c r="E371" s="80"/>
      <x:c r="F371" s="86"/>
      <x:c r="G371" s="80"/>
      <x:c r="H371" s="95"/>
      <x:c r="I371" s="95"/>
      <x:c r="J371" s="96"/>
      <x:c r="K371" s="97"/>
      <x:c r="L371" s="98"/>
      <x:c r="M371" s="98"/>
      <x:c r="N371" s="98"/>
      <x:c r="O371" s="98"/>
      <x:c r="P371" s="98"/>
      <x:c r="Q371" s="80"/>
      <x:c r="R371" s="80"/>
      <x:c r="S371" s="80"/>
      <x:c r="T371" s="80"/>
      <x:c r="U371" s="80"/>
      <x:c r="V371" s="89" t="str">
        <x:f>IF(A371="","",IF(U371="","",IF(U371="Выигрыш",J371-1,IF(U371="Полувыигрыш",(J371-1)/2,IF(U371="Возврат",0,IF(U371="Полупроигрыш",-0.5,IF(U371="Поражение",-1,"Проверить результат")))))))</x:f>
      </x:c>
      <x:c r="W371" s="80" t="str">
        <x:f>IF(A371="","",IF(U371="","Открыт",IF(ISNUMBER(V371),"Рассчитан","Проверить результат")))</x:f>
      </x:c>
      <x:c r="X371" s="98"/>
      <x:c r="Y371" s="5"/>
      <x:c r="Z371" s="5"/>
      <x:c r="AA371" s="5"/>
      <x:c r="AB371" s="118"/>
      <x:c r="AC371" s="119"/>
      <x:c r="AD371" s="119"/>
      <x:c r="AE371" s="5" t="str">
        <x:f>IF(A371="","",IF(Z371="","Нет ID пары",IF(AND(COUNTIFS($Z$59:$Z$505,Z371,$Y$59:$Y$505,"Оптимальный",$W$59:$W$505,"Рассчитан")=1,COUNTIFS($Z$59:$Z$505,Z371,$Y$59:$Y$505,"Агрессивный",$W$59:$W$505,"Рассчитан")=1),"Да","Нет")))</x:f>
      </x:c>
      <x:c r="AF371" s="5"/>
      <x:c r="AG371" s="5"/>
    </x:row>
    <x:row r="372">
      <x:c r="A372" s="80"/>
      <x:c r="B372" s="80"/>
      <x:c r="C372" s="83"/>
      <x:c r="D372" s="80"/>
      <x:c r="E372" s="80"/>
      <x:c r="F372" s="86"/>
      <x:c r="G372" s="80"/>
      <x:c r="H372" s="95"/>
      <x:c r="I372" s="95"/>
      <x:c r="J372" s="96"/>
      <x:c r="K372" s="97"/>
      <x:c r="L372" s="98"/>
      <x:c r="M372" s="98"/>
      <x:c r="N372" s="98"/>
      <x:c r="O372" s="98"/>
      <x:c r="P372" s="98"/>
      <x:c r="Q372" s="80"/>
      <x:c r="R372" s="80"/>
      <x:c r="S372" s="80"/>
      <x:c r="T372" s="80"/>
      <x:c r="U372" s="80"/>
      <x:c r="V372" s="89" t="str">
        <x:f>IF(A372="","",IF(U372="","",IF(U372="Выигрыш",J372-1,IF(U372="Полувыигрыш",(J372-1)/2,IF(U372="Возврат",0,IF(U372="Полупроигрыш",-0.5,IF(U372="Поражение",-1,"Проверить результат")))))))</x:f>
      </x:c>
      <x:c r="W372" s="80" t="str">
        <x:f>IF(A372="","",IF(U372="","Открыт",IF(ISNUMBER(V372),"Рассчитан","Проверить результат")))</x:f>
      </x:c>
      <x:c r="X372" s="98"/>
      <x:c r="Y372" s="5"/>
      <x:c r="Z372" s="5"/>
      <x:c r="AA372" s="5"/>
      <x:c r="AB372" s="118"/>
      <x:c r="AC372" s="119"/>
      <x:c r="AD372" s="119"/>
      <x:c r="AE372" s="5" t="str">
        <x:f>IF(A372="","",IF(Z372="","Нет ID пары",IF(AND(COUNTIFS($Z$59:$Z$505,Z372,$Y$59:$Y$505,"Оптимальный",$W$59:$W$505,"Рассчитан")=1,COUNTIFS($Z$59:$Z$505,Z372,$Y$59:$Y$505,"Агрессивный",$W$59:$W$505,"Рассчитан")=1),"Да","Нет")))</x:f>
      </x:c>
      <x:c r="AF372" s="5"/>
      <x:c r="AG372" s="5"/>
    </x:row>
    <x:row r="373">
      <x:c r="A373" s="80"/>
      <x:c r="B373" s="80"/>
      <x:c r="C373" s="83"/>
      <x:c r="D373" s="80"/>
      <x:c r="E373" s="80"/>
      <x:c r="F373" s="86"/>
      <x:c r="G373" s="80"/>
      <x:c r="H373" s="95"/>
      <x:c r="I373" s="95"/>
      <x:c r="J373" s="96"/>
      <x:c r="K373" s="97"/>
      <x:c r="L373" s="98"/>
      <x:c r="M373" s="98"/>
      <x:c r="N373" s="98"/>
      <x:c r="O373" s="98"/>
      <x:c r="P373" s="98"/>
      <x:c r="Q373" s="80"/>
      <x:c r="R373" s="80"/>
      <x:c r="S373" s="80"/>
      <x:c r="T373" s="80"/>
      <x:c r="U373" s="80"/>
      <x:c r="V373" s="89" t="str">
        <x:f>IF(A373="","",IF(U373="","",IF(U373="Выигрыш",J373-1,IF(U373="Полувыигрыш",(J373-1)/2,IF(U373="Возврат",0,IF(U373="Полупроигрыш",-0.5,IF(U373="Поражение",-1,"Проверить результат")))))))</x:f>
      </x:c>
      <x:c r="W373" s="80" t="str">
        <x:f>IF(A373="","",IF(U373="","Открыт",IF(ISNUMBER(V373),"Рассчитан","Проверить результат")))</x:f>
      </x:c>
      <x:c r="X373" s="98"/>
      <x:c r="Y373" s="5"/>
      <x:c r="Z373" s="5"/>
      <x:c r="AA373" s="5"/>
      <x:c r="AB373" s="118"/>
      <x:c r="AC373" s="119"/>
      <x:c r="AD373" s="119"/>
      <x:c r="AE373" s="5" t="str">
        <x:f>IF(A373="","",IF(Z373="","Нет ID пары",IF(AND(COUNTIFS($Z$59:$Z$505,Z373,$Y$59:$Y$505,"Оптимальный",$W$59:$W$505,"Рассчитан")=1,COUNTIFS($Z$59:$Z$505,Z373,$Y$59:$Y$505,"Агрессивный",$W$59:$W$505,"Рассчитан")=1),"Да","Нет")))</x:f>
      </x:c>
      <x:c r="AF373" s="5"/>
      <x:c r="AG373" s="5"/>
    </x:row>
    <x:row r="374">
      <x:c r="A374" s="80"/>
      <x:c r="B374" s="80"/>
      <x:c r="C374" s="83"/>
      <x:c r="D374" s="80"/>
      <x:c r="E374" s="80"/>
      <x:c r="F374" s="86"/>
      <x:c r="G374" s="80"/>
      <x:c r="H374" s="95"/>
      <x:c r="I374" s="95"/>
      <x:c r="J374" s="96"/>
      <x:c r="K374" s="97"/>
      <x:c r="L374" s="98"/>
      <x:c r="M374" s="98"/>
      <x:c r="N374" s="98"/>
      <x:c r="O374" s="98"/>
      <x:c r="P374" s="98"/>
      <x:c r="Q374" s="80"/>
      <x:c r="R374" s="80"/>
      <x:c r="S374" s="80"/>
      <x:c r="T374" s="80"/>
      <x:c r="U374" s="80"/>
      <x:c r="V374" s="89" t="str">
        <x:f>IF(A374="","",IF(U374="","",IF(U374="Выигрыш",J374-1,IF(U374="Полувыигрыш",(J374-1)/2,IF(U374="Возврат",0,IF(U374="Полупроигрыш",-0.5,IF(U374="Поражение",-1,"Проверить результат")))))))</x:f>
      </x:c>
      <x:c r="W374" s="80" t="str">
        <x:f>IF(A374="","",IF(U374="","Открыт",IF(ISNUMBER(V374),"Рассчитан","Проверить результат")))</x:f>
      </x:c>
      <x:c r="X374" s="98"/>
      <x:c r="Y374" s="5"/>
      <x:c r="Z374" s="5"/>
      <x:c r="AA374" s="5"/>
      <x:c r="AB374" s="118"/>
      <x:c r="AC374" s="119"/>
      <x:c r="AD374" s="119"/>
      <x:c r="AE374" s="5" t="str">
        <x:f>IF(A374="","",IF(Z374="","Нет ID пары",IF(AND(COUNTIFS($Z$59:$Z$505,Z374,$Y$59:$Y$505,"Оптимальный",$W$59:$W$505,"Рассчитан")=1,COUNTIFS($Z$59:$Z$505,Z374,$Y$59:$Y$505,"Агрессивный",$W$59:$W$505,"Рассчитан")=1),"Да","Нет")))</x:f>
      </x:c>
      <x:c r="AF374" s="5"/>
      <x:c r="AG374" s="5"/>
    </x:row>
    <x:row r="375">
      <x:c r="A375" s="80"/>
      <x:c r="B375" s="80"/>
      <x:c r="C375" s="83"/>
      <x:c r="D375" s="80"/>
      <x:c r="E375" s="80"/>
      <x:c r="F375" s="86"/>
      <x:c r="G375" s="80"/>
      <x:c r="H375" s="95"/>
      <x:c r="I375" s="95"/>
      <x:c r="J375" s="96"/>
      <x:c r="K375" s="97"/>
      <x:c r="L375" s="98"/>
      <x:c r="M375" s="98"/>
      <x:c r="N375" s="98"/>
      <x:c r="O375" s="98"/>
      <x:c r="P375" s="98"/>
      <x:c r="Q375" s="80"/>
      <x:c r="R375" s="80"/>
      <x:c r="S375" s="80"/>
      <x:c r="T375" s="80"/>
      <x:c r="U375" s="80"/>
      <x:c r="V375" s="89" t="str">
        <x:f>IF(A375="","",IF(U375="","",IF(U375="Выигрыш",J375-1,IF(U375="Полувыигрыш",(J375-1)/2,IF(U375="Возврат",0,IF(U375="Полупроигрыш",-0.5,IF(U375="Поражение",-1,"Проверить результат")))))))</x:f>
      </x:c>
      <x:c r="W375" s="80" t="str">
        <x:f>IF(A375="","",IF(U375="","Открыт",IF(ISNUMBER(V375),"Рассчитан","Проверить результат")))</x:f>
      </x:c>
      <x:c r="X375" s="98"/>
      <x:c r="Y375" s="5"/>
      <x:c r="Z375" s="5"/>
      <x:c r="AA375" s="5"/>
      <x:c r="AB375" s="118"/>
      <x:c r="AC375" s="119"/>
      <x:c r="AD375" s="119"/>
      <x:c r="AE375" s="5" t="str">
        <x:f>IF(A375="","",IF(Z375="","Нет ID пары",IF(AND(COUNTIFS($Z$59:$Z$505,Z375,$Y$59:$Y$505,"Оптимальный",$W$59:$W$505,"Рассчитан")=1,COUNTIFS($Z$59:$Z$505,Z375,$Y$59:$Y$505,"Агрессивный",$W$59:$W$505,"Рассчитан")=1),"Да","Нет")))</x:f>
      </x:c>
      <x:c r="AF375" s="5"/>
      <x:c r="AG375" s="5"/>
    </x:row>
    <x:row r="376">
      <x:c r="A376" s="80"/>
      <x:c r="B376" s="80"/>
      <x:c r="C376" s="83"/>
      <x:c r="D376" s="80"/>
      <x:c r="E376" s="80"/>
      <x:c r="F376" s="86"/>
      <x:c r="G376" s="80"/>
      <x:c r="H376" s="95"/>
      <x:c r="I376" s="95"/>
      <x:c r="J376" s="96"/>
      <x:c r="K376" s="97"/>
      <x:c r="L376" s="98"/>
      <x:c r="M376" s="98"/>
      <x:c r="N376" s="98"/>
      <x:c r="O376" s="98"/>
      <x:c r="P376" s="98"/>
      <x:c r="Q376" s="80"/>
      <x:c r="R376" s="80"/>
      <x:c r="S376" s="80"/>
      <x:c r="T376" s="80"/>
      <x:c r="U376" s="80"/>
      <x:c r="V376" s="89" t="str">
        <x:f>IF(A376="","",IF(U376="","",IF(U376="Выигрыш",J376-1,IF(U376="Полувыигрыш",(J376-1)/2,IF(U376="Возврат",0,IF(U376="Полупроигрыш",-0.5,IF(U376="Поражение",-1,"Проверить результат")))))))</x:f>
      </x:c>
      <x:c r="W376" s="80" t="str">
        <x:f>IF(A376="","",IF(U376="","Открыт",IF(ISNUMBER(V376),"Рассчитан","Проверить результат")))</x:f>
      </x:c>
      <x:c r="X376" s="98"/>
      <x:c r="Y376" s="5"/>
      <x:c r="Z376" s="5"/>
      <x:c r="AA376" s="5"/>
      <x:c r="AB376" s="118"/>
      <x:c r="AC376" s="119"/>
      <x:c r="AD376" s="119"/>
      <x:c r="AE376" s="5" t="str">
        <x:f>IF(A376="","",IF(Z376="","Нет ID пары",IF(AND(COUNTIFS($Z$59:$Z$505,Z376,$Y$59:$Y$505,"Оптимальный",$W$59:$W$505,"Рассчитан")=1,COUNTIFS($Z$59:$Z$505,Z376,$Y$59:$Y$505,"Агрессивный",$W$59:$W$505,"Рассчитан")=1),"Да","Нет")))</x:f>
      </x:c>
      <x:c r="AF376" s="5"/>
      <x:c r="AG376" s="5"/>
    </x:row>
    <x:row r="377">
      <x:c r="A377" s="80"/>
      <x:c r="B377" s="80"/>
      <x:c r="C377" s="83"/>
      <x:c r="D377" s="80"/>
      <x:c r="E377" s="80"/>
      <x:c r="F377" s="86"/>
      <x:c r="G377" s="80"/>
      <x:c r="H377" s="95"/>
      <x:c r="I377" s="95"/>
      <x:c r="J377" s="96"/>
      <x:c r="K377" s="97"/>
      <x:c r="L377" s="98"/>
      <x:c r="M377" s="98"/>
      <x:c r="N377" s="98"/>
      <x:c r="O377" s="98"/>
      <x:c r="P377" s="98"/>
      <x:c r="Q377" s="80"/>
      <x:c r="R377" s="80"/>
      <x:c r="S377" s="80"/>
      <x:c r="T377" s="80"/>
      <x:c r="U377" s="80"/>
      <x:c r="V377" s="89" t="str">
        <x:f>IF(A377="","",IF(U377="","",IF(U377="Выигрыш",J377-1,IF(U377="Полувыигрыш",(J377-1)/2,IF(U377="Возврат",0,IF(U377="Полупроигрыш",-0.5,IF(U377="Поражение",-1,"Проверить результат")))))))</x:f>
      </x:c>
      <x:c r="W377" s="80" t="str">
        <x:f>IF(A377="","",IF(U377="","Открыт",IF(ISNUMBER(V377),"Рассчитан","Проверить результат")))</x:f>
      </x:c>
      <x:c r="X377" s="98"/>
      <x:c r="Y377" s="5"/>
      <x:c r="Z377" s="5"/>
      <x:c r="AA377" s="5"/>
      <x:c r="AB377" s="118"/>
      <x:c r="AC377" s="119"/>
      <x:c r="AD377" s="119"/>
      <x:c r="AE377" s="5" t="str">
        <x:f>IF(A377="","",IF(Z377="","Нет ID пары",IF(AND(COUNTIFS($Z$59:$Z$505,Z377,$Y$59:$Y$505,"Оптимальный",$W$59:$W$505,"Рассчитан")=1,COUNTIFS($Z$59:$Z$505,Z377,$Y$59:$Y$505,"Агрессивный",$W$59:$W$505,"Рассчитан")=1),"Да","Нет")))</x:f>
      </x:c>
      <x:c r="AF377" s="5"/>
      <x:c r="AG377" s="5"/>
    </x:row>
    <x:row r="378">
      <x:c r="A378" s="80"/>
      <x:c r="B378" s="80"/>
      <x:c r="C378" s="83"/>
      <x:c r="D378" s="80"/>
      <x:c r="E378" s="80"/>
      <x:c r="F378" s="86"/>
      <x:c r="G378" s="80"/>
      <x:c r="H378" s="95"/>
      <x:c r="I378" s="95"/>
      <x:c r="J378" s="96"/>
      <x:c r="K378" s="97"/>
      <x:c r="L378" s="98"/>
      <x:c r="M378" s="98"/>
      <x:c r="N378" s="98"/>
      <x:c r="O378" s="98"/>
      <x:c r="P378" s="98"/>
      <x:c r="Q378" s="80"/>
      <x:c r="R378" s="80"/>
      <x:c r="S378" s="80"/>
      <x:c r="T378" s="80"/>
      <x:c r="U378" s="80"/>
      <x:c r="V378" s="89" t="str">
        <x:f>IF(A378="","",IF(U378="","",IF(U378="Выигрыш",J378-1,IF(U378="Полувыигрыш",(J378-1)/2,IF(U378="Возврат",0,IF(U378="Полупроигрыш",-0.5,IF(U378="Поражение",-1,"Проверить результат")))))))</x:f>
      </x:c>
      <x:c r="W378" s="80" t="str">
        <x:f>IF(A378="","",IF(U378="","Открыт",IF(ISNUMBER(V378),"Рассчитан","Проверить результат")))</x:f>
      </x:c>
      <x:c r="X378" s="98"/>
      <x:c r="Y378" s="5"/>
      <x:c r="Z378" s="5"/>
      <x:c r="AA378" s="5"/>
      <x:c r="AB378" s="118"/>
      <x:c r="AC378" s="119"/>
      <x:c r="AD378" s="119"/>
      <x:c r="AE378" s="5" t="str">
        <x:f>IF(A378="","",IF(Z378="","Нет ID пары",IF(AND(COUNTIFS($Z$59:$Z$505,Z378,$Y$59:$Y$505,"Оптимальный",$W$59:$W$505,"Рассчитан")=1,COUNTIFS($Z$59:$Z$505,Z378,$Y$59:$Y$505,"Агрессивный",$W$59:$W$505,"Рассчитан")=1),"Да","Нет")))</x:f>
      </x:c>
      <x:c r="AF378" s="5"/>
      <x:c r="AG378" s="5"/>
    </x:row>
    <x:row r="379">
      <x:c r="A379" s="80"/>
      <x:c r="B379" s="80"/>
      <x:c r="C379" s="83"/>
      <x:c r="D379" s="80"/>
      <x:c r="E379" s="80"/>
      <x:c r="F379" s="86"/>
      <x:c r="G379" s="80"/>
      <x:c r="H379" s="95"/>
      <x:c r="I379" s="95"/>
      <x:c r="J379" s="96"/>
      <x:c r="K379" s="97"/>
      <x:c r="L379" s="98"/>
      <x:c r="M379" s="98"/>
      <x:c r="N379" s="98"/>
      <x:c r="O379" s="98"/>
      <x:c r="P379" s="98"/>
      <x:c r="Q379" s="80"/>
      <x:c r="R379" s="80"/>
      <x:c r="S379" s="80"/>
      <x:c r="T379" s="80"/>
      <x:c r="U379" s="80"/>
      <x:c r="V379" s="89" t="str">
        <x:f>IF(A379="","",IF(U379="","",IF(U379="Выигрыш",J379-1,IF(U379="Полувыигрыш",(J379-1)/2,IF(U379="Возврат",0,IF(U379="Полупроигрыш",-0.5,IF(U379="Поражение",-1,"Проверить результат")))))))</x:f>
      </x:c>
      <x:c r="W379" s="80" t="str">
        <x:f>IF(A379="","",IF(U379="","Открыт",IF(ISNUMBER(V379),"Рассчитан","Проверить результат")))</x:f>
      </x:c>
      <x:c r="X379" s="98"/>
      <x:c r="Y379" s="5"/>
      <x:c r="Z379" s="5"/>
      <x:c r="AA379" s="5"/>
      <x:c r="AB379" s="118"/>
      <x:c r="AC379" s="119"/>
      <x:c r="AD379" s="119"/>
      <x:c r="AE379" s="5" t="str">
        <x:f>IF(A379="","",IF(Z379="","Нет ID пары",IF(AND(COUNTIFS($Z$59:$Z$505,Z379,$Y$59:$Y$505,"Оптимальный",$W$59:$W$505,"Рассчитан")=1,COUNTIFS($Z$59:$Z$505,Z379,$Y$59:$Y$505,"Агрессивный",$W$59:$W$505,"Рассчитан")=1),"Да","Нет")))</x:f>
      </x:c>
      <x:c r="AF379" s="5"/>
      <x:c r="AG379" s="5"/>
    </x:row>
    <x:row r="380">
      <x:c r="A380" s="80"/>
      <x:c r="B380" s="80"/>
      <x:c r="C380" s="83"/>
      <x:c r="D380" s="80"/>
      <x:c r="E380" s="80"/>
      <x:c r="F380" s="86"/>
      <x:c r="G380" s="80"/>
      <x:c r="H380" s="95"/>
      <x:c r="I380" s="95"/>
      <x:c r="J380" s="96"/>
      <x:c r="K380" s="97"/>
      <x:c r="L380" s="98"/>
      <x:c r="M380" s="98"/>
      <x:c r="N380" s="98"/>
      <x:c r="O380" s="98"/>
      <x:c r="P380" s="98"/>
      <x:c r="Q380" s="80"/>
      <x:c r="R380" s="80"/>
      <x:c r="S380" s="80"/>
      <x:c r="T380" s="80"/>
      <x:c r="U380" s="80"/>
      <x:c r="V380" s="89" t="str">
        <x:f>IF(A380="","",IF(U380="","",IF(U380="Выигрыш",J380-1,IF(U380="Полувыигрыш",(J380-1)/2,IF(U380="Возврат",0,IF(U380="Полупроигрыш",-0.5,IF(U380="Поражение",-1,"Проверить результат")))))))</x:f>
      </x:c>
      <x:c r="W380" s="80" t="str">
        <x:f>IF(A380="","",IF(U380="","Открыт",IF(ISNUMBER(V380),"Рассчитан","Проверить результат")))</x:f>
      </x:c>
      <x:c r="X380" s="98"/>
      <x:c r="Y380" s="5"/>
      <x:c r="Z380" s="5"/>
      <x:c r="AA380" s="5"/>
      <x:c r="AB380" s="118"/>
      <x:c r="AC380" s="119"/>
      <x:c r="AD380" s="119"/>
      <x:c r="AE380" s="5" t="str">
        <x:f>IF(A380="","",IF(Z380="","Нет ID пары",IF(AND(COUNTIFS($Z$59:$Z$505,Z380,$Y$59:$Y$505,"Оптимальный",$W$59:$W$505,"Рассчитан")=1,COUNTIFS($Z$59:$Z$505,Z380,$Y$59:$Y$505,"Агрессивный",$W$59:$W$505,"Рассчитан")=1),"Да","Нет")))</x:f>
      </x:c>
      <x:c r="AF380" s="5"/>
      <x:c r="AG380" s="5"/>
    </x:row>
    <x:row r="381">
      <x:c r="A381" s="80"/>
      <x:c r="B381" s="80"/>
      <x:c r="C381" s="83"/>
      <x:c r="D381" s="80"/>
      <x:c r="E381" s="80"/>
      <x:c r="F381" s="86"/>
      <x:c r="G381" s="80"/>
      <x:c r="H381" s="95"/>
      <x:c r="I381" s="95"/>
      <x:c r="J381" s="96"/>
      <x:c r="K381" s="97"/>
      <x:c r="L381" s="98"/>
      <x:c r="M381" s="98"/>
      <x:c r="N381" s="98"/>
      <x:c r="O381" s="98"/>
      <x:c r="P381" s="98"/>
      <x:c r="Q381" s="80"/>
      <x:c r="R381" s="80"/>
      <x:c r="S381" s="80"/>
      <x:c r="T381" s="80"/>
      <x:c r="U381" s="80"/>
      <x:c r="V381" s="89" t="str">
        <x:f>IF(A381="","",IF(U381="","",IF(U381="Выигрыш",J381-1,IF(U381="Полувыигрыш",(J381-1)/2,IF(U381="Возврат",0,IF(U381="Полупроигрыш",-0.5,IF(U381="Поражение",-1,"Проверить результат")))))))</x:f>
      </x:c>
      <x:c r="W381" s="80" t="str">
        <x:f>IF(A381="","",IF(U381="","Открыт",IF(ISNUMBER(V381),"Рассчитан","Проверить результат")))</x:f>
      </x:c>
      <x:c r="X381" s="98"/>
      <x:c r="Y381" s="5"/>
      <x:c r="Z381" s="5"/>
      <x:c r="AA381" s="5"/>
      <x:c r="AB381" s="118"/>
      <x:c r="AC381" s="119"/>
      <x:c r="AD381" s="119"/>
      <x:c r="AE381" s="5" t="str">
        <x:f>IF(A381="","",IF(Z381="","Нет ID пары",IF(AND(COUNTIFS($Z$59:$Z$505,Z381,$Y$59:$Y$505,"Оптимальный",$W$59:$W$505,"Рассчитан")=1,COUNTIFS($Z$59:$Z$505,Z381,$Y$59:$Y$505,"Агрессивный",$W$59:$W$505,"Рассчитан")=1),"Да","Нет")))</x:f>
      </x:c>
      <x:c r="AF381" s="5"/>
      <x:c r="AG381" s="5"/>
    </x:row>
    <x:row r="382">
      <x:c r="A382" s="80"/>
      <x:c r="B382" s="80"/>
      <x:c r="C382" s="83"/>
      <x:c r="D382" s="80"/>
      <x:c r="E382" s="80"/>
      <x:c r="F382" s="86"/>
      <x:c r="G382" s="80"/>
      <x:c r="H382" s="95"/>
      <x:c r="I382" s="95"/>
      <x:c r="J382" s="96"/>
      <x:c r="K382" s="97"/>
      <x:c r="L382" s="98"/>
      <x:c r="M382" s="98"/>
      <x:c r="N382" s="98"/>
      <x:c r="O382" s="98"/>
      <x:c r="P382" s="98"/>
      <x:c r="Q382" s="80"/>
      <x:c r="R382" s="80"/>
      <x:c r="S382" s="80"/>
      <x:c r="T382" s="80"/>
      <x:c r="U382" s="80"/>
      <x:c r="V382" s="89" t="str">
        <x:f>IF(A382="","",IF(U382="","",IF(U382="Выигрыш",J382-1,IF(U382="Полувыигрыш",(J382-1)/2,IF(U382="Возврат",0,IF(U382="Полупроигрыш",-0.5,IF(U382="Поражение",-1,"Проверить результат")))))))</x:f>
      </x:c>
      <x:c r="W382" s="80" t="str">
        <x:f>IF(A382="","",IF(U382="","Открыт",IF(ISNUMBER(V382),"Рассчитан","Проверить результат")))</x:f>
      </x:c>
      <x:c r="X382" s="98"/>
      <x:c r="Y382" s="5"/>
      <x:c r="Z382" s="5"/>
      <x:c r="AA382" s="5"/>
      <x:c r="AB382" s="118"/>
      <x:c r="AC382" s="119"/>
      <x:c r="AD382" s="119"/>
      <x:c r="AE382" s="5" t="str">
        <x:f>IF(A382="","",IF(Z382="","Нет ID пары",IF(AND(COUNTIFS($Z$59:$Z$505,Z382,$Y$59:$Y$505,"Оптимальный",$W$59:$W$505,"Рассчитан")=1,COUNTIFS($Z$59:$Z$505,Z382,$Y$59:$Y$505,"Агрессивный",$W$59:$W$505,"Рассчитан")=1),"Да","Нет")))</x:f>
      </x:c>
      <x:c r="AF382" s="5"/>
      <x:c r="AG382" s="5"/>
    </x:row>
    <x:row r="383">
      <x:c r="A383" s="80"/>
      <x:c r="B383" s="80"/>
      <x:c r="C383" s="83"/>
      <x:c r="D383" s="80"/>
      <x:c r="E383" s="80"/>
      <x:c r="F383" s="86"/>
      <x:c r="G383" s="80"/>
      <x:c r="H383" s="95"/>
      <x:c r="I383" s="95"/>
      <x:c r="J383" s="96"/>
      <x:c r="K383" s="97"/>
      <x:c r="L383" s="98"/>
      <x:c r="M383" s="98"/>
      <x:c r="N383" s="98"/>
      <x:c r="O383" s="98"/>
      <x:c r="P383" s="98"/>
      <x:c r="Q383" s="80"/>
      <x:c r="R383" s="80"/>
      <x:c r="S383" s="80"/>
      <x:c r="T383" s="80"/>
      <x:c r="U383" s="80"/>
      <x:c r="V383" s="89" t="str">
        <x:f>IF(A383="","",IF(U383="","",IF(U383="Выигрыш",J383-1,IF(U383="Полувыигрыш",(J383-1)/2,IF(U383="Возврат",0,IF(U383="Полупроигрыш",-0.5,IF(U383="Поражение",-1,"Проверить результат")))))))</x:f>
      </x:c>
      <x:c r="W383" s="80" t="str">
        <x:f>IF(A383="","",IF(U383="","Открыт",IF(ISNUMBER(V383),"Рассчитан","Проверить результат")))</x:f>
      </x:c>
      <x:c r="X383" s="98"/>
      <x:c r="Y383" s="5"/>
      <x:c r="Z383" s="5"/>
      <x:c r="AA383" s="5"/>
      <x:c r="AB383" s="118"/>
      <x:c r="AC383" s="119"/>
      <x:c r="AD383" s="119"/>
      <x:c r="AE383" s="5" t="str">
        <x:f>IF(A383="","",IF(Z383="","Нет ID пары",IF(AND(COUNTIFS($Z$59:$Z$505,Z383,$Y$59:$Y$505,"Оптимальный",$W$59:$W$505,"Рассчитан")=1,COUNTIFS($Z$59:$Z$505,Z383,$Y$59:$Y$505,"Агрессивный",$W$59:$W$505,"Рассчитан")=1),"Да","Нет")))</x:f>
      </x:c>
      <x:c r="AF383" s="5"/>
      <x:c r="AG383" s="5"/>
    </x:row>
    <x:row r="384">
      <x:c r="A384" s="80"/>
      <x:c r="B384" s="80"/>
      <x:c r="C384" s="83"/>
      <x:c r="D384" s="80"/>
      <x:c r="E384" s="80"/>
      <x:c r="F384" s="86"/>
      <x:c r="G384" s="80"/>
      <x:c r="H384" s="95"/>
      <x:c r="I384" s="95"/>
      <x:c r="J384" s="96"/>
      <x:c r="K384" s="97"/>
      <x:c r="L384" s="98"/>
      <x:c r="M384" s="98"/>
      <x:c r="N384" s="98"/>
      <x:c r="O384" s="98"/>
      <x:c r="P384" s="98"/>
      <x:c r="Q384" s="80"/>
      <x:c r="R384" s="80"/>
      <x:c r="S384" s="80"/>
      <x:c r="T384" s="80"/>
      <x:c r="U384" s="80"/>
      <x:c r="V384" s="89" t="str">
        <x:f>IF(A384="","",IF(U384="","",IF(U384="Выигрыш",J384-1,IF(U384="Полувыигрыш",(J384-1)/2,IF(U384="Возврат",0,IF(U384="Полупроигрыш",-0.5,IF(U384="Поражение",-1,"Проверить результат")))))))</x:f>
      </x:c>
      <x:c r="W384" s="80" t="str">
        <x:f>IF(A384="","",IF(U384="","Открыт",IF(ISNUMBER(V384),"Рассчитан","Проверить результат")))</x:f>
      </x:c>
      <x:c r="X384" s="98"/>
      <x:c r="Y384" s="5"/>
      <x:c r="Z384" s="5"/>
      <x:c r="AA384" s="5"/>
      <x:c r="AB384" s="118"/>
      <x:c r="AC384" s="119"/>
      <x:c r="AD384" s="119"/>
      <x:c r="AE384" s="5" t="str">
        <x:f>IF(A384="","",IF(Z384="","Нет ID пары",IF(AND(COUNTIFS($Z$59:$Z$505,Z384,$Y$59:$Y$505,"Оптимальный",$W$59:$W$505,"Рассчитан")=1,COUNTIFS($Z$59:$Z$505,Z384,$Y$59:$Y$505,"Агрессивный",$W$59:$W$505,"Рассчитан")=1),"Да","Нет")))</x:f>
      </x:c>
      <x:c r="AF384" s="5"/>
      <x:c r="AG384" s="5"/>
    </x:row>
    <x:row r="385">
      <x:c r="A385" s="80"/>
      <x:c r="B385" s="80"/>
      <x:c r="C385" s="83"/>
      <x:c r="D385" s="80"/>
      <x:c r="E385" s="80"/>
      <x:c r="F385" s="86"/>
      <x:c r="G385" s="80"/>
      <x:c r="H385" s="95"/>
      <x:c r="I385" s="95"/>
      <x:c r="J385" s="96"/>
      <x:c r="K385" s="97"/>
      <x:c r="L385" s="98"/>
      <x:c r="M385" s="98"/>
      <x:c r="N385" s="98"/>
      <x:c r="O385" s="98"/>
      <x:c r="P385" s="98"/>
      <x:c r="Q385" s="80"/>
      <x:c r="R385" s="80"/>
      <x:c r="S385" s="80"/>
      <x:c r="T385" s="80"/>
      <x:c r="U385" s="80"/>
      <x:c r="V385" s="89" t="str">
        <x:f>IF(A385="","",IF(U385="","",IF(U385="Выигрыш",J385-1,IF(U385="Полувыигрыш",(J385-1)/2,IF(U385="Возврат",0,IF(U385="Полупроигрыш",-0.5,IF(U385="Поражение",-1,"Проверить результат")))))))</x:f>
      </x:c>
      <x:c r="W385" s="80" t="str">
        <x:f>IF(A385="","",IF(U385="","Открыт",IF(ISNUMBER(V385),"Рассчитан","Проверить результат")))</x:f>
      </x:c>
      <x:c r="X385" s="98"/>
      <x:c r="Y385" s="5"/>
      <x:c r="Z385" s="5"/>
      <x:c r="AA385" s="5"/>
      <x:c r="AB385" s="118"/>
      <x:c r="AC385" s="119"/>
      <x:c r="AD385" s="119"/>
      <x:c r="AE385" s="5" t="str">
        <x:f>IF(A385="","",IF(Z385="","Нет ID пары",IF(AND(COUNTIFS($Z$59:$Z$505,Z385,$Y$59:$Y$505,"Оптимальный",$W$59:$W$505,"Рассчитан")=1,COUNTIFS($Z$59:$Z$505,Z385,$Y$59:$Y$505,"Агрессивный",$W$59:$W$505,"Рассчитан")=1),"Да","Нет")))</x:f>
      </x:c>
      <x:c r="AF385" s="5"/>
      <x:c r="AG385" s="5"/>
    </x:row>
    <x:row r="386">
      <x:c r="A386" s="80"/>
      <x:c r="B386" s="80"/>
      <x:c r="C386" s="83"/>
      <x:c r="D386" s="80"/>
      <x:c r="E386" s="80"/>
      <x:c r="F386" s="86"/>
      <x:c r="G386" s="80"/>
      <x:c r="H386" s="95"/>
      <x:c r="I386" s="95"/>
      <x:c r="J386" s="96"/>
      <x:c r="K386" s="97"/>
      <x:c r="L386" s="98"/>
      <x:c r="M386" s="98"/>
      <x:c r="N386" s="98"/>
      <x:c r="O386" s="98"/>
      <x:c r="P386" s="98"/>
      <x:c r="Q386" s="80"/>
      <x:c r="R386" s="80"/>
      <x:c r="S386" s="80"/>
      <x:c r="T386" s="80"/>
      <x:c r="U386" s="80"/>
      <x:c r="V386" s="89" t="str">
        <x:f>IF(A386="","",IF(U386="","",IF(U386="Выигрыш",J386-1,IF(U386="Полувыигрыш",(J386-1)/2,IF(U386="Возврат",0,IF(U386="Полупроигрыш",-0.5,IF(U386="Поражение",-1,"Проверить результат")))))))</x:f>
      </x:c>
      <x:c r="W386" s="80" t="str">
        <x:f>IF(A386="","",IF(U386="","Открыт",IF(ISNUMBER(V386),"Рассчитан","Проверить результат")))</x:f>
      </x:c>
      <x:c r="X386" s="98"/>
      <x:c r="Y386" s="5"/>
      <x:c r="Z386" s="5"/>
      <x:c r="AA386" s="5"/>
      <x:c r="AB386" s="118"/>
      <x:c r="AC386" s="119"/>
      <x:c r="AD386" s="119"/>
      <x:c r="AE386" s="5" t="str">
        <x:f>IF(A386="","",IF(Z386="","Нет ID пары",IF(AND(COUNTIFS($Z$59:$Z$505,Z386,$Y$59:$Y$505,"Оптимальный",$W$59:$W$505,"Рассчитан")=1,COUNTIFS($Z$59:$Z$505,Z386,$Y$59:$Y$505,"Агрессивный",$W$59:$W$505,"Рассчитан")=1),"Да","Нет")))</x:f>
      </x:c>
      <x:c r="AF386" s="5"/>
      <x:c r="AG386" s="5"/>
    </x:row>
    <x:row r="387">
      <x:c r="A387" s="80"/>
      <x:c r="B387" s="80"/>
      <x:c r="C387" s="83"/>
      <x:c r="D387" s="80"/>
      <x:c r="E387" s="80"/>
      <x:c r="F387" s="86"/>
      <x:c r="G387" s="80"/>
      <x:c r="H387" s="95"/>
      <x:c r="I387" s="95"/>
      <x:c r="J387" s="96"/>
      <x:c r="K387" s="97"/>
      <x:c r="L387" s="98"/>
      <x:c r="M387" s="98"/>
      <x:c r="N387" s="98"/>
      <x:c r="O387" s="98"/>
      <x:c r="P387" s="98"/>
      <x:c r="Q387" s="80"/>
      <x:c r="R387" s="80"/>
      <x:c r="S387" s="80"/>
      <x:c r="T387" s="80"/>
      <x:c r="U387" s="80"/>
      <x:c r="V387" s="89" t="str">
        <x:f>IF(A387="","",IF(U387="","",IF(U387="Выигрыш",J387-1,IF(U387="Полувыигрыш",(J387-1)/2,IF(U387="Возврат",0,IF(U387="Полупроигрыш",-0.5,IF(U387="Поражение",-1,"Проверить результат")))))))</x:f>
      </x:c>
      <x:c r="W387" s="80" t="str">
        <x:f>IF(A387="","",IF(U387="","Открыт",IF(ISNUMBER(V387),"Рассчитан","Проверить результат")))</x:f>
      </x:c>
      <x:c r="X387" s="98"/>
      <x:c r="Y387" s="5"/>
      <x:c r="Z387" s="5"/>
      <x:c r="AA387" s="5"/>
      <x:c r="AB387" s="118"/>
      <x:c r="AC387" s="119"/>
      <x:c r="AD387" s="119"/>
      <x:c r="AE387" s="5" t="str">
        <x:f>IF(A387="","",IF(Z387="","Нет ID пары",IF(AND(COUNTIFS($Z$59:$Z$505,Z387,$Y$59:$Y$505,"Оптимальный",$W$59:$W$505,"Рассчитан")=1,COUNTIFS($Z$59:$Z$505,Z387,$Y$59:$Y$505,"Агрессивный",$W$59:$W$505,"Рассчитан")=1),"Да","Нет")))</x:f>
      </x:c>
      <x:c r="AF387" s="5"/>
      <x:c r="AG387" s="5"/>
    </x:row>
    <x:row r="388">
      <x:c r="A388" s="80"/>
      <x:c r="B388" s="80"/>
      <x:c r="C388" s="83"/>
      <x:c r="D388" s="80"/>
      <x:c r="E388" s="80"/>
      <x:c r="F388" s="86"/>
      <x:c r="G388" s="80"/>
      <x:c r="H388" s="95"/>
      <x:c r="I388" s="95"/>
      <x:c r="J388" s="96"/>
      <x:c r="K388" s="97"/>
      <x:c r="L388" s="98"/>
      <x:c r="M388" s="98"/>
      <x:c r="N388" s="98"/>
      <x:c r="O388" s="98"/>
      <x:c r="P388" s="98"/>
      <x:c r="Q388" s="80"/>
      <x:c r="R388" s="80"/>
      <x:c r="S388" s="80"/>
      <x:c r="T388" s="80"/>
      <x:c r="U388" s="80"/>
      <x:c r="V388" s="89" t="str">
        <x:f>IF(A388="","",IF(U388="","",IF(U388="Выигрыш",J388-1,IF(U388="Полувыигрыш",(J388-1)/2,IF(U388="Возврат",0,IF(U388="Полупроигрыш",-0.5,IF(U388="Поражение",-1,"Проверить результат")))))))</x:f>
      </x:c>
      <x:c r="W388" s="80" t="str">
        <x:f>IF(A388="","",IF(U388="","Открыт",IF(ISNUMBER(V388),"Рассчитан","Проверить результат")))</x:f>
      </x:c>
      <x:c r="X388" s="98"/>
      <x:c r="Y388" s="5"/>
      <x:c r="Z388" s="5"/>
      <x:c r="AA388" s="5"/>
      <x:c r="AB388" s="118"/>
      <x:c r="AC388" s="119"/>
      <x:c r="AD388" s="119"/>
      <x:c r="AE388" s="5" t="str">
        <x:f>IF(A388="","",IF(Z388="","Нет ID пары",IF(AND(COUNTIFS($Z$59:$Z$505,Z388,$Y$59:$Y$505,"Оптимальный",$W$59:$W$505,"Рассчитан")=1,COUNTIFS($Z$59:$Z$505,Z388,$Y$59:$Y$505,"Агрессивный",$W$59:$W$505,"Рассчитан")=1),"Да","Нет")))</x:f>
      </x:c>
      <x:c r="AF388" s="5"/>
      <x:c r="AG388" s="5"/>
    </x:row>
    <x:row r="389">
      <x:c r="A389" s="80"/>
      <x:c r="B389" s="80"/>
      <x:c r="C389" s="83"/>
      <x:c r="D389" s="80"/>
      <x:c r="E389" s="80"/>
      <x:c r="F389" s="86"/>
      <x:c r="G389" s="80"/>
      <x:c r="H389" s="95"/>
      <x:c r="I389" s="95"/>
      <x:c r="J389" s="96"/>
      <x:c r="K389" s="97"/>
      <x:c r="L389" s="98"/>
      <x:c r="M389" s="98"/>
      <x:c r="N389" s="98"/>
      <x:c r="O389" s="98"/>
      <x:c r="P389" s="98"/>
      <x:c r="Q389" s="80"/>
      <x:c r="R389" s="80"/>
      <x:c r="S389" s="80"/>
      <x:c r="T389" s="80"/>
      <x:c r="U389" s="80"/>
      <x:c r="V389" s="89" t="str">
        <x:f>IF(A389="","",IF(U389="","",IF(U389="Выигрыш",J389-1,IF(U389="Полувыигрыш",(J389-1)/2,IF(U389="Возврат",0,IF(U389="Полупроигрыш",-0.5,IF(U389="Поражение",-1,"Проверить результат")))))))</x:f>
      </x:c>
      <x:c r="W389" s="80" t="str">
        <x:f>IF(A389="","",IF(U389="","Открыт",IF(ISNUMBER(V389),"Рассчитан","Проверить результат")))</x:f>
      </x:c>
      <x:c r="X389" s="98"/>
      <x:c r="Y389" s="5"/>
      <x:c r="Z389" s="5"/>
      <x:c r="AA389" s="5"/>
      <x:c r="AB389" s="118"/>
      <x:c r="AC389" s="119"/>
      <x:c r="AD389" s="119"/>
      <x:c r="AE389" s="5" t="str">
        <x:f>IF(A389="","",IF(Z389="","Нет ID пары",IF(AND(COUNTIFS($Z$59:$Z$505,Z389,$Y$59:$Y$505,"Оптимальный",$W$59:$W$505,"Рассчитан")=1,COUNTIFS($Z$59:$Z$505,Z389,$Y$59:$Y$505,"Агрессивный",$W$59:$W$505,"Рассчитан")=1),"Да","Нет")))</x:f>
      </x:c>
      <x:c r="AF389" s="5"/>
      <x:c r="AG389" s="5"/>
    </x:row>
    <x:row r="390">
      <x:c r="A390" s="80"/>
      <x:c r="B390" s="80"/>
      <x:c r="C390" s="83"/>
      <x:c r="D390" s="80"/>
      <x:c r="E390" s="80"/>
      <x:c r="F390" s="86"/>
      <x:c r="G390" s="80"/>
      <x:c r="H390" s="95"/>
      <x:c r="I390" s="95"/>
      <x:c r="J390" s="96"/>
      <x:c r="K390" s="97"/>
      <x:c r="L390" s="98"/>
      <x:c r="M390" s="98"/>
      <x:c r="N390" s="98"/>
      <x:c r="O390" s="98"/>
      <x:c r="P390" s="98"/>
      <x:c r="Q390" s="80"/>
      <x:c r="R390" s="80"/>
      <x:c r="S390" s="80"/>
      <x:c r="T390" s="80"/>
      <x:c r="U390" s="80"/>
      <x:c r="V390" s="89" t="str">
        <x:f>IF(A390="","",IF(U390="","",IF(U390="Выигрыш",J390-1,IF(U390="Полувыигрыш",(J390-1)/2,IF(U390="Возврат",0,IF(U390="Полупроигрыш",-0.5,IF(U390="Поражение",-1,"Проверить результат")))))))</x:f>
      </x:c>
      <x:c r="W390" s="80" t="str">
        <x:f>IF(A390="","",IF(U390="","Открыт",IF(ISNUMBER(V390),"Рассчитан","Проверить результат")))</x:f>
      </x:c>
      <x:c r="X390" s="98"/>
      <x:c r="Y390" s="5"/>
      <x:c r="Z390" s="5"/>
      <x:c r="AA390" s="5"/>
      <x:c r="AB390" s="118"/>
      <x:c r="AC390" s="119"/>
      <x:c r="AD390" s="119"/>
      <x:c r="AE390" s="5" t="str">
        <x:f>IF(A390="","",IF(Z390="","Нет ID пары",IF(AND(COUNTIFS($Z$59:$Z$505,Z390,$Y$59:$Y$505,"Оптимальный",$W$59:$W$505,"Рассчитан")=1,COUNTIFS($Z$59:$Z$505,Z390,$Y$59:$Y$505,"Агрессивный",$W$59:$W$505,"Рассчитан")=1),"Да","Нет")))</x:f>
      </x:c>
      <x:c r="AF390" s="5"/>
      <x:c r="AG390" s="5"/>
    </x:row>
    <x:row r="391">
      <x:c r="A391" s="80"/>
      <x:c r="B391" s="80"/>
      <x:c r="C391" s="83"/>
      <x:c r="D391" s="80"/>
      <x:c r="E391" s="80"/>
      <x:c r="F391" s="86"/>
      <x:c r="G391" s="80"/>
      <x:c r="H391" s="95"/>
      <x:c r="I391" s="95"/>
      <x:c r="J391" s="96"/>
      <x:c r="K391" s="97"/>
      <x:c r="L391" s="98"/>
      <x:c r="M391" s="98"/>
      <x:c r="N391" s="98"/>
      <x:c r="O391" s="98"/>
      <x:c r="P391" s="98"/>
      <x:c r="Q391" s="80"/>
      <x:c r="R391" s="80"/>
      <x:c r="S391" s="80"/>
      <x:c r="T391" s="80"/>
      <x:c r="U391" s="80"/>
      <x:c r="V391" s="89" t="str">
        <x:f>IF(A391="","",IF(U391="","",IF(U391="Выигрыш",J391-1,IF(U391="Полувыигрыш",(J391-1)/2,IF(U391="Возврат",0,IF(U391="Полупроигрыш",-0.5,IF(U391="Поражение",-1,"Проверить результат")))))))</x:f>
      </x:c>
      <x:c r="W391" s="80" t="str">
        <x:f>IF(A391="","",IF(U391="","Открыт",IF(ISNUMBER(V391),"Рассчитан","Проверить результат")))</x:f>
      </x:c>
      <x:c r="X391" s="98"/>
      <x:c r="Y391" s="5"/>
      <x:c r="Z391" s="5"/>
      <x:c r="AA391" s="5"/>
      <x:c r="AB391" s="118"/>
      <x:c r="AC391" s="119"/>
      <x:c r="AD391" s="119"/>
      <x:c r="AE391" s="5" t="str">
        <x:f>IF(A391="","",IF(Z391="","Нет ID пары",IF(AND(COUNTIFS($Z$59:$Z$505,Z391,$Y$59:$Y$505,"Оптимальный",$W$59:$W$505,"Рассчитан")=1,COUNTIFS($Z$59:$Z$505,Z391,$Y$59:$Y$505,"Агрессивный",$W$59:$W$505,"Рассчитан")=1),"Да","Нет")))</x:f>
      </x:c>
      <x:c r="AF391" s="5"/>
      <x:c r="AG391" s="5"/>
    </x:row>
    <x:row r="392">
      <x:c r="A392" s="80"/>
      <x:c r="B392" s="80"/>
      <x:c r="C392" s="83"/>
      <x:c r="D392" s="80"/>
      <x:c r="E392" s="80"/>
      <x:c r="F392" s="86"/>
      <x:c r="G392" s="80"/>
      <x:c r="H392" s="95"/>
      <x:c r="I392" s="95"/>
      <x:c r="J392" s="96"/>
      <x:c r="K392" s="97"/>
      <x:c r="L392" s="98"/>
      <x:c r="M392" s="98"/>
      <x:c r="N392" s="98"/>
      <x:c r="O392" s="98"/>
      <x:c r="P392" s="98"/>
      <x:c r="Q392" s="80"/>
      <x:c r="R392" s="80"/>
      <x:c r="S392" s="80"/>
      <x:c r="T392" s="80"/>
      <x:c r="U392" s="80"/>
      <x:c r="V392" s="89" t="str">
        <x:f>IF(A392="","",IF(U392="","",IF(U392="Выигрыш",J392-1,IF(U392="Полувыигрыш",(J392-1)/2,IF(U392="Возврат",0,IF(U392="Полупроигрыш",-0.5,IF(U392="Поражение",-1,"Проверить результат")))))))</x:f>
      </x:c>
      <x:c r="W392" s="80" t="str">
        <x:f>IF(A392="","",IF(U392="","Открыт",IF(ISNUMBER(V392),"Рассчитан","Проверить результат")))</x:f>
      </x:c>
      <x:c r="X392" s="98"/>
      <x:c r="Y392" s="5"/>
      <x:c r="Z392" s="5"/>
      <x:c r="AA392" s="5"/>
      <x:c r="AB392" s="118"/>
      <x:c r="AC392" s="119"/>
      <x:c r="AD392" s="119"/>
      <x:c r="AE392" s="5" t="str">
        <x:f>IF(A392="","",IF(Z392="","Нет ID пары",IF(AND(COUNTIFS($Z$59:$Z$505,Z392,$Y$59:$Y$505,"Оптимальный",$W$59:$W$505,"Рассчитан")=1,COUNTIFS($Z$59:$Z$505,Z392,$Y$59:$Y$505,"Агрессивный",$W$59:$W$505,"Рассчитан")=1),"Да","Нет")))</x:f>
      </x:c>
      <x:c r="AF392" s="5"/>
      <x:c r="AG392" s="5"/>
    </x:row>
    <x:row r="393">
      <x:c r="A393" s="80"/>
      <x:c r="B393" s="80"/>
      <x:c r="C393" s="83"/>
      <x:c r="D393" s="80"/>
      <x:c r="E393" s="80"/>
      <x:c r="F393" s="86"/>
      <x:c r="G393" s="80"/>
      <x:c r="H393" s="95"/>
      <x:c r="I393" s="95"/>
      <x:c r="J393" s="96"/>
      <x:c r="K393" s="97"/>
      <x:c r="L393" s="98"/>
      <x:c r="M393" s="98"/>
      <x:c r="N393" s="98"/>
      <x:c r="O393" s="98"/>
      <x:c r="P393" s="98"/>
      <x:c r="Q393" s="80"/>
      <x:c r="R393" s="80"/>
      <x:c r="S393" s="80"/>
      <x:c r="T393" s="80"/>
      <x:c r="U393" s="80"/>
      <x:c r="V393" s="89" t="str">
        <x:f>IF(A393="","",IF(U393="","",IF(U393="Выигрыш",J393-1,IF(U393="Полувыигрыш",(J393-1)/2,IF(U393="Возврат",0,IF(U393="Полупроигрыш",-0.5,IF(U393="Поражение",-1,"Проверить результат")))))))</x:f>
      </x:c>
      <x:c r="W393" s="80" t="str">
        <x:f>IF(A393="","",IF(U393="","Открыт",IF(ISNUMBER(V393),"Рассчитан","Проверить результат")))</x:f>
      </x:c>
      <x:c r="X393" s="98"/>
      <x:c r="Y393" s="5"/>
      <x:c r="Z393" s="5"/>
      <x:c r="AA393" s="5"/>
      <x:c r="AB393" s="118"/>
      <x:c r="AC393" s="119"/>
      <x:c r="AD393" s="119"/>
      <x:c r="AE393" s="5" t="str">
        <x:f>IF(A393="","",IF(Z393="","Нет ID пары",IF(AND(COUNTIFS($Z$59:$Z$505,Z393,$Y$59:$Y$505,"Оптимальный",$W$59:$W$505,"Рассчитан")=1,COUNTIFS($Z$59:$Z$505,Z393,$Y$59:$Y$505,"Агрессивный",$W$59:$W$505,"Рассчитан")=1),"Да","Нет")))</x:f>
      </x:c>
      <x:c r="AF393" s="5"/>
      <x:c r="AG393" s="5"/>
    </x:row>
    <x:row r="394">
      <x:c r="A394" s="80"/>
      <x:c r="B394" s="80"/>
      <x:c r="C394" s="83"/>
      <x:c r="D394" s="80"/>
      <x:c r="E394" s="80"/>
      <x:c r="F394" s="86"/>
      <x:c r="G394" s="80"/>
      <x:c r="H394" s="95"/>
      <x:c r="I394" s="95"/>
      <x:c r="J394" s="96"/>
      <x:c r="K394" s="97"/>
      <x:c r="L394" s="98"/>
      <x:c r="M394" s="98"/>
      <x:c r="N394" s="98"/>
      <x:c r="O394" s="98"/>
      <x:c r="P394" s="98"/>
      <x:c r="Q394" s="80"/>
      <x:c r="R394" s="80"/>
      <x:c r="S394" s="80"/>
      <x:c r="T394" s="80"/>
      <x:c r="U394" s="80"/>
      <x:c r="V394" s="89" t="str">
        <x:f>IF(A394="","",IF(U394="","",IF(U394="Выигрыш",J394-1,IF(U394="Полувыигрыш",(J394-1)/2,IF(U394="Возврат",0,IF(U394="Полупроигрыш",-0.5,IF(U394="Поражение",-1,"Проверить результат")))))))</x:f>
      </x:c>
      <x:c r="W394" s="80" t="str">
        <x:f>IF(A394="","",IF(U394="","Открыт",IF(ISNUMBER(V394),"Рассчитан","Проверить результат")))</x:f>
      </x:c>
      <x:c r="X394" s="98"/>
      <x:c r="Y394" s="5"/>
      <x:c r="Z394" s="5"/>
      <x:c r="AA394" s="5"/>
      <x:c r="AB394" s="118"/>
      <x:c r="AC394" s="119"/>
      <x:c r="AD394" s="119"/>
      <x:c r="AE394" s="5" t="str">
        <x:f>IF(A394="","",IF(Z394="","Нет ID пары",IF(AND(COUNTIFS($Z$59:$Z$505,Z394,$Y$59:$Y$505,"Оптимальный",$W$59:$W$505,"Рассчитан")=1,COUNTIFS($Z$59:$Z$505,Z394,$Y$59:$Y$505,"Агрессивный",$W$59:$W$505,"Рассчитан")=1),"Да","Нет")))</x:f>
      </x:c>
      <x:c r="AF394" s="5"/>
      <x:c r="AG394" s="5"/>
    </x:row>
    <x:row r="395">
      <x:c r="A395" s="80"/>
      <x:c r="B395" s="80"/>
      <x:c r="C395" s="83"/>
      <x:c r="D395" s="80"/>
      <x:c r="E395" s="80"/>
      <x:c r="F395" s="86"/>
      <x:c r="G395" s="80"/>
      <x:c r="H395" s="95"/>
      <x:c r="I395" s="95"/>
      <x:c r="J395" s="96"/>
      <x:c r="K395" s="97"/>
      <x:c r="L395" s="98"/>
      <x:c r="M395" s="98"/>
      <x:c r="N395" s="98"/>
      <x:c r="O395" s="98"/>
      <x:c r="P395" s="98"/>
      <x:c r="Q395" s="80"/>
      <x:c r="R395" s="80"/>
      <x:c r="S395" s="80"/>
      <x:c r="T395" s="80"/>
      <x:c r="U395" s="80"/>
      <x:c r="V395" s="89" t="str">
        <x:f>IF(A395="","",IF(U395="","",IF(U395="Выигрыш",J395-1,IF(U395="Полувыигрыш",(J395-1)/2,IF(U395="Возврат",0,IF(U395="Полупроигрыш",-0.5,IF(U395="Поражение",-1,"Проверить результат")))))))</x:f>
      </x:c>
      <x:c r="W395" s="80" t="str">
        <x:f>IF(A395="","",IF(U395="","Открыт",IF(ISNUMBER(V395),"Рассчитан","Проверить результат")))</x:f>
      </x:c>
      <x:c r="X395" s="98"/>
      <x:c r="Y395" s="5"/>
      <x:c r="Z395" s="5"/>
      <x:c r="AA395" s="5"/>
      <x:c r="AB395" s="118"/>
      <x:c r="AC395" s="119"/>
      <x:c r="AD395" s="119"/>
      <x:c r="AE395" s="5" t="str">
        <x:f>IF(A395="","",IF(Z395="","Нет ID пары",IF(AND(COUNTIFS($Z$59:$Z$505,Z395,$Y$59:$Y$505,"Оптимальный",$W$59:$W$505,"Рассчитан")=1,COUNTIFS($Z$59:$Z$505,Z395,$Y$59:$Y$505,"Агрессивный",$W$59:$W$505,"Рассчитан")=1),"Да","Нет")))</x:f>
      </x:c>
      <x:c r="AF395" s="5"/>
      <x:c r="AG395" s="5"/>
    </x:row>
    <x:row r="396">
      <x:c r="A396" s="80"/>
      <x:c r="B396" s="80"/>
      <x:c r="C396" s="83"/>
      <x:c r="D396" s="80"/>
      <x:c r="E396" s="80"/>
      <x:c r="F396" s="86"/>
      <x:c r="G396" s="80"/>
      <x:c r="H396" s="95"/>
      <x:c r="I396" s="95"/>
      <x:c r="J396" s="96"/>
      <x:c r="K396" s="97"/>
      <x:c r="L396" s="98"/>
      <x:c r="M396" s="98"/>
      <x:c r="N396" s="98"/>
      <x:c r="O396" s="98"/>
      <x:c r="P396" s="98"/>
      <x:c r="Q396" s="80"/>
      <x:c r="R396" s="80"/>
      <x:c r="S396" s="80"/>
      <x:c r="T396" s="80"/>
      <x:c r="U396" s="80"/>
      <x:c r="V396" s="89" t="str">
        <x:f>IF(A396="","",IF(U396="","",IF(U396="Выигрыш",J396-1,IF(U396="Полувыигрыш",(J396-1)/2,IF(U396="Возврат",0,IF(U396="Полупроигрыш",-0.5,IF(U396="Поражение",-1,"Проверить результат")))))))</x:f>
      </x:c>
      <x:c r="W396" s="80" t="str">
        <x:f>IF(A396="","",IF(U396="","Открыт",IF(ISNUMBER(V396),"Рассчитан","Проверить результат")))</x:f>
      </x:c>
      <x:c r="X396" s="98"/>
      <x:c r="Y396" s="5"/>
      <x:c r="Z396" s="5"/>
      <x:c r="AA396" s="5"/>
      <x:c r="AB396" s="118"/>
      <x:c r="AC396" s="119"/>
      <x:c r="AD396" s="119"/>
      <x:c r="AE396" s="5" t="str">
        <x:f>IF(A396="","",IF(Z396="","Нет ID пары",IF(AND(COUNTIFS($Z$59:$Z$505,Z396,$Y$59:$Y$505,"Оптимальный",$W$59:$W$505,"Рассчитан")=1,COUNTIFS($Z$59:$Z$505,Z396,$Y$59:$Y$505,"Агрессивный",$W$59:$W$505,"Рассчитан")=1),"Да","Нет")))</x:f>
      </x:c>
      <x:c r="AF396" s="5"/>
      <x:c r="AG396" s="5"/>
    </x:row>
    <x:row r="397">
      <x:c r="A397" s="80"/>
      <x:c r="B397" s="80"/>
      <x:c r="C397" s="83"/>
      <x:c r="D397" s="80"/>
      <x:c r="E397" s="80"/>
      <x:c r="F397" s="86"/>
      <x:c r="G397" s="80"/>
      <x:c r="H397" s="95"/>
      <x:c r="I397" s="95"/>
      <x:c r="J397" s="96"/>
      <x:c r="K397" s="97"/>
      <x:c r="L397" s="98"/>
      <x:c r="M397" s="98"/>
      <x:c r="N397" s="98"/>
      <x:c r="O397" s="98"/>
      <x:c r="P397" s="98"/>
      <x:c r="Q397" s="80"/>
      <x:c r="R397" s="80"/>
      <x:c r="S397" s="80"/>
      <x:c r="T397" s="80"/>
      <x:c r="U397" s="80"/>
      <x:c r="V397" s="89" t="str">
        <x:f>IF(A397="","",IF(U397="","",IF(U397="Выигрыш",J397-1,IF(U397="Полувыигрыш",(J397-1)/2,IF(U397="Возврат",0,IF(U397="Полупроигрыш",-0.5,IF(U397="Поражение",-1,"Проверить результат")))))))</x:f>
      </x:c>
      <x:c r="W397" s="80" t="str">
        <x:f>IF(A397="","",IF(U397="","Открыт",IF(ISNUMBER(V397),"Рассчитан","Проверить результат")))</x:f>
      </x:c>
      <x:c r="X397" s="98"/>
      <x:c r="Y397" s="5"/>
      <x:c r="Z397" s="5"/>
      <x:c r="AA397" s="5"/>
      <x:c r="AB397" s="118"/>
      <x:c r="AC397" s="119"/>
      <x:c r="AD397" s="119"/>
      <x:c r="AE397" s="5" t="str">
        <x:f>IF(A397="","",IF(Z397="","Нет ID пары",IF(AND(COUNTIFS($Z$59:$Z$505,Z397,$Y$59:$Y$505,"Оптимальный",$W$59:$W$505,"Рассчитан")=1,COUNTIFS($Z$59:$Z$505,Z397,$Y$59:$Y$505,"Агрессивный",$W$59:$W$505,"Рассчитан")=1),"Да","Нет")))</x:f>
      </x:c>
      <x:c r="AF397" s="5"/>
      <x:c r="AG397" s="5"/>
    </x:row>
    <x:row r="398">
      <x:c r="A398" s="80"/>
      <x:c r="B398" s="80"/>
      <x:c r="C398" s="83"/>
      <x:c r="D398" s="80"/>
      <x:c r="E398" s="80"/>
      <x:c r="F398" s="86"/>
      <x:c r="G398" s="80"/>
      <x:c r="H398" s="95"/>
      <x:c r="I398" s="95"/>
      <x:c r="J398" s="96"/>
      <x:c r="K398" s="97"/>
      <x:c r="L398" s="98"/>
      <x:c r="M398" s="98"/>
      <x:c r="N398" s="98"/>
      <x:c r="O398" s="98"/>
      <x:c r="P398" s="98"/>
      <x:c r="Q398" s="80"/>
      <x:c r="R398" s="80"/>
      <x:c r="S398" s="80"/>
      <x:c r="T398" s="80"/>
      <x:c r="U398" s="80"/>
      <x:c r="V398" s="89" t="str">
        <x:f>IF(A398="","",IF(U398="","",IF(U398="Выигрыш",J398-1,IF(U398="Полувыигрыш",(J398-1)/2,IF(U398="Возврат",0,IF(U398="Полупроигрыш",-0.5,IF(U398="Поражение",-1,"Проверить результат")))))))</x:f>
      </x:c>
      <x:c r="W398" s="80" t="str">
        <x:f>IF(A398="","",IF(U398="","Открыт",IF(ISNUMBER(V398),"Рассчитан","Проверить результат")))</x:f>
      </x:c>
      <x:c r="X398" s="98"/>
      <x:c r="Y398" s="5"/>
      <x:c r="Z398" s="5"/>
      <x:c r="AA398" s="5"/>
      <x:c r="AB398" s="118"/>
      <x:c r="AC398" s="119"/>
      <x:c r="AD398" s="119"/>
      <x:c r="AE398" s="5" t="str">
        <x:f>IF(A398="","",IF(Z398="","Нет ID пары",IF(AND(COUNTIFS($Z$59:$Z$505,Z398,$Y$59:$Y$505,"Оптимальный",$W$59:$W$505,"Рассчитан")=1,COUNTIFS($Z$59:$Z$505,Z398,$Y$59:$Y$505,"Агрессивный",$W$59:$W$505,"Рассчитан")=1),"Да","Нет")))</x:f>
      </x:c>
      <x:c r="AF398" s="5"/>
      <x:c r="AG398" s="5"/>
    </x:row>
    <x:row r="399">
      <x:c r="A399" s="80"/>
      <x:c r="B399" s="80"/>
      <x:c r="C399" s="83"/>
      <x:c r="D399" s="80"/>
      <x:c r="E399" s="80"/>
      <x:c r="F399" s="86"/>
      <x:c r="G399" s="80"/>
      <x:c r="H399" s="95"/>
      <x:c r="I399" s="95"/>
      <x:c r="J399" s="96"/>
      <x:c r="K399" s="97"/>
      <x:c r="L399" s="98"/>
      <x:c r="M399" s="98"/>
      <x:c r="N399" s="98"/>
      <x:c r="O399" s="98"/>
      <x:c r="P399" s="98"/>
      <x:c r="Q399" s="80"/>
      <x:c r="R399" s="80"/>
      <x:c r="S399" s="80"/>
      <x:c r="T399" s="80"/>
      <x:c r="U399" s="80"/>
      <x:c r="V399" s="89" t="str">
        <x:f>IF(A399="","",IF(U399="","",IF(U399="Выигрыш",J399-1,IF(U399="Полувыигрыш",(J399-1)/2,IF(U399="Возврат",0,IF(U399="Полупроигрыш",-0.5,IF(U399="Поражение",-1,"Проверить результат")))))))</x:f>
      </x:c>
      <x:c r="W399" s="80" t="str">
        <x:f>IF(A399="","",IF(U399="","Открыт",IF(ISNUMBER(V399),"Рассчитан","Проверить результат")))</x:f>
      </x:c>
      <x:c r="X399" s="98"/>
      <x:c r="Y399" s="5"/>
      <x:c r="Z399" s="5"/>
      <x:c r="AA399" s="5"/>
      <x:c r="AB399" s="118"/>
      <x:c r="AC399" s="119"/>
      <x:c r="AD399" s="119"/>
      <x:c r="AE399" s="5" t="str">
        <x:f>IF(A399="","",IF(Z399="","Нет ID пары",IF(AND(COUNTIFS($Z$59:$Z$505,Z399,$Y$59:$Y$505,"Оптимальный",$W$59:$W$505,"Рассчитан")=1,COUNTIFS($Z$59:$Z$505,Z399,$Y$59:$Y$505,"Агрессивный",$W$59:$W$505,"Рассчитан")=1),"Да","Нет")))</x:f>
      </x:c>
      <x:c r="AF399" s="5"/>
      <x:c r="AG399" s="5"/>
    </x:row>
    <x:row r="400">
      <x:c r="A400" s="80"/>
      <x:c r="B400" s="80"/>
      <x:c r="C400" s="83"/>
      <x:c r="D400" s="80"/>
      <x:c r="E400" s="80"/>
      <x:c r="F400" s="86"/>
      <x:c r="G400" s="80"/>
      <x:c r="H400" s="95"/>
      <x:c r="I400" s="95"/>
      <x:c r="J400" s="96"/>
      <x:c r="K400" s="97"/>
      <x:c r="L400" s="98"/>
      <x:c r="M400" s="98"/>
      <x:c r="N400" s="98"/>
      <x:c r="O400" s="98"/>
      <x:c r="P400" s="98"/>
      <x:c r="Q400" s="80"/>
      <x:c r="R400" s="80"/>
      <x:c r="S400" s="80"/>
      <x:c r="T400" s="80"/>
      <x:c r="U400" s="80"/>
      <x:c r="V400" s="89" t="str">
        <x:f>IF(A400="","",IF(U400="","",IF(U400="Выигрыш",J400-1,IF(U400="Полувыигрыш",(J400-1)/2,IF(U400="Возврат",0,IF(U400="Полупроигрыш",-0.5,IF(U400="Поражение",-1,"Проверить результат")))))))</x:f>
      </x:c>
      <x:c r="W400" s="80" t="str">
        <x:f>IF(A400="","",IF(U400="","Открыт",IF(ISNUMBER(V400),"Рассчитан","Проверить результат")))</x:f>
      </x:c>
      <x:c r="X400" s="98"/>
      <x:c r="Y400" s="5"/>
      <x:c r="Z400" s="5"/>
      <x:c r="AA400" s="5"/>
      <x:c r="AB400" s="118"/>
      <x:c r="AC400" s="119"/>
      <x:c r="AD400" s="119"/>
      <x:c r="AE400" s="5" t="str">
        <x:f>IF(A400="","",IF(Z400="","Нет ID пары",IF(AND(COUNTIFS($Z$59:$Z$505,Z400,$Y$59:$Y$505,"Оптимальный",$W$59:$W$505,"Рассчитан")=1,COUNTIFS($Z$59:$Z$505,Z400,$Y$59:$Y$505,"Агрессивный",$W$59:$W$505,"Рассчитан")=1),"Да","Нет")))</x:f>
      </x:c>
      <x:c r="AF400" s="5"/>
      <x:c r="AG400" s="5"/>
    </x:row>
    <x:row r="401">
      <x:c r="A401" s="80"/>
      <x:c r="B401" s="80"/>
      <x:c r="C401" s="83"/>
      <x:c r="D401" s="80"/>
      <x:c r="E401" s="80"/>
      <x:c r="F401" s="86"/>
      <x:c r="G401" s="80"/>
      <x:c r="H401" s="95"/>
      <x:c r="I401" s="95"/>
      <x:c r="J401" s="96"/>
      <x:c r="K401" s="97"/>
      <x:c r="L401" s="98"/>
      <x:c r="M401" s="98"/>
      <x:c r="N401" s="98"/>
      <x:c r="O401" s="98"/>
      <x:c r="P401" s="98"/>
      <x:c r="Q401" s="80"/>
      <x:c r="R401" s="80"/>
      <x:c r="S401" s="80"/>
      <x:c r="T401" s="80"/>
      <x:c r="U401" s="80"/>
      <x:c r="V401" s="89" t="str">
        <x:f>IF(A401="","",IF(U401="","",IF(U401="Выигрыш",J401-1,IF(U401="Полувыигрыш",(J401-1)/2,IF(U401="Возврат",0,IF(U401="Полупроигрыш",-0.5,IF(U401="Поражение",-1,"Проверить результат")))))))</x:f>
      </x:c>
      <x:c r="W401" s="80" t="str">
        <x:f>IF(A401="","",IF(U401="","Открыт",IF(ISNUMBER(V401),"Рассчитан","Проверить результат")))</x:f>
      </x:c>
      <x:c r="X401" s="98"/>
      <x:c r="Y401" s="5"/>
      <x:c r="Z401" s="5"/>
      <x:c r="AA401" s="5"/>
      <x:c r="AB401" s="118"/>
      <x:c r="AC401" s="119"/>
      <x:c r="AD401" s="119"/>
      <x:c r="AE401" s="5" t="str">
        <x:f>IF(A401="","",IF(Z401="","Нет ID пары",IF(AND(COUNTIFS($Z$59:$Z$505,Z401,$Y$59:$Y$505,"Оптимальный",$W$59:$W$505,"Рассчитан")=1,COUNTIFS($Z$59:$Z$505,Z401,$Y$59:$Y$505,"Агрессивный",$W$59:$W$505,"Рассчитан")=1),"Да","Нет")))</x:f>
      </x:c>
      <x:c r="AF401" s="5"/>
      <x:c r="AG401" s="5"/>
    </x:row>
    <x:row r="402">
      <x:c r="A402" s="80"/>
      <x:c r="B402" s="80"/>
      <x:c r="C402" s="83"/>
      <x:c r="D402" s="80"/>
      <x:c r="E402" s="80"/>
      <x:c r="F402" s="86"/>
      <x:c r="G402" s="80"/>
      <x:c r="H402" s="95"/>
      <x:c r="I402" s="95"/>
      <x:c r="J402" s="96"/>
      <x:c r="K402" s="97"/>
      <x:c r="L402" s="98"/>
      <x:c r="M402" s="98"/>
      <x:c r="N402" s="98"/>
      <x:c r="O402" s="98"/>
      <x:c r="P402" s="98"/>
      <x:c r="Q402" s="80"/>
      <x:c r="R402" s="80"/>
      <x:c r="S402" s="80"/>
      <x:c r="T402" s="80"/>
      <x:c r="U402" s="80"/>
      <x:c r="V402" s="89" t="str">
        <x:f>IF(A402="","",IF(U402="","",IF(U402="Выигрыш",J402-1,IF(U402="Полувыигрыш",(J402-1)/2,IF(U402="Возврат",0,IF(U402="Полупроигрыш",-0.5,IF(U402="Поражение",-1,"Проверить результат")))))))</x:f>
      </x:c>
      <x:c r="W402" s="80" t="str">
        <x:f>IF(A402="","",IF(U402="","Открыт",IF(ISNUMBER(V402),"Рассчитан","Проверить результат")))</x:f>
      </x:c>
      <x:c r="X402" s="98"/>
      <x:c r="Y402" s="5"/>
      <x:c r="Z402" s="5"/>
      <x:c r="AA402" s="5"/>
      <x:c r="AB402" s="118"/>
      <x:c r="AC402" s="119"/>
      <x:c r="AD402" s="119"/>
      <x:c r="AE402" s="5" t="str">
        <x:f>IF(A402="","",IF(Z402="","Нет ID пары",IF(AND(COUNTIFS($Z$59:$Z$505,Z402,$Y$59:$Y$505,"Оптимальный",$W$59:$W$505,"Рассчитан")=1,COUNTIFS($Z$59:$Z$505,Z402,$Y$59:$Y$505,"Агрессивный",$W$59:$W$505,"Рассчитан")=1),"Да","Нет")))</x:f>
      </x:c>
      <x:c r="AF402" s="5"/>
      <x:c r="AG402" s="5"/>
    </x:row>
    <x:row r="403">
      <x:c r="A403" s="80"/>
      <x:c r="B403" s="80"/>
      <x:c r="C403" s="83"/>
      <x:c r="D403" s="80"/>
      <x:c r="E403" s="80"/>
      <x:c r="F403" s="86"/>
      <x:c r="G403" s="80"/>
      <x:c r="H403" s="95"/>
      <x:c r="I403" s="95"/>
      <x:c r="J403" s="96"/>
      <x:c r="K403" s="97"/>
      <x:c r="L403" s="98"/>
      <x:c r="M403" s="98"/>
      <x:c r="N403" s="98"/>
      <x:c r="O403" s="98"/>
      <x:c r="P403" s="98"/>
      <x:c r="Q403" s="80"/>
      <x:c r="R403" s="80"/>
      <x:c r="S403" s="80"/>
      <x:c r="T403" s="80"/>
      <x:c r="U403" s="80"/>
      <x:c r="V403" s="89" t="str">
        <x:f>IF(A403="","",IF(U403="","",IF(U403="Выигрыш",J403-1,IF(U403="Полувыигрыш",(J403-1)/2,IF(U403="Возврат",0,IF(U403="Полупроигрыш",-0.5,IF(U403="Поражение",-1,"Проверить результат")))))))</x:f>
      </x:c>
      <x:c r="W403" s="80" t="str">
        <x:f>IF(A403="","",IF(U403="","Открыт",IF(ISNUMBER(V403),"Рассчитан","Проверить результат")))</x:f>
      </x:c>
      <x:c r="X403" s="98"/>
      <x:c r="Y403" s="5"/>
      <x:c r="Z403" s="5"/>
      <x:c r="AA403" s="5"/>
      <x:c r="AB403" s="118"/>
      <x:c r="AC403" s="119"/>
      <x:c r="AD403" s="119"/>
      <x:c r="AE403" s="5" t="str">
        <x:f>IF(A403="","",IF(Z403="","Нет ID пары",IF(AND(COUNTIFS($Z$59:$Z$505,Z403,$Y$59:$Y$505,"Оптимальный",$W$59:$W$505,"Рассчитан")=1,COUNTIFS($Z$59:$Z$505,Z403,$Y$59:$Y$505,"Агрессивный",$W$59:$W$505,"Рассчитан")=1),"Да","Нет")))</x:f>
      </x:c>
      <x:c r="AF403" s="5"/>
      <x:c r="AG403" s="5"/>
    </x:row>
    <x:row r="404">
      <x:c r="A404" s="80"/>
      <x:c r="B404" s="80"/>
      <x:c r="C404" s="83"/>
      <x:c r="D404" s="80"/>
      <x:c r="E404" s="80"/>
      <x:c r="F404" s="86"/>
      <x:c r="G404" s="80"/>
      <x:c r="H404" s="95"/>
      <x:c r="I404" s="95"/>
      <x:c r="J404" s="96"/>
      <x:c r="K404" s="97"/>
      <x:c r="L404" s="98"/>
      <x:c r="M404" s="98"/>
      <x:c r="N404" s="98"/>
      <x:c r="O404" s="98"/>
      <x:c r="P404" s="98"/>
      <x:c r="Q404" s="80"/>
      <x:c r="R404" s="80"/>
      <x:c r="S404" s="80"/>
      <x:c r="T404" s="80"/>
      <x:c r="U404" s="80"/>
      <x:c r="V404" s="89" t="str">
        <x:f>IF(A404="","",IF(U404="","",IF(U404="Выигрыш",J404-1,IF(U404="Полувыигрыш",(J404-1)/2,IF(U404="Возврат",0,IF(U404="Полупроигрыш",-0.5,IF(U404="Поражение",-1,"Проверить результат")))))))</x:f>
      </x:c>
      <x:c r="W404" s="80" t="str">
        <x:f>IF(A404="","",IF(U404="","Открыт",IF(ISNUMBER(V404),"Рассчитан","Проверить результат")))</x:f>
      </x:c>
      <x:c r="X404" s="98"/>
      <x:c r="Y404" s="5"/>
      <x:c r="Z404" s="5"/>
      <x:c r="AA404" s="5"/>
      <x:c r="AB404" s="118"/>
      <x:c r="AC404" s="119"/>
      <x:c r="AD404" s="119"/>
      <x:c r="AE404" s="5" t="str">
        <x:f>IF(A404="","",IF(Z404="","Нет ID пары",IF(AND(COUNTIFS($Z$59:$Z$505,Z404,$Y$59:$Y$505,"Оптимальный",$W$59:$W$505,"Рассчитан")=1,COUNTIFS($Z$59:$Z$505,Z404,$Y$59:$Y$505,"Агрессивный",$W$59:$W$505,"Рассчитан")=1),"Да","Нет")))</x:f>
      </x:c>
      <x:c r="AF404" s="5"/>
      <x:c r="AG404" s="5"/>
    </x:row>
    <x:row r="405">
      <x:c r="A405" s="80"/>
      <x:c r="B405" s="80"/>
      <x:c r="C405" s="83"/>
      <x:c r="D405" s="80"/>
      <x:c r="E405" s="80"/>
      <x:c r="F405" s="86"/>
      <x:c r="G405" s="80"/>
      <x:c r="H405" s="95"/>
      <x:c r="I405" s="95"/>
      <x:c r="J405" s="96"/>
      <x:c r="K405" s="97"/>
      <x:c r="L405" s="98"/>
      <x:c r="M405" s="98"/>
      <x:c r="N405" s="98"/>
      <x:c r="O405" s="98"/>
      <x:c r="P405" s="98"/>
      <x:c r="Q405" s="80"/>
      <x:c r="R405" s="80"/>
      <x:c r="S405" s="80"/>
      <x:c r="T405" s="80"/>
      <x:c r="U405" s="80"/>
      <x:c r="V405" s="89" t="str">
        <x:f>IF(A405="","",IF(U405="","",IF(U405="Выигрыш",J405-1,IF(U405="Полувыигрыш",(J405-1)/2,IF(U405="Возврат",0,IF(U405="Полупроигрыш",-0.5,IF(U405="Поражение",-1,"Проверить результат")))))))</x:f>
      </x:c>
      <x:c r="W405" s="80" t="str">
        <x:f>IF(A405="","",IF(U405="","Открыт",IF(ISNUMBER(V405),"Рассчитан","Проверить результат")))</x:f>
      </x:c>
      <x:c r="X405" s="98"/>
      <x:c r="Y405" s="5"/>
      <x:c r="Z405" s="5"/>
      <x:c r="AA405" s="5"/>
      <x:c r="AB405" s="118"/>
      <x:c r="AC405" s="119"/>
      <x:c r="AD405" s="119"/>
      <x:c r="AE405" s="5" t="str">
        <x:f>IF(A405="","",IF(Z405="","Нет ID пары",IF(AND(COUNTIFS($Z$59:$Z$505,Z405,$Y$59:$Y$505,"Оптимальный",$W$59:$W$505,"Рассчитан")=1,COUNTIFS($Z$59:$Z$505,Z405,$Y$59:$Y$505,"Агрессивный",$W$59:$W$505,"Рассчитан")=1),"Да","Нет")))</x:f>
      </x:c>
      <x:c r="AF405" s="5"/>
      <x:c r="AG405" s="5"/>
    </x:row>
    <x:row r="406">
      <x:c r="A406" s="80"/>
      <x:c r="B406" s="80"/>
      <x:c r="C406" s="83"/>
      <x:c r="D406" s="80"/>
      <x:c r="E406" s="80"/>
      <x:c r="F406" s="86"/>
      <x:c r="G406" s="80"/>
      <x:c r="H406" s="95"/>
      <x:c r="I406" s="95"/>
      <x:c r="J406" s="96"/>
      <x:c r="K406" s="97"/>
      <x:c r="L406" s="98"/>
      <x:c r="M406" s="98"/>
      <x:c r="N406" s="98"/>
      <x:c r="O406" s="98"/>
      <x:c r="P406" s="98"/>
      <x:c r="Q406" s="80"/>
      <x:c r="R406" s="80"/>
      <x:c r="S406" s="80"/>
      <x:c r="T406" s="80"/>
      <x:c r="U406" s="80"/>
      <x:c r="V406" s="89" t="str">
        <x:f>IF(A406="","",IF(U406="","",IF(U406="Выигрыш",J406-1,IF(U406="Полувыигрыш",(J406-1)/2,IF(U406="Возврат",0,IF(U406="Полупроигрыш",-0.5,IF(U406="Поражение",-1,"Проверить результат")))))))</x:f>
      </x:c>
      <x:c r="W406" s="80" t="str">
        <x:f>IF(A406="","",IF(U406="","Открыт",IF(ISNUMBER(V406),"Рассчитан","Проверить результат")))</x:f>
      </x:c>
      <x:c r="X406" s="98"/>
      <x:c r="Y406" s="5"/>
      <x:c r="Z406" s="5"/>
      <x:c r="AA406" s="5"/>
      <x:c r="AB406" s="118"/>
      <x:c r="AC406" s="119"/>
      <x:c r="AD406" s="119"/>
      <x:c r="AE406" s="5" t="str">
        <x:f>IF(A406="","",IF(Z406="","Нет ID пары",IF(AND(COUNTIFS($Z$59:$Z$505,Z406,$Y$59:$Y$505,"Оптимальный",$W$59:$W$505,"Рассчитан")=1,COUNTIFS($Z$59:$Z$505,Z406,$Y$59:$Y$505,"Агрессивный",$W$59:$W$505,"Рассчитан")=1),"Да","Нет")))</x:f>
      </x:c>
      <x:c r="AF406" s="5"/>
      <x:c r="AG406" s="5"/>
    </x:row>
    <x:row r="407">
      <x:c r="A407" s="80"/>
      <x:c r="B407" s="80"/>
      <x:c r="C407" s="83"/>
      <x:c r="D407" s="80"/>
      <x:c r="E407" s="80"/>
      <x:c r="F407" s="86"/>
      <x:c r="G407" s="80"/>
      <x:c r="H407" s="95"/>
      <x:c r="I407" s="95"/>
      <x:c r="J407" s="96"/>
      <x:c r="K407" s="97"/>
      <x:c r="L407" s="98"/>
      <x:c r="M407" s="98"/>
      <x:c r="N407" s="98"/>
      <x:c r="O407" s="98"/>
      <x:c r="P407" s="98"/>
      <x:c r="Q407" s="80"/>
      <x:c r="R407" s="80"/>
      <x:c r="S407" s="80"/>
      <x:c r="T407" s="80"/>
      <x:c r="U407" s="80"/>
      <x:c r="V407" s="89" t="str">
        <x:f>IF(A407="","",IF(U407="","",IF(U407="Выигрыш",J407-1,IF(U407="Полувыигрыш",(J407-1)/2,IF(U407="Возврат",0,IF(U407="Полупроигрыш",-0.5,IF(U407="Поражение",-1,"Проверить результат")))))))</x:f>
      </x:c>
      <x:c r="W407" s="80" t="str">
        <x:f>IF(A407="","",IF(U407="","Открыт",IF(ISNUMBER(V407),"Рассчитан","Проверить результат")))</x:f>
      </x:c>
      <x:c r="X407" s="98"/>
      <x:c r="Y407" s="5"/>
      <x:c r="Z407" s="5"/>
      <x:c r="AA407" s="5"/>
      <x:c r="AB407" s="118"/>
      <x:c r="AC407" s="119"/>
      <x:c r="AD407" s="119"/>
      <x:c r="AE407" s="5" t="str">
        <x:f>IF(A407="","",IF(Z407="","Нет ID пары",IF(AND(COUNTIFS($Z$59:$Z$505,Z407,$Y$59:$Y$505,"Оптимальный",$W$59:$W$505,"Рассчитан")=1,COUNTIFS($Z$59:$Z$505,Z407,$Y$59:$Y$505,"Агрессивный",$W$59:$W$505,"Рассчитан")=1),"Да","Нет")))</x:f>
      </x:c>
      <x:c r="AF407" s="5"/>
      <x:c r="AG407" s="5"/>
    </x:row>
    <x:row r="408">
      <x:c r="A408" s="80"/>
      <x:c r="B408" s="80"/>
      <x:c r="C408" s="83"/>
      <x:c r="D408" s="80"/>
      <x:c r="E408" s="80"/>
      <x:c r="F408" s="86"/>
      <x:c r="G408" s="80"/>
      <x:c r="H408" s="95"/>
      <x:c r="I408" s="95"/>
      <x:c r="J408" s="96"/>
      <x:c r="K408" s="97"/>
      <x:c r="L408" s="98"/>
      <x:c r="M408" s="98"/>
      <x:c r="N408" s="98"/>
      <x:c r="O408" s="98"/>
      <x:c r="P408" s="98"/>
      <x:c r="Q408" s="80"/>
      <x:c r="R408" s="80"/>
      <x:c r="S408" s="80"/>
      <x:c r="T408" s="80"/>
      <x:c r="U408" s="80"/>
      <x:c r="V408" s="89" t="str">
        <x:f>IF(A408="","",IF(U408="","",IF(U408="Выигрыш",J408-1,IF(U408="Полувыигрыш",(J408-1)/2,IF(U408="Возврат",0,IF(U408="Полупроигрыш",-0.5,IF(U408="Поражение",-1,"Проверить результат")))))))</x:f>
      </x:c>
      <x:c r="W408" s="80" t="str">
        <x:f>IF(A408="","",IF(U408="","Открыт",IF(ISNUMBER(V408),"Рассчитан","Проверить результат")))</x:f>
      </x:c>
      <x:c r="X408" s="98"/>
      <x:c r="Y408" s="5"/>
      <x:c r="Z408" s="5"/>
      <x:c r="AA408" s="5"/>
      <x:c r="AB408" s="118"/>
      <x:c r="AC408" s="119"/>
      <x:c r="AD408" s="119"/>
      <x:c r="AE408" s="5" t="str">
        <x:f>IF(A408="","",IF(Z408="","Нет ID пары",IF(AND(COUNTIFS($Z$59:$Z$505,Z408,$Y$59:$Y$505,"Оптимальный",$W$59:$W$505,"Рассчитан")=1,COUNTIFS($Z$59:$Z$505,Z408,$Y$59:$Y$505,"Агрессивный",$W$59:$W$505,"Рассчитан")=1),"Да","Нет")))</x:f>
      </x:c>
      <x:c r="AF408" s="5"/>
      <x:c r="AG408" s="5"/>
    </x:row>
    <x:row r="409">
      <x:c r="A409" s="80"/>
      <x:c r="B409" s="80"/>
      <x:c r="C409" s="83"/>
      <x:c r="D409" s="80"/>
      <x:c r="E409" s="80"/>
      <x:c r="F409" s="86"/>
      <x:c r="G409" s="80"/>
      <x:c r="H409" s="95"/>
      <x:c r="I409" s="95"/>
      <x:c r="J409" s="96"/>
      <x:c r="K409" s="97"/>
      <x:c r="L409" s="98"/>
      <x:c r="M409" s="98"/>
      <x:c r="N409" s="98"/>
      <x:c r="O409" s="98"/>
      <x:c r="P409" s="98"/>
      <x:c r="Q409" s="80"/>
      <x:c r="R409" s="80"/>
      <x:c r="S409" s="80"/>
      <x:c r="T409" s="80"/>
      <x:c r="U409" s="80"/>
      <x:c r="V409" s="89" t="str">
        <x:f>IF(A409="","",IF(U409="","",IF(U409="Выигрыш",J409-1,IF(U409="Полувыигрыш",(J409-1)/2,IF(U409="Возврат",0,IF(U409="Полупроигрыш",-0.5,IF(U409="Поражение",-1,"Проверить результат")))))))</x:f>
      </x:c>
      <x:c r="W409" s="80" t="str">
        <x:f>IF(A409="","",IF(U409="","Открыт",IF(ISNUMBER(V409),"Рассчитан","Проверить результат")))</x:f>
      </x:c>
      <x:c r="X409" s="98"/>
      <x:c r="Y409" s="5"/>
      <x:c r="Z409" s="5"/>
      <x:c r="AA409" s="5"/>
      <x:c r="AB409" s="118"/>
      <x:c r="AC409" s="119"/>
      <x:c r="AD409" s="119"/>
      <x:c r="AE409" s="5" t="str">
        <x:f>IF(A409="","",IF(Z409="","Нет ID пары",IF(AND(COUNTIFS($Z$59:$Z$505,Z409,$Y$59:$Y$505,"Оптимальный",$W$59:$W$505,"Рассчитан")=1,COUNTIFS($Z$59:$Z$505,Z409,$Y$59:$Y$505,"Агрессивный",$W$59:$W$505,"Рассчитан")=1),"Да","Нет")))</x:f>
      </x:c>
      <x:c r="AF409" s="5"/>
      <x:c r="AG409" s="5"/>
    </x:row>
    <x:row r="410">
      <x:c r="A410" s="80"/>
      <x:c r="B410" s="80"/>
      <x:c r="C410" s="83"/>
      <x:c r="D410" s="80"/>
      <x:c r="E410" s="80"/>
      <x:c r="F410" s="86"/>
      <x:c r="G410" s="80"/>
      <x:c r="H410" s="95"/>
      <x:c r="I410" s="95"/>
      <x:c r="J410" s="96"/>
      <x:c r="K410" s="97"/>
      <x:c r="L410" s="98"/>
      <x:c r="M410" s="98"/>
      <x:c r="N410" s="98"/>
      <x:c r="O410" s="98"/>
      <x:c r="P410" s="98"/>
      <x:c r="Q410" s="80"/>
      <x:c r="R410" s="80"/>
      <x:c r="S410" s="80"/>
      <x:c r="T410" s="80"/>
      <x:c r="U410" s="80"/>
      <x:c r="V410" s="89" t="str">
        <x:f>IF(A410="","",IF(U410="","",IF(U410="Выигрыш",J410-1,IF(U410="Полувыигрыш",(J410-1)/2,IF(U410="Возврат",0,IF(U410="Полупроигрыш",-0.5,IF(U410="Поражение",-1,"Проверить результат")))))))</x:f>
      </x:c>
      <x:c r="W410" s="80" t="str">
        <x:f>IF(A410="","",IF(U410="","Открыт",IF(ISNUMBER(V410),"Рассчитан","Проверить результат")))</x:f>
      </x:c>
      <x:c r="X410" s="98"/>
      <x:c r="Y410" s="5"/>
      <x:c r="Z410" s="5"/>
      <x:c r="AA410" s="5"/>
      <x:c r="AB410" s="118"/>
      <x:c r="AC410" s="119"/>
      <x:c r="AD410" s="119"/>
      <x:c r="AE410" s="5" t="str">
        <x:f>IF(A410="","",IF(Z410="","Нет ID пары",IF(AND(COUNTIFS($Z$59:$Z$505,Z410,$Y$59:$Y$505,"Оптимальный",$W$59:$W$505,"Рассчитан")=1,COUNTIFS($Z$59:$Z$505,Z410,$Y$59:$Y$505,"Агрессивный",$W$59:$W$505,"Рассчитан")=1),"Да","Нет")))</x:f>
      </x:c>
      <x:c r="AF410" s="5"/>
      <x:c r="AG410" s="5"/>
    </x:row>
    <x:row r="411">
      <x:c r="A411" s="80"/>
      <x:c r="B411" s="80"/>
      <x:c r="C411" s="83"/>
      <x:c r="D411" s="80"/>
      <x:c r="E411" s="80"/>
      <x:c r="F411" s="86"/>
      <x:c r="G411" s="80"/>
      <x:c r="H411" s="95"/>
      <x:c r="I411" s="95"/>
      <x:c r="J411" s="96"/>
      <x:c r="K411" s="97"/>
      <x:c r="L411" s="98"/>
      <x:c r="M411" s="98"/>
      <x:c r="N411" s="98"/>
      <x:c r="O411" s="98"/>
      <x:c r="P411" s="98"/>
      <x:c r="Q411" s="80"/>
      <x:c r="R411" s="80"/>
      <x:c r="S411" s="80"/>
      <x:c r="T411" s="80"/>
      <x:c r="U411" s="80"/>
      <x:c r="V411" s="89" t="str">
        <x:f>IF(A411="","",IF(U411="","",IF(U411="Выигрыш",J411-1,IF(U411="Полувыигрыш",(J411-1)/2,IF(U411="Возврат",0,IF(U411="Полупроигрыш",-0.5,IF(U411="Поражение",-1,"Проверить результат")))))))</x:f>
      </x:c>
      <x:c r="W411" s="80" t="str">
        <x:f>IF(A411="","",IF(U411="","Открыт",IF(ISNUMBER(V411),"Рассчитан","Проверить результат")))</x:f>
      </x:c>
      <x:c r="X411" s="98"/>
      <x:c r="Y411" s="5"/>
      <x:c r="Z411" s="5"/>
      <x:c r="AA411" s="5"/>
      <x:c r="AB411" s="118"/>
      <x:c r="AC411" s="119"/>
      <x:c r="AD411" s="119"/>
      <x:c r="AE411" s="5" t="str">
        <x:f>IF(A411="","",IF(Z411="","Нет ID пары",IF(AND(COUNTIFS($Z$59:$Z$505,Z411,$Y$59:$Y$505,"Оптимальный",$W$59:$W$505,"Рассчитан")=1,COUNTIFS($Z$59:$Z$505,Z411,$Y$59:$Y$505,"Агрессивный",$W$59:$W$505,"Рассчитан")=1),"Да","Нет")))</x:f>
      </x:c>
      <x:c r="AF411" s="5"/>
      <x:c r="AG411" s="5"/>
    </x:row>
    <x:row r="412">
      <x:c r="A412" s="80"/>
      <x:c r="B412" s="80"/>
      <x:c r="C412" s="83"/>
      <x:c r="D412" s="80"/>
      <x:c r="E412" s="80"/>
      <x:c r="F412" s="86"/>
      <x:c r="G412" s="80"/>
      <x:c r="H412" s="95"/>
      <x:c r="I412" s="95"/>
      <x:c r="J412" s="96"/>
      <x:c r="K412" s="97"/>
      <x:c r="L412" s="98"/>
      <x:c r="M412" s="98"/>
      <x:c r="N412" s="98"/>
      <x:c r="O412" s="98"/>
      <x:c r="P412" s="98"/>
      <x:c r="Q412" s="80"/>
      <x:c r="R412" s="80"/>
      <x:c r="S412" s="80"/>
      <x:c r="T412" s="80"/>
      <x:c r="U412" s="80"/>
      <x:c r="V412" s="89" t="str">
        <x:f>IF(A412="","",IF(U412="","",IF(U412="Выигрыш",J412-1,IF(U412="Полувыигрыш",(J412-1)/2,IF(U412="Возврат",0,IF(U412="Полупроигрыш",-0.5,IF(U412="Поражение",-1,"Проверить результат")))))))</x:f>
      </x:c>
      <x:c r="W412" s="80" t="str">
        <x:f>IF(A412="","",IF(U412="","Открыт",IF(ISNUMBER(V412),"Рассчитан","Проверить результат")))</x:f>
      </x:c>
      <x:c r="X412" s="98"/>
      <x:c r="Y412" s="5"/>
      <x:c r="Z412" s="5"/>
      <x:c r="AA412" s="5"/>
      <x:c r="AB412" s="118"/>
      <x:c r="AC412" s="119"/>
      <x:c r="AD412" s="119"/>
      <x:c r="AE412" s="5" t="str">
        <x:f>IF(A412="","",IF(Z412="","Нет ID пары",IF(AND(COUNTIFS($Z$59:$Z$505,Z412,$Y$59:$Y$505,"Оптимальный",$W$59:$W$505,"Рассчитан")=1,COUNTIFS($Z$59:$Z$505,Z412,$Y$59:$Y$505,"Агрессивный",$W$59:$W$505,"Рассчитан")=1),"Да","Нет")))</x:f>
      </x:c>
      <x:c r="AF412" s="5"/>
      <x:c r="AG412" s="5"/>
    </x:row>
    <x:row r="413">
      <x:c r="A413" s="80"/>
      <x:c r="B413" s="80"/>
      <x:c r="C413" s="83"/>
      <x:c r="D413" s="80"/>
      <x:c r="E413" s="80"/>
      <x:c r="F413" s="86"/>
      <x:c r="G413" s="80"/>
      <x:c r="H413" s="95"/>
      <x:c r="I413" s="95"/>
      <x:c r="J413" s="96"/>
      <x:c r="K413" s="97"/>
      <x:c r="L413" s="98"/>
      <x:c r="M413" s="98"/>
      <x:c r="N413" s="98"/>
      <x:c r="O413" s="98"/>
      <x:c r="P413" s="98"/>
      <x:c r="Q413" s="80"/>
      <x:c r="R413" s="80"/>
      <x:c r="S413" s="80"/>
      <x:c r="T413" s="80"/>
      <x:c r="U413" s="80"/>
      <x:c r="V413" s="89" t="str">
        <x:f>IF(A413="","",IF(U413="","",IF(U413="Выигрыш",J413-1,IF(U413="Полувыигрыш",(J413-1)/2,IF(U413="Возврат",0,IF(U413="Полупроигрыш",-0.5,IF(U413="Поражение",-1,"Проверить результат")))))))</x:f>
      </x:c>
      <x:c r="W413" s="80" t="str">
        <x:f>IF(A413="","",IF(U413="","Открыт",IF(ISNUMBER(V413),"Рассчитан","Проверить результат")))</x:f>
      </x:c>
      <x:c r="X413" s="98"/>
      <x:c r="Y413" s="5"/>
      <x:c r="Z413" s="5"/>
      <x:c r="AA413" s="5"/>
      <x:c r="AB413" s="118"/>
      <x:c r="AC413" s="119"/>
      <x:c r="AD413" s="119"/>
      <x:c r="AE413" s="5" t="str">
        <x:f>IF(A413="","",IF(Z413="","Нет ID пары",IF(AND(COUNTIFS($Z$59:$Z$505,Z413,$Y$59:$Y$505,"Оптимальный",$W$59:$W$505,"Рассчитан")=1,COUNTIFS($Z$59:$Z$505,Z413,$Y$59:$Y$505,"Агрессивный",$W$59:$W$505,"Рассчитан")=1),"Да","Нет")))</x:f>
      </x:c>
      <x:c r="AF413" s="5"/>
      <x:c r="AG413" s="5"/>
    </x:row>
    <x:row r="414">
      <x:c r="A414" s="80"/>
      <x:c r="B414" s="80"/>
      <x:c r="C414" s="83"/>
      <x:c r="D414" s="80"/>
      <x:c r="E414" s="80"/>
      <x:c r="F414" s="86"/>
      <x:c r="G414" s="80"/>
      <x:c r="H414" s="95"/>
      <x:c r="I414" s="95"/>
      <x:c r="J414" s="96"/>
      <x:c r="K414" s="97"/>
      <x:c r="L414" s="98"/>
      <x:c r="M414" s="98"/>
      <x:c r="N414" s="98"/>
      <x:c r="O414" s="98"/>
      <x:c r="P414" s="98"/>
      <x:c r="Q414" s="80"/>
      <x:c r="R414" s="80"/>
      <x:c r="S414" s="80"/>
      <x:c r="T414" s="80"/>
      <x:c r="U414" s="80"/>
      <x:c r="V414" s="89" t="str">
        <x:f>IF(A414="","",IF(U414="","",IF(U414="Выигрыш",J414-1,IF(U414="Полувыигрыш",(J414-1)/2,IF(U414="Возврат",0,IF(U414="Полупроигрыш",-0.5,IF(U414="Поражение",-1,"Проверить результат")))))))</x:f>
      </x:c>
      <x:c r="W414" s="80" t="str">
        <x:f>IF(A414="","",IF(U414="","Открыт",IF(ISNUMBER(V414),"Рассчитан","Проверить результат")))</x:f>
      </x:c>
      <x:c r="X414" s="98"/>
      <x:c r="Y414" s="5"/>
      <x:c r="Z414" s="5"/>
      <x:c r="AA414" s="5"/>
      <x:c r="AB414" s="118"/>
      <x:c r="AC414" s="119"/>
      <x:c r="AD414" s="119"/>
      <x:c r="AE414" s="5" t="str">
        <x:f>IF(A414="","",IF(Z414="","Нет ID пары",IF(AND(COUNTIFS($Z$59:$Z$505,Z414,$Y$59:$Y$505,"Оптимальный",$W$59:$W$505,"Рассчитан")=1,COUNTIFS($Z$59:$Z$505,Z414,$Y$59:$Y$505,"Агрессивный",$W$59:$W$505,"Рассчитан")=1),"Да","Нет")))</x:f>
      </x:c>
      <x:c r="AF414" s="5"/>
      <x:c r="AG414" s="5"/>
    </x:row>
    <x:row r="415">
      <x:c r="A415" s="80"/>
      <x:c r="B415" s="80"/>
      <x:c r="C415" s="83"/>
      <x:c r="D415" s="80"/>
      <x:c r="E415" s="80"/>
      <x:c r="F415" s="86"/>
      <x:c r="G415" s="80"/>
      <x:c r="H415" s="95"/>
      <x:c r="I415" s="95"/>
      <x:c r="J415" s="96"/>
      <x:c r="K415" s="97"/>
      <x:c r="L415" s="98"/>
      <x:c r="M415" s="98"/>
      <x:c r="N415" s="98"/>
      <x:c r="O415" s="98"/>
      <x:c r="P415" s="98"/>
      <x:c r="Q415" s="80"/>
      <x:c r="R415" s="80"/>
      <x:c r="S415" s="80"/>
      <x:c r="T415" s="80"/>
      <x:c r="U415" s="80"/>
      <x:c r="V415" s="89" t="str">
        <x:f>IF(A415="","",IF(U415="","",IF(U415="Выигрыш",J415-1,IF(U415="Полувыигрыш",(J415-1)/2,IF(U415="Возврат",0,IF(U415="Полупроигрыш",-0.5,IF(U415="Поражение",-1,"Проверить результат")))))))</x:f>
      </x:c>
      <x:c r="W415" s="80" t="str">
        <x:f>IF(A415="","",IF(U415="","Открыт",IF(ISNUMBER(V415),"Рассчитан","Проверить результат")))</x:f>
      </x:c>
      <x:c r="X415" s="98"/>
      <x:c r="Y415" s="5"/>
      <x:c r="Z415" s="5"/>
      <x:c r="AA415" s="5"/>
      <x:c r="AB415" s="118"/>
      <x:c r="AC415" s="119"/>
      <x:c r="AD415" s="119"/>
      <x:c r="AE415" s="5" t="str">
        <x:f>IF(A415="","",IF(Z415="","Нет ID пары",IF(AND(COUNTIFS($Z$59:$Z$505,Z415,$Y$59:$Y$505,"Оптимальный",$W$59:$W$505,"Рассчитан")=1,COUNTIFS($Z$59:$Z$505,Z415,$Y$59:$Y$505,"Агрессивный",$W$59:$W$505,"Рассчитан")=1),"Да","Нет")))</x:f>
      </x:c>
      <x:c r="AF415" s="5"/>
      <x:c r="AG415" s="5"/>
    </x:row>
    <x:row r="416">
      <x:c r="A416" s="80"/>
      <x:c r="B416" s="80"/>
      <x:c r="C416" s="83"/>
      <x:c r="D416" s="80"/>
      <x:c r="E416" s="80"/>
      <x:c r="F416" s="86"/>
      <x:c r="G416" s="80"/>
      <x:c r="H416" s="95"/>
      <x:c r="I416" s="95"/>
      <x:c r="J416" s="96"/>
      <x:c r="K416" s="97"/>
      <x:c r="L416" s="98"/>
      <x:c r="M416" s="98"/>
      <x:c r="N416" s="98"/>
      <x:c r="O416" s="98"/>
      <x:c r="P416" s="98"/>
      <x:c r="Q416" s="80"/>
      <x:c r="R416" s="80"/>
      <x:c r="S416" s="80"/>
      <x:c r="T416" s="80"/>
      <x:c r="U416" s="80"/>
      <x:c r="V416" s="89" t="str">
        <x:f>IF(A416="","",IF(U416="","",IF(U416="Выигрыш",J416-1,IF(U416="Полувыигрыш",(J416-1)/2,IF(U416="Возврат",0,IF(U416="Полупроигрыш",-0.5,IF(U416="Поражение",-1,"Проверить результат")))))))</x:f>
      </x:c>
      <x:c r="W416" s="80" t="str">
        <x:f>IF(A416="","",IF(U416="","Открыт",IF(ISNUMBER(V416),"Рассчитан","Проверить результат")))</x:f>
      </x:c>
      <x:c r="X416" s="98"/>
      <x:c r="Y416" s="5"/>
      <x:c r="Z416" s="5"/>
      <x:c r="AA416" s="5"/>
      <x:c r="AB416" s="118"/>
      <x:c r="AC416" s="119"/>
      <x:c r="AD416" s="119"/>
      <x:c r="AE416" s="5" t="str">
        <x:f>IF(A416="","",IF(Z416="","Нет ID пары",IF(AND(COUNTIFS($Z$59:$Z$505,Z416,$Y$59:$Y$505,"Оптимальный",$W$59:$W$505,"Рассчитан")=1,COUNTIFS($Z$59:$Z$505,Z416,$Y$59:$Y$505,"Агрессивный",$W$59:$W$505,"Рассчитан")=1),"Да","Нет")))</x:f>
      </x:c>
      <x:c r="AF416" s="5"/>
      <x:c r="AG416" s="5"/>
    </x:row>
    <x:row r="417">
      <x:c r="A417" s="80"/>
      <x:c r="B417" s="80"/>
      <x:c r="C417" s="83"/>
      <x:c r="D417" s="80"/>
      <x:c r="E417" s="80"/>
      <x:c r="F417" s="86"/>
      <x:c r="G417" s="80"/>
      <x:c r="H417" s="95"/>
      <x:c r="I417" s="95"/>
      <x:c r="J417" s="96"/>
      <x:c r="K417" s="97"/>
      <x:c r="L417" s="98"/>
      <x:c r="M417" s="98"/>
      <x:c r="N417" s="98"/>
      <x:c r="O417" s="98"/>
      <x:c r="P417" s="98"/>
      <x:c r="Q417" s="80"/>
      <x:c r="R417" s="80"/>
      <x:c r="S417" s="80"/>
      <x:c r="T417" s="80"/>
      <x:c r="U417" s="80"/>
      <x:c r="V417" s="89" t="str">
        <x:f>IF(A417="","",IF(U417="","",IF(U417="Выигрыш",J417-1,IF(U417="Полувыигрыш",(J417-1)/2,IF(U417="Возврат",0,IF(U417="Полупроигрыш",-0.5,IF(U417="Поражение",-1,"Проверить результат")))))))</x:f>
      </x:c>
      <x:c r="W417" s="80" t="str">
        <x:f>IF(A417="","",IF(U417="","Открыт",IF(ISNUMBER(V417),"Рассчитан","Проверить результат")))</x:f>
      </x:c>
      <x:c r="X417" s="98"/>
      <x:c r="Y417" s="5"/>
      <x:c r="Z417" s="5"/>
      <x:c r="AA417" s="5"/>
      <x:c r="AB417" s="118"/>
      <x:c r="AC417" s="119"/>
      <x:c r="AD417" s="119"/>
      <x:c r="AE417" s="5" t="str">
        <x:f>IF(A417="","",IF(Z417="","Нет ID пары",IF(AND(COUNTIFS($Z$59:$Z$505,Z417,$Y$59:$Y$505,"Оптимальный",$W$59:$W$505,"Рассчитан")=1,COUNTIFS($Z$59:$Z$505,Z417,$Y$59:$Y$505,"Агрессивный",$W$59:$W$505,"Рассчитан")=1),"Да","Нет")))</x:f>
      </x:c>
      <x:c r="AF417" s="5"/>
      <x:c r="AG417" s="5"/>
    </x:row>
    <x:row r="418">
      <x:c r="A418" s="80"/>
      <x:c r="B418" s="80"/>
      <x:c r="C418" s="83"/>
      <x:c r="D418" s="80"/>
      <x:c r="E418" s="80"/>
      <x:c r="F418" s="86"/>
      <x:c r="G418" s="80"/>
      <x:c r="H418" s="95"/>
      <x:c r="I418" s="95"/>
      <x:c r="J418" s="96"/>
      <x:c r="K418" s="97"/>
      <x:c r="L418" s="98"/>
      <x:c r="M418" s="98"/>
      <x:c r="N418" s="98"/>
      <x:c r="O418" s="98"/>
      <x:c r="P418" s="98"/>
      <x:c r="Q418" s="80"/>
      <x:c r="R418" s="80"/>
      <x:c r="S418" s="80"/>
      <x:c r="T418" s="80"/>
      <x:c r="U418" s="80"/>
      <x:c r="V418" s="89" t="str">
        <x:f>IF(A418="","",IF(U418="","",IF(U418="Выигрыш",J418-1,IF(U418="Полувыигрыш",(J418-1)/2,IF(U418="Возврат",0,IF(U418="Полупроигрыш",-0.5,IF(U418="Поражение",-1,"Проверить результат")))))))</x:f>
      </x:c>
      <x:c r="W418" s="80" t="str">
        <x:f>IF(A418="","",IF(U418="","Открыт",IF(ISNUMBER(V418),"Рассчитан","Проверить результат")))</x:f>
      </x:c>
      <x:c r="X418" s="98"/>
      <x:c r="Y418" s="5"/>
      <x:c r="Z418" s="5"/>
      <x:c r="AA418" s="5"/>
      <x:c r="AB418" s="118"/>
      <x:c r="AC418" s="119"/>
      <x:c r="AD418" s="119"/>
      <x:c r="AE418" s="5" t="str">
        <x:f>IF(A418="","",IF(Z418="","Нет ID пары",IF(AND(COUNTIFS($Z$59:$Z$505,Z418,$Y$59:$Y$505,"Оптимальный",$W$59:$W$505,"Рассчитан")=1,COUNTIFS($Z$59:$Z$505,Z418,$Y$59:$Y$505,"Агрессивный",$W$59:$W$505,"Рассчитан")=1),"Да","Нет")))</x:f>
      </x:c>
      <x:c r="AF418" s="5"/>
      <x:c r="AG418" s="5"/>
    </x:row>
    <x:row r="419">
      <x:c r="A419" s="80"/>
      <x:c r="B419" s="80"/>
      <x:c r="C419" s="83"/>
      <x:c r="D419" s="80"/>
      <x:c r="E419" s="80"/>
      <x:c r="F419" s="86"/>
      <x:c r="G419" s="80"/>
      <x:c r="H419" s="95"/>
      <x:c r="I419" s="95"/>
      <x:c r="J419" s="96"/>
      <x:c r="K419" s="97"/>
      <x:c r="L419" s="98"/>
      <x:c r="M419" s="98"/>
      <x:c r="N419" s="98"/>
      <x:c r="O419" s="98"/>
      <x:c r="P419" s="98"/>
      <x:c r="Q419" s="80"/>
      <x:c r="R419" s="80"/>
      <x:c r="S419" s="80"/>
      <x:c r="T419" s="80"/>
      <x:c r="U419" s="80"/>
      <x:c r="V419" s="89" t="str">
        <x:f>IF(A419="","",IF(U419="","",IF(U419="Выигрыш",J419-1,IF(U419="Полувыигрыш",(J419-1)/2,IF(U419="Возврат",0,IF(U419="Полупроигрыш",-0.5,IF(U419="Поражение",-1,"Проверить результат")))))))</x:f>
      </x:c>
      <x:c r="W419" s="80" t="str">
        <x:f>IF(A419="","",IF(U419="","Открыт",IF(ISNUMBER(V419),"Рассчитан","Проверить результат")))</x:f>
      </x:c>
      <x:c r="X419" s="98"/>
      <x:c r="Y419" s="5"/>
      <x:c r="Z419" s="5"/>
      <x:c r="AA419" s="5"/>
      <x:c r="AB419" s="118"/>
      <x:c r="AC419" s="119"/>
      <x:c r="AD419" s="119"/>
      <x:c r="AE419" s="5" t="str">
        <x:f>IF(A419="","",IF(Z419="","Нет ID пары",IF(AND(COUNTIFS($Z$59:$Z$505,Z419,$Y$59:$Y$505,"Оптимальный",$W$59:$W$505,"Рассчитан")=1,COUNTIFS($Z$59:$Z$505,Z419,$Y$59:$Y$505,"Агрессивный",$W$59:$W$505,"Рассчитан")=1),"Да","Нет")))</x:f>
      </x:c>
      <x:c r="AF419" s="5"/>
      <x:c r="AG419" s="5"/>
    </x:row>
    <x:row r="420">
      <x:c r="A420" s="80"/>
      <x:c r="B420" s="80"/>
      <x:c r="C420" s="83"/>
      <x:c r="D420" s="80"/>
      <x:c r="E420" s="80"/>
      <x:c r="F420" s="86"/>
      <x:c r="G420" s="80"/>
      <x:c r="H420" s="95"/>
      <x:c r="I420" s="95"/>
      <x:c r="J420" s="96"/>
      <x:c r="K420" s="97"/>
      <x:c r="L420" s="98"/>
      <x:c r="M420" s="98"/>
      <x:c r="N420" s="98"/>
      <x:c r="O420" s="98"/>
      <x:c r="P420" s="98"/>
      <x:c r="Q420" s="80"/>
      <x:c r="R420" s="80"/>
      <x:c r="S420" s="80"/>
      <x:c r="T420" s="80"/>
      <x:c r="U420" s="80"/>
      <x:c r="V420" s="89" t="str">
        <x:f>IF(A420="","",IF(U420="","",IF(U420="Выигрыш",J420-1,IF(U420="Полувыигрыш",(J420-1)/2,IF(U420="Возврат",0,IF(U420="Полупроигрыш",-0.5,IF(U420="Поражение",-1,"Проверить результат")))))))</x:f>
      </x:c>
      <x:c r="W420" s="80" t="str">
        <x:f>IF(A420="","",IF(U420="","Открыт",IF(ISNUMBER(V420),"Рассчитан","Проверить результат")))</x:f>
      </x:c>
      <x:c r="X420" s="98"/>
      <x:c r="Y420" s="5"/>
      <x:c r="Z420" s="5"/>
      <x:c r="AA420" s="5"/>
      <x:c r="AB420" s="118"/>
      <x:c r="AC420" s="119"/>
      <x:c r="AD420" s="119"/>
      <x:c r="AE420" s="5" t="str">
        <x:f>IF(A420="","",IF(Z420="","Нет ID пары",IF(AND(COUNTIFS($Z$59:$Z$505,Z420,$Y$59:$Y$505,"Оптимальный",$W$59:$W$505,"Рассчитан")=1,COUNTIFS($Z$59:$Z$505,Z420,$Y$59:$Y$505,"Агрессивный",$W$59:$W$505,"Рассчитан")=1),"Да","Нет")))</x:f>
      </x:c>
      <x:c r="AF420" s="5"/>
      <x:c r="AG420" s="5"/>
    </x:row>
    <x:row r="421">
      <x:c r="A421" s="80"/>
      <x:c r="B421" s="80"/>
      <x:c r="C421" s="83"/>
      <x:c r="D421" s="80"/>
      <x:c r="E421" s="80"/>
      <x:c r="F421" s="86"/>
      <x:c r="G421" s="80"/>
      <x:c r="H421" s="95"/>
      <x:c r="I421" s="95"/>
      <x:c r="J421" s="96"/>
      <x:c r="K421" s="97"/>
      <x:c r="L421" s="98"/>
      <x:c r="M421" s="98"/>
      <x:c r="N421" s="98"/>
      <x:c r="O421" s="98"/>
      <x:c r="P421" s="98"/>
      <x:c r="Q421" s="80"/>
      <x:c r="R421" s="80"/>
      <x:c r="S421" s="80"/>
      <x:c r="T421" s="80"/>
      <x:c r="U421" s="80"/>
      <x:c r="V421" s="89" t="str">
        <x:f>IF(A421="","",IF(U421="","",IF(U421="Выигрыш",J421-1,IF(U421="Полувыигрыш",(J421-1)/2,IF(U421="Возврат",0,IF(U421="Полупроигрыш",-0.5,IF(U421="Поражение",-1,"Проверить результат")))))))</x:f>
      </x:c>
      <x:c r="W421" s="80" t="str">
        <x:f>IF(A421="","",IF(U421="","Открыт",IF(ISNUMBER(V421),"Рассчитан","Проверить результат")))</x:f>
      </x:c>
      <x:c r="X421" s="98"/>
      <x:c r="Y421" s="5"/>
      <x:c r="Z421" s="5"/>
      <x:c r="AA421" s="5"/>
      <x:c r="AB421" s="118"/>
      <x:c r="AC421" s="119"/>
      <x:c r="AD421" s="119"/>
      <x:c r="AE421" s="5" t="str">
        <x:f>IF(A421="","",IF(Z421="","Нет ID пары",IF(AND(COUNTIFS($Z$59:$Z$505,Z421,$Y$59:$Y$505,"Оптимальный",$W$59:$W$505,"Рассчитан")=1,COUNTIFS($Z$59:$Z$505,Z421,$Y$59:$Y$505,"Агрессивный",$W$59:$W$505,"Рассчитан")=1),"Да","Нет")))</x:f>
      </x:c>
      <x:c r="AF421" s="5"/>
      <x:c r="AG421" s="5"/>
    </x:row>
    <x:row r="422">
      <x:c r="A422" s="80"/>
      <x:c r="B422" s="80"/>
      <x:c r="C422" s="83"/>
      <x:c r="D422" s="80"/>
      <x:c r="E422" s="80"/>
      <x:c r="F422" s="86"/>
      <x:c r="G422" s="80"/>
      <x:c r="H422" s="95"/>
      <x:c r="I422" s="95"/>
      <x:c r="J422" s="96"/>
      <x:c r="K422" s="97"/>
      <x:c r="L422" s="98"/>
      <x:c r="M422" s="98"/>
      <x:c r="N422" s="98"/>
      <x:c r="O422" s="98"/>
      <x:c r="P422" s="98"/>
      <x:c r="Q422" s="80"/>
      <x:c r="R422" s="80"/>
      <x:c r="S422" s="80"/>
      <x:c r="T422" s="80"/>
      <x:c r="U422" s="80"/>
      <x:c r="V422" s="89" t="str">
        <x:f>IF(A422="","",IF(U422="","",IF(U422="Выигрыш",J422-1,IF(U422="Полувыигрыш",(J422-1)/2,IF(U422="Возврат",0,IF(U422="Полупроигрыш",-0.5,IF(U422="Поражение",-1,"Проверить результат")))))))</x:f>
      </x:c>
      <x:c r="W422" s="80" t="str">
        <x:f>IF(A422="","",IF(U422="","Открыт",IF(ISNUMBER(V422),"Рассчитан","Проверить результат")))</x:f>
      </x:c>
      <x:c r="X422" s="98"/>
      <x:c r="Y422" s="5"/>
      <x:c r="Z422" s="5"/>
      <x:c r="AA422" s="5"/>
      <x:c r="AB422" s="118"/>
      <x:c r="AC422" s="119"/>
      <x:c r="AD422" s="119"/>
      <x:c r="AE422" s="5" t="str">
        <x:f>IF(A422="","",IF(Z422="","Нет ID пары",IF(AND(COUNTIFS($Z$59:$Z$505,Z422,$Y$59:$Y$505,"Оптимальный",$W$59:$W$505,"Рассчитан")=1,COUNTIFS($Z$59:$Z$505,Z422,$Y$59:$Y$505,"Агрессивный",$W$59:$W$505,"Рассчитан")=1),"Да","Нет")))</x:f>
      </x:c>
      <x:c r="AF422" s="5"/>
      <x:c r="AG422" s="5"/>
    </x:row>
    <x:row r="423">
      <x:c r="A423" s="80"/>
      <x:c r="B423" s="80"/>
      <x:c r="C423" s="83"/>
      <x:c r="D423" s="80"/>
      <x:c r="E423" s="80"/>
      <x:c r="F423" s="86"/>
      <x:c r="G423" s="80"/>
      <x:c r="H423" s="95"/>
      <x:c r="I423" s="95"/>
      <x:c r="J423" s="96"/>
      <x:c r="K423" s="97"/>
      <x:c r="L423" s="98"/>
      <x:c r="M423" s="98"/>
      <x:c r="N423" s="98"/>
      <x:c r="O423" s="98"/>
      <x:c r="P423" s="98"/>
      <x:c r="Q423" s="80"/>
      <x:c r="R423" s="80"/>
      <x:c r="S423" s="80"/>
      <x:c r="T423" s="80"/>
      <x:c r="U423" s="80"/>
      <x:c r="V423" s="89" t="str">
        <x:f>IF(A423="","",IF(U423="","",IF(U423="Выигрыш",J423-1,IF(U423="Полувыигрыш",(J423-1)/2,IF(U423="Возврат",0,IF(U423="Полупроигрыш",-0.5,IF(U423="Поражение",-1,"Проверить результат")))))))</x:f>
      </x:c>
      <x:c r="W423" s="80" t="str">
        <x:f>IF(A423="","",IF(U423="","Открыт",IF(ISNUMBER(V423),"Рассчитан","Проверить результат")))</x:f>
      </x:c>
      <x:c r="X423" s="98"/>
      <x:c r="Y423" s="5"/>
      <x:c r="Z423" s="5"/>
      <x:c r="AA423" s="5"/>
      <x:c r="AB423" s="118"/>
      <x:c r="AC423" s="119"/>
      <x:c r="AD423" s="119"/>
      <x:c r="AE423" s="5" t="str">
        <x:f>IF(A423="","",IF(Z423="","Нет ID пары",IF(AND(COUNTIFS($Z$59:$Z$505,Z423,$Y$59:$Y$505,"Оптимальный",$W$59:$W$505,"Рассчитан")=1,COUNTIFS($Z$59:$Z$505,Z423,$Y$59:$Y$505,"Агрессивный",$W$59:$W$505,"Рассчитан")=1),"Да","Нет")))</x:f>
      </x:c>
      <x:c r="AF423" s="5"/>
      <x:c r="AG423" s="5"/>
    </x:row>
    <x:row r="424">
      <x:c r="A424" s="80"/>
      <x:c r="B424" s="80"/>
      <x:c r="C424" s="83"/>
      <x:c r="D424" s="80"/>
      <x:c r="E424" s="80"/>
      <x:c r="F424" s="86"/>
      <x:c r="G424" s="80"/>
      <x:c r="H424" s="95"/>
      <x:c r="I424" s="95"/>
      <x:c r="J424" s="96"/>
      <x:c r="K424" s="97"/>
      <x:c r="L424" s="98"/>
      <x:c r="M424" s="98"/>
      <x:c r="N424" s="98"/>
      <x:c r="O424" s="98"/>
      <x:c r="P424" s="98"/>
      <x:c r="Q424" s="80"/>
      <x:c r="R424" s="80"/>
      <x:c r="S424" s="80"/>
      <x:c r="T424" s="80"/>
      <x:c r="U424" s="80"/>
      <x:c r="V424" s="89" t="str">
        <x:f>IF(A424="","",IF(U424="","",IF(U424="Выигрыш",J424-1,IF(U424="Полувыигрыш",(J424-1)/2,IF(U424="Возврат",0,IF(U424="Полупроигрыш",-0.5,IF(U424="Поражение",-1,"Проверить результат")))))))</x:f>
      </x:c>
      <x:c r="W424" s="80" t="str">
        <x:f>IF(A424="","",IF(U424="","Открыт",IF(ISNUMBER(V424),"Рассчитан","Проверить результат")))</x:f>
      </x:c>
      <x:c r="X424" s="98"/>
      <x:c r="Y424" s="5"/>
      <x:c r="Z424" s="5"/>
      <x:c r="AA424" s="5"/>
      <x:c r="AB424" s="118"/>
      <x:c r="AC424" s="119"/>
      <x:c r="AD424" s="119"/>
      <x:c r="AE424" s="5" t="str">
        <x:f>IF(A424="","",IF(Z424="","Нет ID пары",IF(AND(COUNTIFS($Z$59:$Z$505,Z424,$Y$59:$Y$505,"Оптимальный",$W$59:$W$505,"Рассчитан")=1,COUNTIFS($Z$59:$Z$505,Z424,$Y$59:$Y$505,"Агрессивный",$W$59:$W$505,"Рассчитан")=1),"Да","Нет")))</x:f>
      </x:c>
      <x:c r="AF424" s="5"/>
      <x:c r="AG424" s="5"/>
    </x:row>
    <x:row r="425">
      <x:c r="A425" s="80"/>
      <x:c r="B425" s="80"/>
      <x:c r="C425" s="83"/>
      <x:c r="D425" s="80"/>
      <x:c r="E425" s="80"/>
      <x:c r="F425" s="86"/>
      <x:c r="G425" s="80"/>
      <x:c r="H425" s="95"/>
      <x:c r="I425" s="95"/>
      <x:c r="J425" s="96"/>
      <x:c r="K425" s="97"/>
      <x:c r="L425" s="98"/>
      <x:c r="M425" s="98"/>
      <x:c r="N425" s="98"/>
      <x:c r="O425" s="98"/>
      <x:c r="P425" s="98"/>
      <x:c r="Q425" s="80"/>
      <x:c r="R425" s="80"/>
      <x:c r="S425" s="80"/>
      <x:c r="T425" s="80"/>
      <x:c r="U425" s="80"/>
      <x:c r="V425" s="89" t="str">
        <x:f>IF(A425="","",IF(U425="","",IF(U425="Выигрыш",J425-1,IF(U425="Полувыигрыш",(J425-1)/2,IF(U425="Возврат",0,IF(U425="Полупроигрыш",-0.5,IF(U425="Поражение",-1,"Проверить результат")))))))</x:f>
      </x:c>
      <x:c r="W425" s="80" t="str">
        <x:f>IF(A425="","",IF(U425="","Открыт",IF(ISNUMBER(V425),"Рассчитан","Проверить результат")))</x:f>
      </x:c>
      <x:c r="X425" s="98"/>
      <x:c r="Y425" s="5"/>
      <x:c r="Z425" s="5"/>
      <x:c r="AA425" s="5"/>
      <x:c r="AB425" s="118"/>
      <x:c r="AC425" s="119"/>
      <x:c r="AD425" s="119"/>
      <x:c r="AE425" s="5" t="str">
        <x:f>IF(A425="","",IF(Z425="","Нет ID пары",IF(AND(COUNTIFS($Z$59:$Z$505,Z425,$Y$59:$Y$505,"Оптимальный",$W$59:$W$505,"Рассчитан")=1,COUNTIFS($Z$59:$Z$505,Z425,$Y$59:$Y$505,"Агрессивный",$W$59:$W$505,"Рассчитан")=1),"Да","Нет")))</x:f>
      </x:c>
      <x:c r="AF425" s="5"/>
      <x:c r="AG425" s="5"/>
    </x:row>
    <x:row r="426">
      <x:c r="A426" s="80"/>
      <x:c r="B426" s="80"/>
      <x:c r="C426" s="83"/>
      <x:c r="D426" s="80"/>
      <x:c r="E426" s="80"/>
      <x:c r="F426" s="86"/>
      <x:c r="G426" s="80"/>
      <x:c r="H426" s="95"/>
      <x:c r="I426" s="95"/>
      <x:c r="J426" s="96"/>
      <x:c r="K426" s="97"/>
      <x:c r="L426" s="98"/>
      <x:c r="M426" s="98"/>
      <x:c r="N426" s="98"/>
      <x:c r="O426" s="98"/>
      <x:c r="P426" s="98"/>
      <x:c r="Q426" s="80"/>
      <x:c r="R426" s="80"/>
      <x:c r="S426" s="80"/>
      <x:c r="T426" s="80"/>
      <x:c r="U426" s="80"/>
      <x:c r="V426" s="89" t="str">
        <x:f>IF(A426="","",IF(U426="","",IF(U426="Выигрыш",J426-1,IF(U426="Полувыигрыш",(J426-1)/2,IF(U426="Возврат",0,IF(U426="Полупроигрыш",-0.5,IF(U426="Поражение",-1,"Проверить результат")))))))</x:f>
      </x:c>
      <x:c r="W426" s="80" t="str">
        <x:f>IF(A426="","",IF(U426="","Открыт",IF(ISNUMBER(V426),"Рассчитан","Проверить результат")))</x:f>
      </x:c>
      <x:c r="X426" s="98"/>
      <x:c r="Y426" s="5"/>
      <x:c r="Z426" s="5"/>
      <x:c r="AA426" s="5"/>
      <x:c r="AB426" s="118"/>
      <x:c r="AC426" s="119"/>
      <x:c r="AD426" s="119"/>
      <x:c r="AE426" s="5" t="str">
        <x:f>IF(A426="","",IF(Z426="","Нет ID пары",IF(AND(COUNTIFS($Z$59:$Z$505,Z426,$Y$59:$Y$505,"Оптимальный",$W$59:$W$505,"Рассчитан")=1,COUNTIFS($Z$59:$Z$505,Z426,$Y$59:$Y$505,"Агрессивный",$W$59:$W$505,"Рассчитан")=1),"Да","Нет")))</x:f>
      </x:c>
      <x:c r="AF426" s="5"/>
      <x:c r="AG426" s="5"/>
    </x:row>
    <x:row r="427">
      <x:c r="A427" s="80"/>
      <x:c r="B427" s="80"/>
      <x:c r="C427" s="83"/>
      <x:c r="D427" s="80"/>
      <x:c r="E427" s="80"/>
      <x:c r="F427" s="86"/>
      <x:c r="G427" s="80"/>
      <x:c r="H427" s="95"/>
      <x:c r="I427" s="95"/>
      <x:c r="J427" s="96"/>
      <x:c r="K427" s="97"/>
      <x:c r="L427" s="98"/>
      <x:c r="M427" s="98"/>
      <x:c r="N427" s="98"/>
      <x:c r="O427" s="98"/>
      <x:c r="P427" s="98"/>
      <x:c r="Q427" s="80"/>
      <x:c r="R427" s="80"/>
      <x:c r="S427" s="80"/>
      <x:c r="T427" s="80"/>
      <x:c r="U427" s="80"/>
      <x:c r="V427" s="89" t="str">
        <x:f>IF(A427="","",IF(U427="","",IF(U427="Выигрыш",J427-1,IF(U427="Полувыигрыш",(J427-1)/2,IF(U427="Возврат",0,IF(U427="Полупроигрыш",-0.5,IF(U427="Поражение",-1,"Проверить результат")))))))</x:f>
      </x:c>
      <x:c r="W427" s="80" t="str">
        <x:f>IF(A427="","",IF(U427="","Открыт",IF(ISNUMBER(V427),"Рассчитан","Проверить результат")))</x:f>
      </x:c>
      <x:c r="X427" s="98"/>
      <x:c r="Y427" s="5"/>
      <x:c r="Z427" s="5"/>
      <x:c r="AA427" s="5"/>
      <x:c r="AB427" s="118"/>
      <x:c r="AC427" s="119"/>
      <x:c r="AD427" s="119"/>
      <x:c r="AE427" s="5" t="str">
        <x:f>IF(A427="","",IF(Z427="","Нет ID пары",IF(AND(COUNTIFS($Z$59:$Z$505,Z427,$Y$59:$Y$505,"Оптимальный",$W$59:$W$505,"Рассчитан")=1,COUNTIFS($Z$59:$Z$505,Z427,$Y$59:$Y$505,"Агрессивный",$W$59:$W$505,"Рассчитан")=1),"Да","Нет")))</x:f>
      </x:c>
      <x:c r="AF427" s="5"/>
      <x:c r="AG427" s="5"/>
    </x:row>
    <x:row r="428">
      <x:c r="A428" s="80"/>
      <x:c r="B428" s="80"/>
      <x:c r="C428" s="83"/>
      <x:c r="D428" s="80"/>
      <x:c r="E428" s="80"/>
      <x:c r="F428" s="86"/>
      <x:c r="G428" s="80"/>
      <x:c r="H428" s="95"/>
      <x:c r="I428" s="95"/>
      <x:c r="J428" s="96"/>
      <x:c r="K428" s="97"/>
      <x:c r="L428" s="98"/>
      <x:c r="M428" s="98"/>
      <x:c r="N428" s="98"/>
      <x:c r="O428" s="98"/>
      <x:c r="P428" s="98"/>
      <x:c r="Q428" s="80"/>
      <x:c r="R428" s="80"/>
      <x:c r="S428" s="80"/>
      <x:c r="T428" s="80"/>
      <x:c r="U428" s="80"/>
      <x:c r="V428" s="89" t="str">
        <x:f>IF(A428="","",IF(U428="","",IF(U428="Выигрыш",J428-1,IF(U428="Полувыигрыш",(J428-1)/2,IF(U428="Возврат",0,IF(U428="Полупроигрыш",-0.5,IF(U428="Поражение",-1,"Проверить результат")))))))</x:f>
      </x:c>
      <x:c r="W428" s="80" t="str">
        <x:f>IF(A428="","",IF(U428="","Открыт",IF(ISNUMBER(V428),"Рассчитан","Проверить результат")))</x:f>
      </x:c>
      <x:c r="X428" s="98"/>
      <x:c r="Y428" s="5"/>
      <x:c r="Z428" s="5"/>
      <x:c r="AA428" s="5"/>
      <x:c r="AB428" s="118"/>
      <x:c r="AC428" s="119"/>
      <x:c r="AD428" s="119"/>
      <x:c r="AE428" s="5" t="str">
        <x:f>IF(A428="","",IF(Z428="","Нет ID пары",IF(AND(COUNTIFS($Z$59:$Z$505,Z428,$Y$59:$Y$505,"Оптимальный",$W$59:$W$505,"Рассчитан")=1,COUNTIFS($Z$59:$Z$505,Z428,$Y$59:$Y$505,"Агрессивный",$W$59:$W$505,"Рассчитан")=1),"Да","Нет")))</x:f>
      </x:c>
      <x:c r="AF428" s="5"/>
      <x:c r="AG428" s="5"/>
    </x:row>
    <x:row r="429">
      <x:c r="A429" s="80"/>
      <x:c r="B429" s="80"/>
      <x:c r="C429" s="83"/>
      <x:c r="D429" s="80"/>
      <x:c r="E429" s="80"/>
      <x:c r="F429" s="86"/>
      <x:c r="G429" s="80"/>
      <x:c r="H429" s="95"/>
      <x:c r="I429" s="95"/>
      <x:c r="J429" s="96"/>
      <x:c r="K429" s="97"/>
      <x:c r="L429" s="98"/>
      <x:c r="M429" s="98"/>
      <x:c r="N429" s="98"/>
      <x:c r="O429" s="98"/>
      <x:c r="P429" s="98"/>
      <x:c r="Q429" s="80"/>
      <x:c r="R429" s="80"/>
      <x:c r="S429" s="80"/>
      <x:c r="T429" s="80"/>
      <x:c r="U429" s="80"/>
      <x:c r="V429" s="89" t="str">
        <x:f>IF(A429="","",IF(U429="","",IF(U429="Выигрыш",J429-1,IF(U429="Полувыигрыш",(J429-1)/2,IF(U429="Возврат",0,IF(U429="Полупроигрыш",-0.5,IF(U429="Поражение",-1,"Проверить результат")))))))</x:f>
      </x:c>
      <x:c r="W429" s="80" t="str">
        <x:f>IF(A429="","",IF(U429="","Открыт",IF(ISNUMBER(V429),"Рассчитан","Проверить результат")))</x:f>
      </x:c>
      <x:c r="X429" s="98"/>
      <x:c r="Y429" s="5"/>
      <x:c r="Z429" s="5"/>
      <x:c r="AA429" s="5"/>
      <x:c r="AB429" s="118"/>
      <x:c r="AC429" s="119"/>
      <x:c r="AD429" s="119"/>
      <x:c r="AE429" s="5" t="str">
        <x:f>IF(A429="","",IF(Z429="","Нет ID пары",IF(AND(COUNTIFS($Z$59:$Z$505,Z429,$Y$59:$Y$505,"Оптимальный",$W$59:$W$505,"Рассчитан")=1,COUNTIFS($Z$59:$Z$505,Z429,$Y$59:$Y$505,"Агрессивный",$W$59:$W$505,"Рассчитан")=1),"Да","Нет")))</x:f>
      </x:c>
      <x:c r="AF429" s="5"/>
      <x:c r="AG429" s="5"/>
    </x:row>
    <x:row r="430">
      <x:c r="A430" s="80"/>
      <x:c r="B430" s="80"/>
      <x:c r="C430" s="83"/>
      <x:c r="D430" s="80"/>
      <x:c r="E430" s="80"/>
      <x:c r="F430" s="86"/>
      <x:c r="G430" s="80"/>
      <x:c r="H430" s="95"/>
      <x:c r="I430" s="95"/>
      <x:c r="J430" s="96"/>
      <x:c r="K430" s="97"/>
      <x:c r="L430" s="98"/>
      <x:c r="M430" s="98"/>
      <x:c r="N430" s="98"/>
      <x:c r="O430" s="98"/>
      <x:c r="P430" s="98"/>
      <x:c r="Q430" s="80"/>
      <x:c r="R430" s="80"/>
      <x:c r="S430" s="80"/>
      <x:c r="T430" s="80"/>
      <x:c r="U430" s="80"/>
      <x:c r="V430" s="89" t="str">
        <x:f>IF(A430="","",IF(U430="","",IF(U430="Выигрыш",J430-1,IF(U430="Полувыигрыш",(J430-1)/2,IF(U430="Возврат",0,IF(U430="Полупроигрыш",-0.5,IF(U430="Поражение",-1,"Проверить результат")))))))</x:f>
      </x:c>
      <x:c r="W430" s="80" t="str">
        <x:f>IF(A430="","",IF(U430="","Открыт",IF(ISNUMBER(V430),"Рассчитан","Проверить результат")))</x:f>
      </x:c>
      <x:c r="X430" s="98"/>
      <x:c r="Y430" s="5"/>
      <x:c r="Z430" s="5"/>
      <x:c r="AA430" s="5"/>
      <x:c r="AB430" s="118"/>
      <x:c r="AC430" s="119"/>
      <x:c r="AD430" s="119"/>
      <x:c r="AE430" s="5" t="str">
        <x:f>IF(A430="","",IF(Z430="","Нет ID пары",IF(AND(COUNTIFS($Z$59:$Z$505,Z430,$Y$59:$Y$505,"Оптимальный",$W$59:$W$505,"Рассчитан")=1,COUNTIFS($Z$59:$Z$505,Z430,$Y$59:$Y$505,"Агрессивный",$W$59:$W$505,"Рассчитан")=1),"Да","Нет")))</x:f>
      </x:c>
      <x:c r="AF430" s="5"/>
      <x:c r="AG430" s="5"/>
    </x:row>
    <x:row r="431">
      <x:c r="A431" s="80"/>
      <x:c r="B431" s="80"/>
      <x:c r="C431" s="83"/>
      <x:c r="D431" s="80"/>
      <x:c r="E431" s="80"/>
      <x:c r="F431" s="86"/>
      <x:c r="G431" s="80"/>
      <x:c r="H431" s="95"/>
      <x:c r="I431" s="95"/>
      <x:c r="J431" s="96"/>
      <x:c r="K431" s="97"/>
      <x:c r="L431" s="98"/>
      <x:c r="M431" s="98"/>
      <x:c r="N431" s="98"/>
      <x:c r="O431" s="98"/>
      <x:c r="P431" s="98"/>
      <x:c r="Q431" s="80"/>
      <x:c r="R431" s="80"/>
      <x:c r="S431" s="80"/>
      <x:c r="T431" s="80"/>
      <x:c r="U431" s="80"/>
      <x:c r="V431" s="89" t="str">
        <x:f>IF(A431="","",IF(U431="","",IF(U431="Выигрыш",J431-1,IF(U431="Полувыигрыш",(J431-1)/2,IF(U431="Возврат",0,IF(U431="Полупроигрыш",-0.5,IF(U431="Поражение",-1,"Проверить результат")))))))</x:f>
      </x:c>
      <x:c r="W431" s="80" t="str">
        <x:f>IF(A431="","",IF(U431="","Открыт",IF(ISNUMBER(V431),"Рассчитан","Проверить результат")))</x:f>
      </x:c>
      <x:c r="X431" s="98"/>
      <x:c r="Y431" s="5"/>
      <x:c r="Z431" s="5"/>
      <x:c r="AA431" s="5"/>
      <x:c r="AB431" s="118"/>
      <x:c r="AC431" s="119"/>
      <x:c r="AD431" s="119"/>
      <x:c r="AE431" s="5" t="str">
        <x:f>IF(A431="","",IF(Z431="","Нет ID пары",IF(AND(COUNTIFS($Z$59:$Z$505,Z431,$Y$59:$Y$505,"Оптимальный",$W$59:$W$505,"Рассчитан")=1,COUNTIFS($Z$59:$Z$505,Z431,$Y$59:$Y$505,"Агрессивный",$W$59:$W$505,"Рассчитан")=1),"Да","Нет")))</x:f>
      </x:c>
      <x:c r="AF431" s="5"/>
      <x:c r="AG431" s="5"/>
    </x:row>
    <x:row r="432">
      <x:c r="A432" s="80"/>
      <x:c r="B432" s="80"/>
      <x:c r="C432" s="83"/>
      <x:c r="D432" s="80"/>
      <x:c r="E432" s="80"/>
      <x:c r="F432" s="86"/>
      <x:c r="G432" s="80"/>
      <x:c r="H432" s="95"/>
      <x:c r="I432" s="95"/>
      <x:c r="J432" s="96"/>
      <x:c r="K432" s="97"/>
      <x:c r="L432" s="98"/>
      <x:c r="M432" s="98"/>
      <x:c r="N432" s="98"/>
      <x:c r="O432" s="98"/>
      <x:c r="P432" s="98"/>
      <x:c r="Q432" s="80"/>
      <x:c r="R432" s="80"/>
      <x:c r="S432" s="80"/>
      <x:c r="T432" s="80"/>
      <x:c r="U432" s="80"/>
      <x:c r="V432" s="89" t="str">
        <x:f>IF(A432="","",IF(U432="","",IF(U432="Выигрыш",J432-1,IF(U432="Полувыигрыш",(J432-1)/2,IF(U432="Возврат",0,IF(U432="Полупроигрыш",-0.5,IF(U432="Поражение",-1,"Проверить результат")))))))</x:f>
      </x:c>
      <x:c r="W432" s="80" t="str">
        <x:f>IF(A432="","",IF(U432="","Открыт",IF(ISNUMBER(V432),"Рассчитан","Проверить результат")))</x:f>
      </x:c>
      <x:c r="X432" s="98"/>
      <x:c r="Y432" s="5"/>
      <x:c r="Z432" s="5"/>
      <x:c r="AA432" s="5"/>
      <x:c r="AB432" s="118"/>
      <x:c r="AC432" s="119"/>
      <x:c r="AD432" s="119"/>
      <x:c r="AE432" s="5" t="str">
        <x:f>IF(A432="","",IF(Z432="","Нет ID пары",IF(AND(COUNTIFS($Z$59:$Z$505,Z432,$Y$59:$Y$505,"Оптимальный",$W$59:$W$505,"Рассчитан")=1,COUNTIFS($Z$59:$Z$505,Z432,$Y$59:$Y$505,"Агрессивный",$W$59:$W$505,"Рассчитан")=1),"Да","Нет")))</x:f>
      </x:c>
      <x:c r="AF432" s="5"/>
      <x:c r="AG432" s="5"/>
    </x:row>
    <x:row r="433">
      <x:c r="A433" s="80"/>
      <x:c r="B433" s="80"/>
      <x:c r="C433" s="83"/>
      <x:c r="D433" s="80"/>
      <x:c r="E433" s="80"/>
      <x:c r="F433" s="86"/>
      <x:c r="G433" s="80"/>
      <x:c r="H433" s="95"/>
      <x:c r="I433" s="95"/>
      <x:c r="J433" s="96"/>
      <x:c r="K433" s="97"/>
      <x:c r="L433" s="98"/>
      <x:c r="M433" s="98"/>
      <x:c r="N433" s="98"/>
      <x:c r="O433" s="98"/>
      <x:c r="P433" s="98"/>
      <x:c r="Q433" s="80"/>
      <x:c r="R433" s="80"/>
      <x:c r="S433" s="80"/>
      <x:c r="T433" s="80"/>
      <x:c r="U433" s="80"/>
      <x:c r="V433" s="89" t="str">
        <x:f>IF(A433="","",IF(U433="","",IF(U433="Выигрыш",J433-1,IF(U433="Полувыигрыш",(J433-1)/2,IF(U433="Возврат",0,IF(U433="Полупроигрыш",-0.5,IF(U433="Поражение",-1,"Проверить результат")))))))</x:f>
      </x:c>
      <x:c r="W433" s="80" t="str">
        <x:f>IF(A433="","",IF(U433="","Открыт",IF(ISNUMBER(V433),"Рассчитан","Проверить результат")))</x:f>
      </x:c>
      <x:c r="X433" s="98"/>
      <x:c r="Y433" s="5"/>
      <x:c r="Z433" s="5"/>
      <x:c r="AA433" s="5"/>
      <x:c r="AB433" s="118"/>
      <x:c r="AC433" s="119"/>
      <x:c r="AD433" s="119"/>
      <x:c r="AE433" s="5" t="str">
        <x:f>IF(A433="","",IF(Z433="","Нет ID пары",IF(AND(COUNTIFS($Z$59:$Z$505,Z433,$Y$59:$Y$505,"Оптимальный",$W$59:$W$505,"Рассчитан")=1,COUNTIFS($Z$59:$Z$505,Z433,$Y$59:$Y$505,"Агрессивный",$W$59:$W$505,"Рассчитан")=1),"Да","Нет")))</x:f>
      </x:c>
      <x:c r="AF433" s="5"/>
      <x:c r="AG433" s="5"/>
    </x:row>
    <x:row r="434">
      <x:c r="A434" s="80"/>
      <x:c r="B434" s="80"/>
      <x:c r="C434" s="83"/>
      <x:c r="D434" s="80"/>
      <x:c r="E434" s="80"/>
      <x:c r="F434" s="86"/>
      <x:c r="G434" s="80"/>
      <x:c r="H434" s="95"/>
      <x:c r="I434" s="95"/>
      <x:c r="J434" s="96"/>
      <x:c r="K434" s="97"/>
      <x:c r="L434" s="98"/>
      <x:c r="M434" s="98"/>
      <x:c r="N434" s="98"/>
      <x:c r="O434" s="98"/>
      <x:c r="P434" s="98"/>
      <x:c r="Q434" s="80"/>
      <x:c r="R434" s="80"/>
      <x:c r="S434" s="80"/>
      <x:c r="T434" s="80"/>
      <x:c r="U434" s="80"/>
      <x:c r="V434" s="89" t="str">
        <x:f>IF(A434="","",IF(U434="","",IF(U434="Выигрыш",J434-1,IF(U434="Полувыигрыш",(J434-1)/2,IF(U434="Возврат",0,IF(U434="Полупроигрыш",-0.5,IF(U434="Поражение",-1,"Проверить результат")))))))</x:f>
      </x:c>
      <x:c r="W434" s="80" t="str">
        <x:f>IF(A434="","",IF(U434="","Открыт",IF(ISNUMBER(V434),"Рассчитан","Проверить результат")))</x:f>
      </x:c>
      <x:c r="X434" s="98"/>
      <x:c r="Y434" s="5"/>
      <x:c r="Z434" s="5"/>
      <x:c r="AA434" s="5"/>
      <x:c r="AB434" s="118"/>
      <x:c r="AC434" s="119"/>
      <x:c r="AD434" s="119"/>
      <x:c r="AE434" s="5" t="str">
        <x:f>IF(A434="","",IF(Z434="","Нет ID пары",IF(AND(COUNTIFS($Z$59:$Z$505,Z434,$Y$59:$Y$505,"Оптимальный",$W$59:$W$505,"Рассчитан")=1,COUNTIFS($Z$59:$Z$505,Z434,$Y$59:$Y$505,"Агрессивный",$W$59:$W$505,"Рассчитан")=1),"Да","Нет")))</x:f>
      </x:c>
      <x:c r="AF434" s="5"/>
      <x:c r="AG434" s="5"/>
    </x:row>
    <x:row r="435">
      <x:c r="A435" s="80"/>
      <x:c r="B435" s="80"/>
      <x:c r="C435" s="83"/>
      <x:c r="D435" s="80"/>
      <x:c r="E435" s="80"/>
      <x:c r="F435" s="86"/>
      <x:c r="G435" s="80"/>
      <x:c r="H435" s="95"/>
      <x:c r="I435" s="95"/>
      <x:c r="J435" s="96"/>
      <x:c r="K435" s="97"/>
      <x:c r="L435" s="98"/>
      <x:c r="M435" s="98"/>
      <x:c r="N435" s="98"/>
      <x:c r="O435" s="98"/>
      <x:c r="P435" s="98"/>
      <x:c r="Q435" s="80"/>
      <x:c r="R435" s="80"/>
      <x:c r="S435" s="80"/>
      <x:c r="T435" s="80"/>
      <x:c r="U435" s="80"/>
      <x:c r="V435" s="89" t="str">
        <x:f>IF(A435="","",IF(U435="","",IF(U435="Выигрыш",J435-1,IF(U435="Полувыигрыш",(J435-1)/2,IF(U435="Возврат",0,IF(U435="Полупроигрыш",-0.5,IF(U435="Поражение",-1,"Проверить результат")))))))</x:f>
      </x:c>
      <x:c r="W435" s="80" t="str">
        <x:f>IF(A435="","",IF(U435="","Открыт",IF(ISNUMBER(V435),"Рассчитан","Проверить результат")))</x:f>
      </x:c>
      <x:c r="X435" s="98"/>
      <x:c r="Y435" s="5"/>
      <x:c r="Z435" s="5"/>
      <x:c r="AA435" s="5"/>
      <x:c r="AB435" s="118"/>
      <x:c r="AC435" s="119"/>
      <x:c r="AD435" s="119"/>
      <x:c r="AE435" s="5" t="str">
        <x:f>IF(A435="","",IF(Z435="","Нет ID пары",IF(AND(COUNTIFS($Z$59:$Z$505,Z435,$Y$59:$Y$505,"Оптимальный",$W$59:$W$505,"Рассчитан")=1,COUNTIFS($Z$59:$Z$505,Z435,$Y$59:$Y$505,"Агрессивный",$W$59:$W$505,"Рассчитан")=1),"Да","Нет")))</x:f>
      </x:c>
      <x:c r="AF435" s="5"/>
      <x:c r="AG435" s="5"/>
    </x:row>
    <x:row r="436">
      <x:c r="A436" s="80"/>
      <x:c r="B436" s="80"/>
      <x:c r="C436" s="83"/>
      <x:c r="D436" s="80"/>
      <x:c r="E436" s="80"/>
      <x:c r="F436" s="86"/>
      <x:c r="G436" s="80"/>
      <x:c r="H436" s="95"/>
      <x:c r="I436" s="95"/>
      <x:c r="J436" s="96"/>
      <x:c r="K436" s="97"/>
      <x:c r="L436" s="98"/>
      <x:c r="M436" s="98"/>
      <x:c r="N436" s="98"/>
      <x:c r="O436" s="98"/>
      <x:c r="P436" s="98"/>
      <x:c r="Q436" s="80"/>
      <x:c r="R436" s="80"/>
      <x:c r="S436" s="80"/>
      <x:c r="T436" s="80"/>
      <x:c r="U436" s="80"/>
      <x:c r="V436" s="89" t="str">
        <x:f>IF(A436="","",IF(U436="","",IF(U436="Выигрыш",J436-1,IF(U436="Полувыигрыш",(J436-1)/2,IF(U436="Возврат",0,IF(U436="Полупроигрыш",-0.5,IF(U436="Поражение",-1,"Проверить результат")))))))</x:f>
      </x:c>
      <x:c r="W436" s="80" t="str">
        <x:f>IF(A436="","",IF(U436="","Открыт",IF(ISNUMBER(V436),"Рассчитан","Проверить результат")))</x:f>
      </x:c>
      <x:c r="X436" s="98"/>
      <x:c r="Y436" s="5"/>
      <x:c r="Z436" s="5"/>
      <x:c r="AA436" s="5"/>
      <x:c r="AB436" s="118"/>
      <x:c r="AC436" s="119"/>
      <x:c r="AD436" s="119"/>
      <x:c r="AE436" s="5" t="str">
        <x:f>IF(A436="","",IF(Z436="","Нет ID пары",IF(AND(COUNTIFS($Z$59:$Z$505,Z436,$Y$59:$Y$505,"Оптимальный",$W$59:$W$505,"Рассчитан")=1,COUNTIFS($Z$59:$Z$505,Z436,$Y$59:$Y$505,"Агрессивный",$W$59:$W$505,"Рассчитан")=1),"Да","Нет")))</x:f>
      </x:c>
      <x:c r="AF436" s="5"/>
      <x:c r="AG436" s="5"/>
    </x:row>
    <x:row r="437">
      <x:c r="A437" s="80"/>
      <x:c r="B437" s="80"/>
      <x:c r="C437" s="83"/>
      <x:c r="D437" s="80"/>
      <x:c r="E437" s="80"/>
      <x:c r="F437" s="86"/>
      <x:c r="G437" s="80"/>
      <x:c r="H437" s="95"/>
      <x:c r="I437" s="95"/>
      <x:c r="J437" s="96"/>
      <x:c r="K437" s="97"/>
      <x:c r="L437" s="98"/>
      <x:c r="M437" s="98"/>
      <x:c r="N437" s="98"/>
      <x:c r="O437" s="98"/>
      <x:c r="P437" s="98"/>
      <x:c r="Q437" s="80"/>
      <x:c r="R437" s="80"/>
      <x:c r="S437" s="80"/>
      <x:c r="T437" s="80"/>
      <x:c r="U437" s="80"/>
      <x:c r="V437" s="89" t="str">
        <x:f>IF(A437="","",IF(U437="","",IF(U437="Выигрыш",J437-1,IF(U437="Полувыигрыш",(J437-1)/2,IF(U437="Возврат",0,IF(U437="Полупроигрыш",-0.5,IF(U437="Поражение",-1,"Проверить результат")))))))</x:f>
      </x:c>
      <x:c r="W437" s="80" t="str">
        <x:f>IF(A437="","",IF(U437="","Открыт",IF(ISNUMBER(V437),"Рассчитан","Проверить результат")))</x:f>
      </x:c>
      <x:c r="X437" s="98"/>
      <x:c r="Y437" s="5"/>
      <x:c r="Z437" s="5"/>
      <x:c r="AA437" s="5"/>
      <x:c r="AB437" s="118"/>
      <x:c r="AC437" s="119"/>
      <x:c r="AD437" s="119"/>
      <x:c r="AE437" s="5" t="str">
        <x:f>IF(A437="","",IF(Z437="","Нет ID пары",IF(AND(COUNTIFS($Z$59:$Z$505,Z437,$Y$59:$Y$505,"Оптимальный",$W$59:$W$505,"Рассчитан")=1,COUNTIFS($Z$59:$Z$505,Z437,$Y$59:$Y$505,"Агрессивный",$W$59:$W$505,"Рассчитан")=1),"Да","Нет")))</x:f>
      </x:c>
      <x:c r="AF437" s="5"/>
      <x:c r="AG437" s="5"/>
    </x:row>
    <x:row r="438">
      <x:c r="A438" s="80"/>
      <x:c r="B438" s="80"/>
      <x:c r="C438" s="83"/>
      <x:c r="D438" s="80"/>
      <x:c r="E438" s="80"/>
      <x:c r="F438" s="86"/>
      <x:c r="G438" s="80"/>
      <x:c r="H438" s="95"/>
      <x:c r="I438" s="95"/>
      <x:c r="J438" s="96"/>
      <x:c r="K438" s="97"/>
      <x:c r="L438" s="98"/>
      <x:c r="M438" s="98"/>
      <x:c r="N438" s="98"/>
      <x:c r="O438" s="98"/>
      <x:c r="P438" s="98"/>
      <x:c r="Q438" s="80"/>
      <x:c r="R438" s="80"/>
      <x:c r="S438" s="80"/>
      <x:c r="T438" s="80"/>
      <x:c r="U438" s="80"/>
      <x:c r="V438" s="89" t="str">
        <x:f>IF(A438="","",IF(U438="","",IF(U438="Выигрыш",J438-1,IF(U438="Полувыигрыш",(J438-1)/2,IF(U438="Возврат",0,IF(U438="Полупроигрыш",-0.5,IF(U438="Поражение",-1,"Проверить результат")))))))</x:f>
      </x:c>
      <x:c r="W438" s="80" t="str">
        <x:f>IF(A438="","",IF(U438="","Открыт",IF(ISNUMBER(V438),"Рассчитан","Проверить результат")))</x:f>
      </x:c>
      <x:c r="X438" s="98"/>
      <x:c r="Y438" s="5"/>
      <x:c r="Z438" s="5"/>
      <x:c r="AA438" s="5"/>
      <x:c r="AB438" s="118"/>
      <x:c r="AC438" s="119"/>
      <x:c r="AD438" s="119"/>
      <x:c r="AE438" s="5" t="str">
        <x:f>IF(A438="","",IF(Z438="","Нет ID пары",IF(AND(COUNTIFS($Z$59:$Z$505,Z438,$Y$59:$Y$505,"Оптимальный",$W$59:$W$505,"Рассчитан")=1,COUNTIFS($Z$59:$Z$505,Z438,$Y$59:$Y$505,"Агрессивный",$W$59:$W$505,"Рассчитан")=1),"Да","Нет")))</x:f>
      </x:c>
      <x:c r="AF438" s="5"/>
      <x:c r="AG438" s="5"/>
    </x:row>
    <x:row r="439">
      <x:c r="A439" s="80"/>
      <x:c r="B439" s="80"/>
      <x:c r="C439" s="83"/>
      <x:c r="D439" s="80"/>
      <x:c r="E439" s="80"/>
      <x:c r="F439" s="86"/>
      <x:c r="G439" s="80"/>
      <x:c r="H439" s="95"/>
      <x:c r="I439" s="95"/>
      <x:c r="J439" s="96"/>
      <x:c r="K439" s="97"/>
      <x:c r="L439" s="98"/>
      <x:c r="M439" s="98"/>
      <x:c r="N439" s="98"/>
      <x:c r="O439" s="98"/>
      <x:c r="P439" s="98"/>
      <x:c r="Q439" s="80"/>
      <x:c r="R439" s="80"/>
      <x:c r="S439" s="80"/>
      <x:c r="T439" s="80"/>
      <x:c r="U439" s="80"/>
      <x:c r="V439" s="89" t="str">
        <x:f>IF(A439="","",IF(U439="","",IF(U439="Выигрыш",J439-1,IF(U439="Полувыигрыш",(J439-1)/2,IF(U439="Возврат",0,IF(U439="Полупроигрыш",-0.5,IF(U439="Поражение",-1,"Проверить результат")))))))</x:f>
      </x:c>
      <x:c r="W439" s="80" t="str">
        <x:f>IF(A439="","",IF(U439="","Открыт",IF(ISNUMBER(V439),"Рассчитан","Проверить результат")))</x:f>
      </x:c>
      <x:c r="X439" s="98"/>
      <x:c r="Y439" s="5"/>
      <x:c r="Z439" s="5"/>
      <x:c r="AA439" s="5"/>
      <x:c r="AB439" s="118"/>
      <x:c r="AC439" s="119"/>
      <x:c r="AD439" s="119"/>
      <x:c r="AE439" s="5" t="str">
        <x:f>IF(A439="","",IF(Z439="","Нет ID пары",IF(AND(COUNTIFS($Z$59:$Z$505,Z439,$Y$59:$Y$505,"Оптимальный",$W$59:$W$505,"Рассчитан")=1,COUNTIFS($Z$59:$Z$505,Z439,$Y$59:$Y$505,"Агрессивный",$W$59:$W$505,"Рассчитан")=1),"Да","Нет")))</x:f>
      </x:c>
      <x:c r="AF439" s="5"/>
      <x:c r="AG439" s="5"/>
    </x:row>
    <x:row r="440">
      <x:c r="A440" s="80"/>
      <x:c r="B440" s="80"/>
      <x:c r="C440" s="83"/>
      <x:c r="D440" s="80"/>
      <x:c r="E440" s="80"/>
      <x:c r="F440" s="86"/>
      <x:c r="G440" s="80"/>
      <x:c r="H440" s="95"/>
      <x:c r="I440" s="95"/>
      <x:c r="J440" s="96"/>
      <x:c r="K440" s="97"/>
      <x:c r="L440" s="98"/>
      <x:c r="M440" s="98"/>
      <x:c r="N440" s="98"/>
      <x:c r="O440" s="98"/>
      <x:c r="P440" s="98"/>
      <x:c r="Q440" s="80"/>
      <x:c r="R440" s="80"/>
      <x:c r="S440" s="80"/>
      <x:c r="T440" s="80"/>
      <x:c r="U440" s="80"/>
      <x:c r="V440" s="89" t="str">
        <x:f>IF(A440="","",IF(U440="","",IF(U440="Выигрыш",J440-1,IF(U440="Полувыигрыш",(J440-1)/2,IF(U440="Возврат",0,IF(U440="Полупроигрыш",-0.5,IF(U440="Поражение",-1,"Проверить результат")))))))</x:f>
      </x:c>
      <x:c r="W440" s="80" t="str">
        <x:f>IF(A440="","",IF(U440="","Открыт",IF(ISNUMBER(V440),"Рассчитан","Проверить результат")))</x:f>
      </x:c>
      <x:c r="X440" s="98"/>
      <x:c r="Y440" s="5"/>
      <x:c r="Z440" s="5"/>
      <x:c r="AA440" s="5"/>
      <x:c r="AB440" s="118"/>
      <x:c r="AC440" s="119"/>
      <x:c r="AD440" s="119"/>
      <x:c r="AE440" s="5" t="str">
        <x:f>IF(A440="","",IF(Z440="","Нет ID пары",IF(AND(COUNTIFS($Z$59:$Z$505,Z440,$Y$59:$Y$505,"Оптимальный",$W$59:$W$505,"Рассчитан")=1,COUNTIFS($Z$59:$Z$505,Z440,$Y$59:$Y$505,"Агрессивный",$W$59:$W$505,"Рассчитан")=1),"Да","Нет")))</x:f>
      </x:c>
      <x:c r="AF440" s="5"/>
      <x:c r="AG440" s="5"/>
    </x:row>
    <x:row r="441">
      <x:c r="A441" s="80"/>
      <x:c r="B441" s="80"/>
      <x:c r="C441" s="83"/>
      <x:c r="D441" s="80"/>
      <x:c r="E441" s="80"/>
      <x:c r="F441" s="86"/>
      <x:c r="G441" s="80"/>
      <x:c r="H441" s="95"/>
      <x:c r="I441" s="95"/>
      <x:c r="J441" s="96"/>
      <x:c r="K441" s="97"/>
      <x:c r="L441" s="98"/>
      <x:c r="M441" s="98"/>
      <x:c r="N441" s="98"/>
      <x:c r="O441" s="98"/>
      <x:c r="P441" s="98"/>
      <x:c r="Q441" s="80"/>
      <x:c r="R441" s="80"/>
      <x:c r="S441" s="80"/>
      <x:c r="T441" s="80"/>
      <x:c r="U441" s="80"/>
      <x:c r="V441" s="89" t="str">
        <x:f>IF(A441="","",IF(U441="","",IF(U441="Выигрыш",J441-1,IF(U441="Полувыигрыш",(J441-1)/2,IF(U441="Возврат",0,IF(U441="Полупроигрыш",-0.5,IF(U441="Поражение",-1,"Проверить результат")))))))</x:f>
      </x:c>
      <x:c r="W441" s="80" t="str">
        <x:f>IF(A441="","",IF(U441="","Открыт",IF(ISNUMBER(V441),"Рассчитан","Проверить результат")))</x:f>
      </x:c>
      <x:c r="X441" s="98"/>
      <x:c r="Y441" s="5"/>
      <x:c r="Z441" s="5"/>
      <x:c r="AA441" s="5"/>
      <x:c r="AB441" s="118"/>
      <x:c r="AC441" s="119"/>
      <x:c r="AD441" s="119"/>
      <x:c r="AE441" s="5" t="str">
        <x:f>IF(A441="","",IF(Z441="","Нет ID пары",IF(AND(COUNTIFS($Z$59:$Z$505,Z441,$Y$59:$Y$505,"Оптимальный",$W$59:$W$505,"Рассчитан")=1,COUNTIFS($Z$59:$Z$505,Z441,$Y$59:$Y$505,"Агрессивный",$W$59:$W$505,"Рассчитан")=1),"Да","Нет")))</x:f>
      </x:c>
      <x:c r="AF441" s="5"/>
      <x:c r="AG441" s="5"/>
    </x:row>
    <x:row r="442">
      <x:c r="A442" s="80"/>
      <x:c r="B442" s="80"/>
      <x:c r="C442" s="83"/>
      <x:c r="D442" s="80"/>
      <x:c r="E442" s="80"/>
      <x:c r="F442" s="86"/>
      <x:c r="G442" s="80"/>
      <x:c r="H442" s="95"/>
      <x:c r="I442" s="95"/>
      <x:c r="J442" s="96"/>
      <x:c r="K442" s="97"/>
      <x:c r="L442" s="98"/>
      <x:c r="M442" s="98"/>
      <x:c r="N442" s="98"/>
      <x:c r="O442" s="98"/>
      <x:c r="P442" s="98"/>
      <x:c r="Q442" s="80"/>
      <x:c r="R442" s="80"/>
      <x:c r="S442" s="80"/>
      <x:c r="T442" s="80"/>
      <x:c r="U442" s="80"/>
      <x:c r="V442" s="89" t="str">
        <x:f>IF(A442="","",IF(U442="","",IF(U442="Выигрыш",J442-1,IF(U442="Полувыигрыш",(J442-1)/2,IF(U442="Возврат",0,IF(U442="Полупроигрыш",-0.5,IF(U442="Поражение",-1,"Проверить результат")))))))</x:f>
      </x:c>
      <x:c r="W442" s="80" t="str">
        <x:f>IF(A442="","",IF(U442="","Открыт",IF(ISNUMBER(V442),"Рассчитан","Проверить результат")))</x:f>
      </x:c>
      <x:c r="X442" s="98"/>
      <x:c r="Y442" s="5"/>
      <x:c r="Z442" s="5"/>
      <x:c r="AA442" s="5"/>
      <x:c r="AB442" s="118"/>
      <x:c r="AC442" s="119"/>
      <x:c r="AD442" s="119"/>
      <x:c r="AE442" s="5" t="str">
        <x:f>IF(A442="","",IF(Z442="","Нет ID пары",IF(AND(COUNTIFS($Z$59:$Z$505,Z442,$Y$59:$Y$505,"Оптимальный",$W$59:$W$505,"Рассчитан")=1,COUNTIFS($Z$59:$Z$505,Z442,$Y$59:$Y$505,"Агрессивный",$W$59:$W$505,"Рассчитан")=1),"Да","Нет")))</x:f>
      </x:c>
      <x:c r="AF442" s="5"/>
      <x:c r="AG442" s="5"/>
    </x:row>
    <x:row r="443">
      <x:c r="A443" s="80"/>
      <x:c r="B443" s="80"/>
      <x:c r="C443" s="83"/>
      <x:c r="D443" s="80"/>
      <x:c r="E443" s="80"/>
      <x:c r="F443" s="86"/>
      <x:c r="G443" s="80"/>
      <x:c r="H443" s="95"/>
      <x:c r="I443" s="95"/>
      <x:c r="J443" s="96"/>
      <x:c r="K443" s="97"/>
      <x:c r="L443" s="98"/>
      <x:c r="M443" s="98"/>
      <x:c r="N443" s="98"/>
      <x:c r="O443" s="98"/>
      <x:c r="P443" s="98"/>
      <x:c r="Q443" s="80"/>
      <x:c r="R443" s="80"/>
      <x:c r="S443" s="80"/>
      <x:c r="T443" s="80"/>
      <x:c r="U443" s="80"/>
      <x:c r="V443" s="89" t="str">
        <x:f>IF(A443="","",IF(U443="","",IF(U443="Выигрыш",J443-1,IF(U443="Полувыигрыш",(J443-1)/2,IF(U443="Возврат",0,IF(U443="Полупроигрыш",-0.5,IF(U443="Поражение",-1,"Проверить результат")))))))</x:f>
      </x:c>
      <x:c r="W443" s="80" t="str">
        <x:f>IF(A443="","",IF(U443="","Открыт",IF(ISNUMBER(V443),"Рассчитан","Проверить результат")))</x:f>
      </x:c>
      <x:c r="X443" s="98"/>
      <x:c r="Y443" s="5"/>
      <x:c r="Z443" s="5"/>
      <x:c r="AA443" s="5"/>
      <x:c r="AB443" s="118"/>
      <x:c r="AC443" s="119"/>
      <x:c r="AD443" s="119"/>
      <x:c r="AE443" s="5" t="str">
        <x:f>IF(A443="","",IF(Z443="","Нет ID пары",IF(AND(COUNTIFS($Z$59:$Z$505,Z443,$Y$59:$Y$505,"Оптимальный",$W$59:$W$505,"Рассчитан")=1,COUNTIFS($Z$59:$Z$505,Z443,$Y$59:$Y$505,"Агрессивный",$W$59:$W$505,"Рассчитан")=1),"Да","Нет")))</x:f>
      </x:c>
      <x:c r="AF443" s="5"/>
      <x:c r="AG443" s="5"/>
    </x:row>
    <x:row r="444">
      <x:c r="A444" s="80"/>
      <x:c r="B444" s="80"/>
      <x:c r="C444" s="83"/>
      <x:c r="D444" s="80"/>
      <x:c r="E444" s="80"/>
      <x:c r="F444" s="86"/>
      <x:c r="G444" s="80"/>
      <x:c r="H444" s="95"/>
      <x:c r="I444" s="95"/>
      <x:c r="J444" s="96"/>
      <x:c r="K444" s="97"/>
      <x:c r="L444" s="98"/>
      <x:c r="M444" s="98"/>
      <x:c r="N444" s="98"/>
      <x:c r="O444" s="98"/>
      <x:c r="P444" s="98"/>
      <x:c r="Q444" s="80"/>
      <x:c r="R444" s="80"/>
      <x:c r="S444" s="80"/>
      <x:c r="T444" s="80"/>
      <x:c r="U444" s="80"/>
      <x:c r="V444" s="89" t="str">
        <x:f>IF(A444="","",IF(U444="","",IF(U444="Выигрыш",J444-1,IF(U444="Полувыигрыш",(J444-1)/2,IF(U444="Возврат",0,IF(U444="Полупроигрыш",-0.5,IF(U444="Поражение",-1,"Проверить результат")))))))</x:f>
      </x:c>
      <x:c r="W444" s="80" t="str">
        <x:f>IF(A444="","",IF(U444="","Открыт",IF(ISNUMBER(V444),"Рассчитан","Проверить результат")))</x:f>
      </x:c>
      <x:c r="X444" s="98"/>
      <x:c r="Y444" s="5"/>
      <x:c r="Z444" s="5"/>
      <x:c r="AA444" s="5"/>
      <x:c r="AB444" s="118"/>
      <x:c r="AC444" s="119"/>
      <x:c r="AD444" s="119"/>
      <x:c r="AE444" s="5" t="str">
        <x:f>IF(A444="","",IF(Z444="","Нет ID пары",IF(AND(COUNTIFS($Z$59:$Z$505,Z444,$Y$59:$Y$505,"Оптимальный",$W$59:$W$505,"Рассчитан")=1,COUNTIFS($Z$59:$Z$505,Z444,$Y$59:$Y$505,"Агрессивный",$W$59:$W$505,"Рассчитан")=1),"Да","Нет")))</x:f>
      </x:c>
      <x:c r="AF444" s="5"/>
      <x:c r="AG444" s="5"/>
    </x:row>
    <x:row r="445">
      <x:c r="A445" s="80"/>
      <x:c r="B445" s="80"/>
      <x:c r="C445" s="83"/>
      <x:c r="D445" s="80"/>
      <x:c r="E445" s="80"/>
      <x:c r="F445" s="86"/>
      <x:c r="G445" s="80"/>
      <x:c r="H445" s="95"/>
      <x:c r="I445" s="95"/>
      <x:c r="J445" s="96"/>
      <x:c r="K445" s="97"/>
      <x:c r="L445" s="98"/>
      <x:c r="M445" s="98"/>
      <x:c r="N445" s="98"/>
      <x:c r="O445" s="98"/>
      <x:c r="P445" s="98"/>
      <x:c r="Q445" s="80"/>
      <x:c r="R445" s="80"/>
      <x:c r="S445" s="80"/>
      <x:c r="T445" s="80"/>
      <x:c r="U445" s="80"/>
      <x:c r="V445" s="89" t="str">
        <x:f>IF(A445="","",IF(U445="","",IF(U445="Выигрыш",J445-1,IF(U445="Полувыигрыш",(J445-1)/2,IF(U445="Возврат",0,IF(U445="Полупроигрыш",-0.5,IF(U445="Поражение",-1,"Проверить результат")))))))</x:f>
      </x:c>
      <x:c r="W445" s="80" t="str">
        <x:f>IF(A445="","",IF(U445="","Открыт",IF(ISNUMBER(V445),"Рассчитан","Проверить результат")))</x:f>
      </x:c>
      <x:c r="X445" s="98"/>
      <x:c r="Y445" s="5"/>
      <x:c r="Z445" s="5"/>
      <x:c r="AA445" s="5"/>
      <x:c r="AB445" s="118"/>
      <x:c r="AC445" s="119"/>
      <x:c r="AD445" s="119"/>
      <x:c r="AE445" s="5" t="str">
        <x:f>IF(A445="","",IF(Z445="","Нет ID пары",IF(AND(COUNTIFS($Z$59:$Z$505,Z445,$Y$59:$Y$505,"Оптимальный",$W$59:$W$505,"Рассчитан")=1,COUNTIFS($Z$59:$Z$505,Z445,$Y$59:$Y$505,"Агрессивный",$W$59:$W$505,"Рассчитан")=1),"Да","Нет")))</x:f>
      </x:c>
      <x:c r="AF445" s="5"/>
      <x:c r="AG445" s="5"/>
    </x:row>
    <x:row r="446">
      <x:c r="A446" s="80"/>
      <x:c r="B446" s="80"/>
      <x:c r="C446" s="83"/>
      <x:c r="D446" s="80"/>
      <x:c r="E446" s="80"/>
      <x:c r="F446" s="86"/>
      <x:c r="G446" s="80"/>
      <x:c r="H446" s="95"/>
      <x:c r="I446" s="95"/>
      <x:c r="J446" s="96"/>
      <x:c r="K446" s="97"/>
      <x:c r="L446" s="98"/>
      <x:c r="M446" s="98"/>
      <x:c r="N446" s="98"/>
      <x:c r="O446" s="98"/>
      <x:c r="P446" s="98"/>
      <x:c r="Q446" s="80"/>
      <x:c r="R446" s="80"/>
      <x:c r="S446" s="80"/>
      <x:c r="T446" s="80"/>
      <x:c r="U446" s="80"/>
      <x:c r="V446" s="89" t="str">
        <x:f>IF(A446="","",IF(U446="","",IF(U446="Выигрыш",J446-1,IF(U446="Полувыигрыш",(J446-1)/2,IF(U446="Возврат",0,IF(U446="Полупроигрыш",-0.5,IF(U446="Поражение",-1,"Проверить результат")))))))</x:f>
      </x:c>
      <x:c r="W446" s="80" t="str">
        <x:f>IF(A446="","",IF(U446="","Открыт",IF(ISNUMBER(V446),"Рассчитан","Проверить результат")))</x:f>
      </x:c>
      <x:c r="X446" s="98"/>
      <x:c r="Y446" s="5"/>
      <x:c r="Z446" s="5"/>
      <x:c r="AA446" s="5"/>
      <x:c r="AB446" s="118"/>
      <x:c r="AC446" s="119"/>
      <x:c r="AD446" s="119"/>
      <x:c r="AE446" s="5" t="str">
        <x:f>IF(A446="","",IF(Z446="","Нет ID пары",IF(AND(COUNTIFS($Z$59:$Z$505,Z446,$Y$59:$Y$505,"Оптимальный",$W$59:$W$505,"Рассчитан")=1,COUNTIFS($Z$59:$Z$505,Z446,$Y$59:$Y$505,"Агрессивный",$W$59:$W$505,"Рассчитан")=1),"Да","Нет")))</x:f>
      </x:c>
      <x:c r="AF446" s="5"/>
      <x:c r="AG446" s="5"/>
    </x:row>
    <x:row r="447">
      <x:c r="A447" s="80"/>
      <x:c r="B447" s="80"/>
      <x:c r="C447" s="83"/>
      <x:c r="D447" s="80"/>
      <x:c r="E447" s="80"/>
      <x:c r="F447" s="86"/>
      <x:c r="G447" s="80"/>
      <x:c r="H447" s="95"/>
      <x:c r="I447" s="95"/>
      <x:c r="J447" s="96"/>
      <x:c r="K447" s="97"/>
      <x:c r="L447" s="98"/>
      <x:c r="M447" s="98"/>
      <x:c r="N447" s="98"/>
      <x:c r="O447" s="98"/>
      <x:c r="P447" s="98"/>
      <x:c r="Q447" s="80"/>
      <x:c r="R447" s="80"/>
      <x:c r="S447" s="80"/>
      <x:c r="T447" s="80"/>
      <x:c r="U447" s="80"/>
      <x:c r="V447" s="89" t="str">
        <x:f>IF(A447="","",IF(U447="","",IF(U447="Выигрыш",J447-1,IF(U447="Полувыигрыш",(J447-1)/2,IF(U447="Возврат",0,IF(U447="Полупроигрыш",-0.5,IF(U447="Поражение",-1,"Проверить результат")))))))</x:f>
      </x:c>
      <x:c r="W447" s="80" t="str">
        <x:f>IF(A447="","",IF(U447="","Открыт",IF(ISNUMBER(V447),"Рассчитан","Проверить результат")))</x:f>
      </x:c>
      <x:c r="X447" s="98"/>
      <x:c r="Y447" s="5"/>
      <x:c r="Z447" s="5"/>
      <x:c r="AA447" s="5"/>
      <x:c r="AB447" s="118"/>
      <x:c r="AC447" s="119"/>
      <x:c r="AD447" s="119"/>
      <x:c r="AE447" s="5" t="str">
        <x:f>IF(A447="","",IF(Z447="","Нет ID пары",IF(AND(COUNTIFS($Z$59:$Z$505,Z447,$Y$59:$Y$505,"Оптимальный",$W$59:$W$505,"Рассчитан")=1,COUNTIFS($Z$59:$Z$505,Z447,$Y$59:$Y$505,"Агрессивный",$W$59:$W$505,"Рассчитан")=1),"Да","Нет")))</x:f>
      </x:c>
      <x:c r="AF447" s="5"/>
      <x:c r="AG447" s="5"/>
    </x:row>
    <x:row r="448">
      <x:c r="A448" s="80"/>
      <x:c r="B448" s="80"/>
      <x:c r="C448" s="83"/>
      <x:c r="D448" s="80"/>
      <x:c r="E448" s="80"/>
      <x:c r="F448" s="86"/>
      <x:c r="G448" s="80"/>
      <x:c r="H448" s="95"/>
      <x:c r="I448" s="95"/>
      <x:c r="J448" s="96"/>
      <x:c r="K448" s="97"/>
      <x:c r="L448" s="98"/>
      <x:c r="M448" s="98"/>
      <x:c r="N448" s="98"/>
      <x:c r="O448" s="98"/>
      <x:c r="P448" s="98"/>
      <x:c r="Q448" s="80"/>
      <x:c r="R448" s="80"/>
      <x:c r="S448" s="80"/>
      <x:c r="T448" s="80"/>
      <x:c r="U448" s="80"/>
      <x:c r="V448" s="89" t="str">
        <x:f>IF(A448="","",IF(U448="","",IF(U448="Выигрыш",J448-1,IF(U448="Полувыигрыш",(J448-1)/2,IF(U448="Возврат",0,IF(U448="Полупроигрыш",-0.5,IF(U448="Поражение",-1,"Проверить результат")))))))</x:f>
      </x:c>
      <x:c r="W448" s="80" t="str">
        <x:f>IF(A448="","",IF(U448="","Открыт",IF(ISNUMBER(V448),"Рассчитан","Проверить результат")))</x:f>
      </x:c>
      <x:c r="X448" s="98"/>
      <x:c r="Y448" s="5"/>
      <x:c r="Z448" s="5"/>
      <x:c r="AA448" s="5"/>
      <x:c r="AB448" s="118"/>
      <x:c r="AC448" s="119"/>
      <x:c r="AD448" s="119"/>
      <x:c r="AE448" s="5" t="str">
        <x:f>IF(A448="","",IF(Z448="","Нет ID пары",IF(AND(COUNTIFS($Z$59:$Z$505,Z448,$Y$59:$Y$505,"Оптимальный",$W$59:$W$505,"Рассчитан")=1,COUNTIFS($Z$59:$Z$505,Z448,$Y$59:$Y$505,"Агрессивный",$W$59:$W$505,"Рассчитан")=1),"Да","Нет")))</x:f>
      </x:c>
      <x:c r="AF448" s="5"/>
      <x:c r="AG448" s="5"/>
    </x:row>
    <x:row r="449">
      <x:c r="A449" s="80"/>
      <x:c r="B449" s="80"/>
      <x:c r="C449" s="83"/>
      <x:c r="D449" s="80"/>
      <x:c r="E449" s="80"/>
      <x:c r="F449" s="86"/>
      <x:c r="G449" s="80"/>
      <x:c r="H449" s="95"/>
      <x:c r="I449" s="95"/>
      <x:c r="J449" s="96"/>
      <x:c r="K449" s="97"/>
      <x:c r="L449" s="98"/>
      <x:c r="M449" s="98"/>
      <x:c r="N449" s="98"/>
      <x:c r="O449" s="98"/>
      <x:c r="P449" s="98"/>
      <x:c r="Q449" s="80"/>
      <x:c r="R449" s="80"/>
      <x:c r="S449" s="80"/>
      <x:c r="T449" s="80"/>
      <x:c r="U449" s="80"/>
      <x:c r="V449" s="89" t="str">
        <x:f>IF(A449="","",IF(U449="","",IF(U449="Выигрыш",J449-1,IF(U449="Полувыигрыш",(J449-1)/2,IF(U449="Возврат",0,IF(U449="Полупроигрыш",-0.5,IF(U449="Поражение",-1,"Проверить результат")))))))</x:f>
      </x:c>
      <x:c r="W449" s="80" t="str">
        <x:f>IF(A449="","",IF(U449="","Открыт",IF(ISNUMBER(V449),"Рассчитан","Проверить результат")))</x:f>
      </x:c>
      <x:c r="X449" s="98"/>
      <x:c r="Y449" s="5"/>
      <x:c r="Z449" s="5"/>
      <x:c r="AA449" s="5"/>
      <x:c r="AB449" s="118"/>
      <x:c r="AC449" s="119"/>
      <x:c r="AD449" s="119"/>
      <x:c r="AE449" s="5" t="str">
        <x:f>IF(A449="","",IF(Z449="","Нет ID пары",IF(AND(COUNTIFS($Z$59:$Z$505,Z449,$Y$59:$Y$505,"Оптимальный",$W$59:$W$505,"Рассчитан")=1,COUNTIFS($Z$59:$Z$505,Z449,$Y$59:$Y$505,"Агрессивный",$W$59:$W$505,"Рассчитан")=1),"Да","Нет")))</x:f>
      </x:c>
      <x:c r="AF449" s="5"/>
      <x:c r="AG449" s="5"/>
    </x:row>
    <x:row r="450">
      <x:c r="A450" s="80"/>
      <x:c r="B450" s="80"/>
      <x:c r="C450" s="83"/>
      <x:c r="D450" s="80"/>
      <x:c r="E450" s="80"/>
      <x:c r="F450" s="86"/>
      <x:c r="G450" s="80"/>
      <x:c r="H450" s="95"/>
      <x:c r="I450" s="95"/>
      <x:c r="J450" s="96"/>
      <x:c r="K450" s="97"/>
      <x:c r="L450" s="98"/>
      <x:c r="M450" s="98"/>
      <x:c r="N450" s="98"/>
      <x:c r="O450" s="98"/>
      <x:c r="P450" s="98"/>
      <x:c r="Q450" s="80"/>
      <x:c r="R450" s="80"/>
      <x:c r="S450" s="80"/>
      <x:c r="T450" s="80"/>
      <x:c r="U450" s="80"/>
      <x:c r="V450" s="89" t="str">
        <x:f>IF(A450="","",IF(U450="","",IF(U450="Выигрыш",J450-1,IF(U450="Полувыигрыш",(J450-1)/2,IF(U450="Возврат",0,IF(U450="Полупроигрыш",-0.5,IF(U450="Поражение",-1,"Проверить результат")))))))</x:f>
      </x:c>
      <x:c r="W450" s="80" t="str">
        <x:f>IF(A450="","",IF(U450="","Открыт",IF(ISNUMBER(V450),"Рассчитан","Проверить результат")))</x:f>
      </x:c>
      <x:c r="X450" s="98"/>
      <x:c r="Y450" s="5"/>
      <x:c r="Z450" s="5"/>
      <x:c r="AA450" s="5"/>
      <x:c r="AB450" s="118"/>
      <x:c r="AC450" s="119"/>
      <x:c r="AD450" s="119"/>
      <x:c r="AE450" s="5" t="str">
        <x:f>IF(A450="","",IF(Z450="","Нет ID пары",IF(AND(COUNTIFS($Z$59:$Z$505,Z450,$Y$59:$Y$505,"Оптимальный",$W$59:$W$505,"Рассчитан")=1,COUNTIFS($Z$59:$Z$505,Z450,$Y$59:$Y$505,"Агрессивный",$W$59:$W$505,"Рассчитан")=1),"Да","Нет")))</x:f>
      </x:c>
      <x:c r="AF450" s="5"/>
      <x:c r="AG450" s="5"/>
    </x:row>
    <x:row r="451">
      <x:c r="A451" s="80"/>
      <x:c r="B451" s="80"/>
      <x:c r="C451" s="83"/>
      <x:c r="D451" s="80"/>
      <x:c r="E451" s="80"/>
      <x:c r="F451" s="86"/>
      <x:c r="G451" s="80"/>
      <x:c r="H451" s="95"/>
      <x:c r="I451" s="95"/>
      <x:c r="J451" s="96"/>
      <x:c r="K451" s="97"/>
      <x:c r="L451" s="98"/>
      <x:c r="M451" s="98"/>
      <x:c r="N451" s="98"/>
      <x:c r="O451" s="98"/>
      <x:c r="P451" s="98"/>
      <x:c r="Q451" s="80"/>
      <x:c r="R451" s="80"/>
      <x:c r="S451" s="80"/>
      <x:c r="T451" s="80"/>
      <x:c r="U451" s="80"/>
      <x:c r="V451" s="89" t="str">
        <x:f>IF(A451="","",IF(U451="","",IF(U451="Выигрыш",J451-1,IF(U451="Полувыигрыш",(J451-1)/2,IF(U451="Возврат",0,IF(U451="Полупроигрыш",-0.5,IF(U451="Поражение",-1,"Проверить результат")))))))</x:f>
      </x:c>
      <x:c r="W451" s="80" t="str">
        <x:f>IF(A451="","",IF(U451="","Открыт",IF(ISNUMBER(V451),"Рассчитан","Проверить результат")))</x:f>
      </x:c>
      <x:c r="X451" s="98"/>
      <x:c r="Y451" s="5"/>
      <x:c r="Z451" s="5"/>
      <x:c r="AA451" s="5"/>
      <x:c r="AB451" s="118"/>
      <x:c r="AC451" s="119"/>
      <x:c r="AD451" s="119"/>
      <x:c r="AE451" s="5" t="str">
        <x:f>IF(A451="","",IF(Z451="","Нет ID пары",IF(AND(COUNTIFS($Z$59:$Z$505,Z451,$Y$59:$Y$505,"Оптимальный",$W$59:$W$505,"Рассчитан")=1,COUNTIFS($Z$59:$Z$505,Z451,$Y$59:$Y$505,"Агрессивный",$W$59:$W$505,"Рассчитан")=1),"Да","Нет")))</x:f>
      </x:c>
      <x:c r="AF451" s="5"/>
      <x:c r="AG451" s="5"/>
    </x:row>
    <x:row r="452">
      <x:c r="A452" s="80"/>
      <x:c r="B452" s="80"/>
      <x:c r="C452" s="83"/>
      <x:c r="D452" s="80"/>
      <x:c r="E452" s="80"/>
      <x:c r="F452" s="86"/>
      <x:c r="G452" s="80"/>
      <x:c r="H452" s="95"/>
      <x:c r="I452" s="95"/>
      <x:c r="J452" s="96"/>
      <x:c r="K452" s="97"/>
      <x:c r="L452" s="98"/>
      <x:c r="M452" s="98"/>
      <x:c r="N452" s="98"/>
      <x:c r="O452" s="98"/>
      <x:c r="P452" s="98"/>
      <x:c r="Q452" s="80"/>
      <x:c r="R452" s="80"/>
      <x:c r="S452" s="80"/>
      <x:c r="T452" s="80"/>
      <x:c r="U452" s="80"/>
      <x:c r="V452" s="89" t="str">
        <x:f>IF(A452="","",IF(U452="","",IF(U452="Выигрыш",J452-1,IF(U452="Полувыигрыш",(J452-1)/2,IF(U452="Возврат",0,IF(U452="Полупроигрыш",-0.5,IF(U452="Поражение",-1,"Проверить результат")))))))</x:f>
      </x:c>
      <x:c r="W452" s="80" t="str">
        <x:f>IF(A452="","",IF(U452="","Открыт",IF(ISNUMBER(V452),"Рассчитан","Проверить результат")))</x:f>
      </x:c>
      <x:c r="X452" s="98"/>
      <x:c r="Y452" s="5"/>
      <x:c r="Z452" s="5"/>
      <x:c r="AA452" s="5"/>
      <x:c r="AB452" s="118"/>
      <x:c r="AC452" s="119"/>
      <x:c r="AD452" s="119"/>
      <x:c r="AE452" s="5" t="str">
        <x:f>IF(A452="","",IF(Z452="","Нет ID пары",IF(AND(COUNTIFS($Z$59:$Z$505,Z452,$Y$59:$Y$505,"Оптимальный",$W$59:$W$505,"Рассчитан")=1,COUNTIFS($Z$59:$Z$505,Z452,$Y$59:$Y$505,"Агрессивный",$W$59:$W$505,"Рассчитан")=1),"Да","Нет")))</x:f>
      </x:c>
      <x:c r="AF452" s="5"/>
      <x:c r="AG452" s="5"/>
    </x:row>
    <x:row r="453">
      <x:c r="A453" s="80"/>
      <x:c r="B453" s="80"/>
      <x:c r="C453" s="83"/>
      <x:c r="D453" s="80"/>
      <x:c r="E453" s="80"/>
      <x:c r="F453" s="86"/>
      <x:c r="G453" s="80"/>
      <x:c r="H453" s="95"/>
      <x:c r="I453" s="95"/>
      <x:c r="J453" s="96"/>
      <x:c r="K453" s="97"/>
      <x:c r="L453" s="98"/>
      <x:c r="M453" s="98"/>
      <x:c r="N453" s="98"/>
      <x:c r="O453" s="98"/>
      <x:c r="P453" s="98"/>
      <x:c r="Q453" s="80"/>
      <x:c r="R453" s="80"/>
      <x:c r="S453" s="80"/>
      <x:c r="T453" s="80"/>
      <x:c r="U453" s="80"/>
      <x:c r="V453" s="89" t="str">
        <x:f>IF(A453="","",IF(U453="","",IF(U453="Выигрыш",J453-1,IF(U453="Полувыигрыш",(J453-1)/2,IF(U453="Возврат",0,IF(U453="Полупроигрыш",-0.5,IF(U453="Поражение",-1,"Проверить результат")))))))</x:f>
      </x:c>
      <x:c r="W453" s="80" t="str">
        <x:f>IF(A453="","",IF(U453="","Открыт",IF(ISNUMBER(V453),"Рассчитан","Проверить результат")))</x:f>
      </x:c>
      <x:c r="X453" s="98"/>
      <x:c r="Y453" s="5"/>
      <x:c r="Z453" s="5"/>
      <x:c r="AA453" s="5"/>
      <x:c r="AB453" s="118"/>
      <x:c r="AC453" s="119"/>
      <x:c r="AD453" s="119"/>
      <x:c r="AE453" s="5" t="str">
        <x:f>IF(A453="","",IF(Z453="","Нет ID пары",IF(AND(COUNTIFS($Z$59:$Z$505,Z453,$Y$59:$Y$505,"Оптимальный",$W$59:$W$505,"Рассчитан")=1,COUNTIFS($Z$59:$Z$505,Z453,$Y$59:$Y$505,"Агрессивный",$W$59:$W$505,"Рассчитан")=1),"Да","Нет")))</x:f>
      </x:c>
      <x:c r="AF453" s="5"/>
      <x:c r="AG453" s="5"/>
    </x:row>
    <x:row r="454">
      <x:c r="A454" s="80"/>
      <x:c r="B454" s="80"/>
      <x:c r="C454" s="83"/>
      <x:c r="D454" s="80"/>
      <x:c r="E454" s="80"/>
      <x:c r="F454" s="86"/>
      <x:c r="G454" s="80"/>
      <x:c r="H454" s="95"/>
      <x:c r="I454" s="95"/>
      <x:c r="J454" s="96"/>
      <x:c r="K454" s="97"/>
      <x:c r="L454" s="98"/>
      <x:c r="M454" s="98"/>
      <x:c r="N454" s="98"/>
      <x:c r="O454" s="98"/>
      <x:c r="P454" s="98"/>
      <x:c r="Q454" s="80"/>
      <x:c r="R454" s="80"/>
      <x:c r="S454" s="80"/>
      <x:c r="T454" s="80"/>
      <x:c r="U454" s="80"/>
      <x:c r="V454" s="89" t="str">
        <x:f>IF(A454="","",IF(U454="","",IF(U454="Выигрыш",J454-1,IF(U454="Полувыигрыш",(J454-1)/2,IF(U454="Возврат",0,IF(U454="Полупроигрыш",-0.5,IF(U454="Поражение",-1,"Проверить результат")))))))</x:f>
      </x:c>
      <x:c r="W454" s="80" t="str">
        <x:f>IF(A454="","",IF(U454="","Открыт",IF(ISNUMBER(V454),"Рассчитан","Проверить результат")))</x:f>
      </x:c>
      <x:c r="X454" s="98"/>
      <x:c r="Y454" s="5"/>
      <x:c r="Z454" s="5"/>
      <x:c r="AA454" s="5"/>
      <x:c r="AB454" s="118"/>
      <x:c r="AC454" s="119"/>
      <x:c r="AD454" s="119"/>
      <x:c r="AE454" s="5" t="str">
        <x:f>IF(A454="","",IF(Z454="","Нет ID пары",IF(AND(COUNTIFS($Z$59:$Z$505,Z454,$Y$59:$Y$505,"Оптимальный",$W$59:$W$505,"Рассчитан")=1,COUNTIFS($Z$59:$Z$505,Z454,$Y$59:$Y$505,"Агрессивный",$W$59:$W$505,"Рассчитан")=1),"Да","Нет")))</x:f>
      </x:c>
      <x:c r="AF454" s="5"/>
      <x:c r="AG454" s="5"/>
    </x:row>
    <x:row r="455">
      <x:c r="A455" s="80"/>
      <x:c r="B455" s="80"/>
      <x:c r="C455" s="83"/>
      <x:c r="D455" s="80"/>
      <x:c r="E455" s="80"/>
      <x:c r="F455" s="86"/>
      <x:c r="G455" s="80"/>
      <x:c r="H455" s="95"/>
      <x:c r="I455" s="95"/>
      <x:c r="J455" s="96"/>
      <x:c r="K455" s="97"/>
      <x:c r="L455" s="98"/>
      <x:c r="M455" s="98"/>
      <x:c r="N455" s="98"/>
      <x:c r="O455" s="98"/>
      <x:c r="P455" s="98"/>
      <x:c r="Q455" s="80"/>
      <x:c r="R455" s="80"/>
      <x:c r="S455" s="80"/>
      <x:c r="T455" s="80"/>
      <x:c r="U455" s="80"/>
      <x:c r="V455" s="89" t="str">
        <x:f>IF(A455="","",IF(U455="","",IF(U455="Выигрыш",J455-1,IF(U455="Полувыигрыш",(J455-1)/2,IF(U455="Возврат",0,IF(U455="Полупроигрыш",-0.5,IF(U455="Поражение",-1,"Проверить результат")))))))</x:f>
      </x:c>
      <x:c r="W455" s="80" t="str">
        <x:f>IF(A455="","",IF(U455="","Открыт",IF(ISNUMBER(V455),"Рассчитан","Проверить результат")))</x:f>
      </x:c>
      <x:c r="X455" s="98"/>
      <x:c r="Y455" s="5"/>
      <x:c r="Z455" s="5"/>
      <x:c r="AA455" s="5"/>
      <x:c r="AB455" s="118"/>
      <x:c r="AC455" s="119"/>
      <x:c r="AD455" s="119"/>
      <x:c r="AE455" s="5" t="str">
        <x:f>IF(A455="","",IF(Z455="","Нет ID пары",IF(AND(COUNTIFS($Z$59:$Z$505,Z455,$Y$59:$Y$505,"Оптимальный",$W$59:$W$505,"Рассчитан")=1,COUNTIFS($Z$59:$Z$505,Z455,$Y$59:$Y$505,"Агрессивный",$W$59:$W$505,"Рассчитан")=1),"Да","Нет")))</x:f>
      </x:c>
      <x:c r="AF455" s="5"/>
      <x:c r="AG455" s="5"/>
    </x:row>
    <x:row r="456">
      <x:c r="A456" s="80"/>
      <x:c r="B456" s="80"/>
      <x:c r="C456" s="83"/>
      <x:c r="D456" s="80"/>
      <x:c r="E456" s="80"/>
      <x:c r="F456" s="86"/>
      <x:c r="G456" s="80"/>
      <x:c r="H456" s="95"/>
      <x:c r="I456" s="95"/>
      <x:c r="J456" s="96"/>
      <x:c r="K456" s="97"/>
      <x:c r="L456" s="98"/>
      <x:c r="M456" s="98"/>
      <x:c r="N456" s="98"/>
      <x:c r="O456" s="98"/>
      <x:c r="P456" s="98"/>
      <x:c r="Q456" s="80"/>
      <x:c r="R456" s="80"/>
      <x:c r="S456" s="80"/>
      <x:c r="T456" s="80"/>
      <x:c r="U456" s="80"/>
      <x:c r="V456" s="89" t="str">
        <x:f>IF(A456="","",IF(U456="","",IF(U456="Выигрыш",J456-1,IF(U456="Полувыигрыш",(J456-1)/2,IF(U456="Возврат",0,IF(U456="Полупроигрыш",-0.5,IF(U456="Поражение",-1,"Проверить результат")))))))</x:f>
      </x:c>
      <x:c r="W456" s="80" t="str">
        <x:f>IF(A456="","",IF(U456="","Открыт",IF(ISNUMBER(V456),"Рассчитан","Проверить результат")))</x:f>
      </x:c>
      <x:c r="X456" s="98"/>
      <x:c r="Y456" s="5"/>
      <x:c r="Z456" s="5"/>
      <x:c r="AA456" s="5"/>
      <x:c r="AB456" s="118"/>
      <x:c r="AC456" s="119"/>
      <x:c r="AD456" s="119"/>
      <x:c r="AE456" s="5" t="str">
        <x:f>IF(A456="","",IF(Z456="","Нет ID пары",IF(AND(COUNTIFS($Z$59:$Z$505,Z456,$Y$59:$Y$505,"Оптимальный",$W$59:$W$505,"Рассчитан")=1,COUNTIFS($Z$59:$Z$505,Z456,$Y$59:$Y$505,"Агрессивный",$W$59:$W$505,"Рассчитан")=1),"Да","Нет")))</x:f>
      </x:c>
      <x:c r="AF456" s="5"/>
      <x:c r="AG456" s="5"/>
    </x:row>
    <x:row r="457">
      <x:c r="A457" s="80"/>
      <x:c r="B457" s="80"/>
      <x:c r="C457" s="83"/>
      <x:c r="D457" s="80"/>
      <x:c r="E457" s="80"/>
      <x:c r="F457" s="86"/>
      <x:c r="G457" s="80"/>
      <x:c r="H457" s="95"/>
      <x:c r="I457" s="95"/>
      <x:c r="J457" s="96"/>
      <x:c r="K457" s="97"/>
      <x:c r="L457" s="98"/>
      <x:c r="M457" s="98"/>
      <x:c r="N457" s="98"/>
      <x:c r="O457" s="98"/>
      <x:c r="P457" s="98"/>
      <x:c r="Q457" s="80"/>
      <x:c r="R457" s="80"/>
      <x:c r="S457" s="80"/>
      <x:c r="T457" s="80"/>
      <x:c r="U457" s="80"/>
      <x:c r="V457" s="89" t="str">
        <x:f>IF(A457="","",IF(U457="","",IF(U457="Выигрыш",J457-1,IF(U457="Полувыигрыш",(J457-1)/2,IF(U457="Возврат",0,IF(U457="Полупроигрыш",-0.5,IF(U457="Поражение",-1,"Проверить результат")))))))</x:f>
      </x:c>
      <x:c r="W457" s="80" t="str">
        <x:f>IF(A457="","",IF(U457="","Открыт",IF(ISNUMBER(V457),"Рассчитан","Проверить результат")))</x:f>
      </x:c>
      <x:c r="X457" s="98"/>
      <x:c r="Y457" s="5"/>
      <x:c r="Z457" s="5"/>
      <x:c r="AA457" s="5"/>
      <x:c r="AB457" s="118"/>
      <x:c r="AC457" s="119"/>
      <x:c r="AD457" s="119"/>
      <x:c r="AE457" s="5" t="str">
        <x:f>IF(A457="","",IF(Z457="","Нет ID пары",IF(AND(COUNTIFS($Z$59:$Z$505,Z457,$Y$59:$Y$505,"Оптимальный",$W$59:$W$505,"Рассчитан")=1,COUNTIFS($Z$59:$Z$505,Z457,$Y$59:$Y$505,"Агрессивный",$W$59:$W$505,"Рассчитан")=1),"Да","Нет")))</x:f>
      </x:c>
      <x:c r="AF457" s="5"/>
      <x:c r="AG457" s="5"/>
    </x:row>
    <x:row r="458">
      <x:c r="A458" s="80"/>
      <x:c r="B458" s="80"/>
      <x:c r="C458" s="83"/>
      <x:c r="D458" s="80"/>
      <x:c r="E458" s="80"/>
      <x:c r="F458" s="86"/>
      <x:c r="G458" s="80"/>
      <x:c r="H458" s="95"/>
      <x:c r="I458" s="95"/>
      <x:c r="J458" s="96"/>
      <x:c r="K458" s="97"/>
      <x:c r="L458" s="98"/>
      <x:c r="M458" s="98"/>
      <x:c r="N458" s="98"/>
      <x:c r="O458" s="98"/>
      <x:c r="P458" s="98"/>
      <x:c r="Q458" s="80"/>
      <x:c r="R458" s="80"/>
      <x:c r="S458" s="80"/>
      <x:c r="T458" s="80"/>
      <x:c r="U458" s="80"/>
      <x:c r="V458" s="89" t="str">
        <x:f>IF(A458="","",IF(U458="","",IF(U458="Выигрыш",J458-1,IF(U458="Полувыигрыш",(J458-1)/2,IF(U458="Возврат",0,IF(U458="Полупроигрыш",-0.5,IF(U458="Поражение",-1,"Проверить результат")))))))</x:f>
      </x:c>
      <x:c r="W458" s="80" t="str">
        <x:f>IF(A458="","",IF(U458="","Открыт",IF(ISNUMBER(V458),"Рассчитан","Проверить результат")))</x:f>
      </x:c>
      <x:c r="X458" s="98"/>
      <x:c r="Y458" s="5"/>
      <x:c r="Z458" s="5"/>
      <x:c r="AA458" s="5"/>
      <x:c r="AB458" s="118"/>
      <x:c r="AC458" s="119"/>
      <x:c r="AD458" s="119"/>
      <x:c r="AE458" s="5" t="str">
        <x:f>IF(A458="","",IF(Z458="","Нет ID пары",IF(AND(COUNTIFS($Z$59:$Z$505,Z458,$Y$59:$Y$505,"Оптимальный",$W$59:$W$505,"Рассчитан")=1,COUNTIFS($Z$59:$Z$505,Z458,$Y$59:$Y$505,"Агрессивный",$W$59:$W$505,"Рассчитан")=1),"Да","Нет")))</x:f>
      </x:c>
      <x:c r="AF458" s="5"/>
      <x:c r="AG458" s="5"/>
    </x:row>
    <x:row r="459">
      <x:c r="A459" s="80"/>
      <x:c r="B459" s="80"/>
      <x:c r="C459" s="83"/>
      <x:c r="D459" s="80"/>
      <x:c r="E459" s="80"/>
      <x:c r="F459" s="86"/>
      <x:c r="G459" s="80"/>
      <x:c r="H459" s="95"/>
      <x:c r="I459" s="95"/>
      <x:c r="J459" s="96"/>
      <x:c r="K459" s="97"/>
      <x:c r="L459" s="98"/>
      <x:c r="M459" s="98"/>
      <x:c r="N459" s="98"/>
      <x:c r="O459" s="98"/>
      <x:c r="P459" s="98"/>
      <x:c r="Q459" s="80"/>
      <x:c r="R459" s="80"/>
      <x:c r="S459" s="80"/>
      <x:c r="T459" s="80"/>
      <x:c r="U459" s="80"/>
      <x:c r="V459" s="89" t="str">
        <x:f>IF(A459="","",IF(U459="","",IF(U459="Выигрыш",J459-1,IF(U459="Полувыигрыш",(J459-1)/2,IF(U459="Возврат",0,IF(U459="Полупроигрыш",-0.5,IF(U459="Поражение",-1,"Проверить результат")))))))</x:f>
      </x:c>
      <x:c r="W459" s="80" t="str">
        <x:f>IF(A459="","",IF(U459="","Открыт",IF(ISNUMBER(V459),"Рассчитан","Проверить результат")))</x:f>
      </x:c>
      <x:c r="X459" s="98"/>
      <x:c r="Y459" s="5"/>
      <x:c r="Z459" s="5"/>
      <x:c r="AA459" s="5"/>
      <x:c r="AB459" s="118"/>
      <x:c r="AC459" s="119"/>
      <x:c r="AD459" s="119"/>
      <x:c r="AE459" s="5" t="str">
        <x:f>IF(A459="","",IF(Z459="","Нет ID пары",IF(AND(COUNTIFS($Z$59:$Z$505,Z459,$Y$59:$Y$505,"Оптимальный",$W$59:$W$505,"Рассчитан")=1,COUNTIFS($Z$59:$Z$505,Z459,$Y$59:$Y$505,"Агрессивный",$W$59:$W$505,"Рассчитан")=1),"Да","Нет")))</x:f>
      </x:c>
      <x:c r="AF459" s="5"/>
      <x:c r="AG459" s="5"/>
    </x:row>
    <x:row r="460">
      <x:c r="A460" s="80"/>
      <x:c r="B460" s="80"/>
      <x:c r="C460" s="83"/>
      <x:c r="D460" s="80"/>
      <x:c r="E460" s="80"/>
      <x:c r="F460" s="86"/>
      <x:c r="G460" s="80"/>
      <x:c r="H460" s="95"/>
      <x:c r="I460" s="95"/>
      <x:c r="J460" s="96"/>
      <x:c r="K460" s="97"/>
      <x:c r="L460" s="98"/>
      <x:c r="M460" s="98"/>
      <x:c r="N460" s="98"/>
      <x:c r="O460" s="98"/>
      <x:c r="P460" s="98"/>
      <x:c r="Q460" s="80"/>
      <x:c r="R460" s="80"/>
      <x:c r="S460" s="80"/>
      <x:c r="T460" s="80"/>
      <x:c r="U460" s="80"/>
      <x:c r="V460" s="89" t="str">
        <x:f>IF(A460="","",IF(U460="","",IF(U460="Выигрыш",J460-1,IF(U460="Полувыигрыш",(J460-1)/2,IF(U460="Возврат",0,IF(U460="Полупроигрыш",-0.5,IF(U460="Поражение",-1,"Проверить результат")))))))</x:f>
      </x:c>
      <x:c r="W460" s="80" t="str">
        <x:f>IF(A460="","",IF(U460="","Открыт",IF(ISNUMBER(V460),"Рассчитан","Проверить результат")))</x:f>
      </x:c>
      <x:c r="X460" s="98"/>
      <x:c r="Y460" s="5"/>
      <x:c r="Z460" s="5"/>
      <x:c r="AA460" s="5"/>
      <x:c r="AB460" s="118"/>
      <x:c r="AC460" s="119"/>
      <x:c r="AD460" s="119"/>
      <x:c r="AE460" s="5" t="str">
        <x:f>IF(A460="","",IF(Z460="","Нет ID пары",IF(AND(COUNTIFS($Z$59:$Z$505,Z460,$Y$59:$Y$505,"Оптимальный",$W$59:$W$505,"Рассчитан")=1,COUNTIFS($Z$59:$Z$505,Z460,$Y$59:$Y$505,"Агрессивный",$W$59:$W$505,"Рассчитан")=1),"Да","Нет")))</x:f>
      </x:c>
      <x:c r="AF460" s="5"/>
      <x:c r="AG460" s="5"/>
    </x:row>
    <x:row r="461">
      <x:c r="A461" s="80"/>
      <x:c r="B461" s="80"/>
      <x:c r="C461" s="83"/>
      <x:c r="D461" s="80"/>
      <x:c r="E461" s="80"/>
      <x:c r="F461" s="86"/>
      <x:c r="G461" s="80"/>
      <x:c r="H461" s="95"/>
      <x:c r="I461" s="95"/>
      <x:c r="J461" s="96"/>
      <x:c r="K461" s="97"/>
      <x:c r="L461" s="98"/>
      <x:c r="M461" s="98"/>
      <x:c r="N461" s="98"/>
      <x:c r="O461" s="98"/>
      <x:c r="P461" s="98"/>
      <x:c r="Q461" s="80"/>
      <x:c r="R461" s="80"/>
      <x:c r="S461" s="80"/>
      <x:c r="T461" s="80"/>
      <x:c r="U461" s="80"/>
      <x:c r="V461" s="89" t="str">
        <x:f>IF(A461="","",IF(U461="","",IF(U461="Выигрыш",J461-1,IF(U461="Полувыигрыш",(J461-1)/2,IF(U461="Возврат",0,IF(U461="Полупроигрыш",-0.5,IF(U461="Поражение",-1,"Проверить результат")))))))</x:f>
      </x:c>
      <x:c r="W461" s="80" t="str">
        <x:f>IF(A461="","",IF(U461="","Открыт",IF(ISNUMBER(V461),"Рассчитан","Проверить результат")))</x:f>
      </x:c>
      <x:c r="X461" s="98"/>
      <x:c r="Y461" s="5"/>
      <x:c r="Z461" s="5"/>
      <x:c r="AA461" s="5"/>
      <x:c r="AB461" s="118"/>
      <x:c r="AC461" s="119"/>
      <x:c r="AD461" s="119"/>
      <x:c r="AE461" s="5" t="str">
        <x:f>IF(A461="","",IF(Z461="","Нет ID пары",IF(AND(COUNTIFS($Z$59:$Z$505,Z461,$Y$59:$Y$505,"Оптимальный",$W$59:$W$505,"Рассчитан")=1,COUNTIFS($Z$59:$Z$505,Z461,$Y$59:$Y$505,"Агрессивный",$W$59:$W$505,"Рассчитан")=1),"Да","Нет")))</x:f>
      </x:c>
      <x:c r="AF461" s="5"/>
      <x:c r="AG461" s="5"/>
    </x:row>
    <x:row r="462">
      <x:c r="A462" s="80"/>
      <x:c r="B462" s="80"/>
      <x:c r="C462" s="83"/>
      <x:c r="D462" s="80"/>
      <x:c r="E462" s="80"/>
      <x:c r="F462" s="86"/>
      <x:c r="G462" s="80"/>
      <x:c r="H462" s="95"/>
      <x:c r="I462" s="95"/>
      <x:c r="J462" s="96"/>
      <x:c r="K462" s="97"/>
      <x:c r="L462" s="98"/>
      <x:c r="M462" s="98"/>
      <x:c r="N462" s="98"/>
      <x:c r="O462" s="98"/>
      <x:c r="P462" s="98"/>
      <x:c r="Q462" s="80"/>
      <x:c r="R462" s="80"/>
      <x:c r="S462" s="80"/>
      <x:c r="T462" s="80"/>
      <x:c r="U462" s="80"/>
      <x:c r="V462" s="89" t="str">
        <x:f>IF(A462="","",IF(U462="","",IF(U462="Выигрыш",J462-1,IF(U462="Полувыигрыш",(J462-1)/2,IF(U462="Возврат",0,IF(U462="Полупроигрыш",-0.5,IF(U462="Поражение",-1,"Проверить результат")))))))</x:f>
      </x:c>
      <x:c r="W462" s="80" t="str">
        <x:f>IF(A462="","",IF(U462="","Открыт",IF(ISNUMBER(V462),"Рассчитан","Проверить результат")))</x:f>
      </x:c>
      <x:c r="X462" s="98"/>
      <x:c r="Y462" s="5"/>
      <x:c r="Z462" s="5"/>
      <x:c r="AA462" s="5"/>
      <x:c r="AB462" s="118"/>
      <x:c r="AC462" s="119"/>
      <x:c r="AD462" s="119"/>
      <x:c r="AE462" s="5" t="str">
        <x:f>IF(A462="","",IF(Z462="","Нет ID пары",IF(AND(COUNTIFS($Z$59:$Z$505,Z462,$Y$59:$Y$505,"Оптимальный",$W$59:$W$505,"Рассчитан")=1,COUNTIFS($Z$59:$Z$505,Z462,$Y$59:$Y$505,"Агрессивный",$W$59:$W$505,"Рассчитан")=1),"Да","Нет")))</x:f>
      </x:c>
      <x:c r="AF462" s="5"/>
      <x:c r="AG462" s="5"/>
    </x:row>
    <x:row r="463">
      <x:c r="A463" s="80"/>
      <x:c r="B463" s="80"/>
      <x:c r="C463" s="83"/>
      <x:c r="D463" s="80"/>
      <x:c r="E463" s="80"/>
      <x:c r="F463" s="86"/>
      <x:c r="G463" s="80"/>
      <x:c r="H463" s="95"/>
      <x:c r="I463" s="95"/>
      <x:c r="J463" s="96"/>
      <x:c r="K463" s="97"/>
      <x:c r="L463" s="98"/>
      <x:c r="M463" s="98"/>
      <x:c r="N463" s="98"/>
      <x:c r="O463" s="98"/>
      <x:c r="P463" s="98"/>
      <x:c r="Q463" s="80"/>
      <x:c r="R463" s="80"/>
      <x:c r="S463" s="80"/>
      <x:c r="T463" s="80"/>
      <x:c r="U463" s="80"/>
      <x:c r="V463" s="89" t="str">
        <x:f>IF(A463="","",IF(U463="","",IF(U463="Выигрыш",J463-1,IF(U463="Полувыигрыш",(J463-1)/2,IF(U463="Возврат",0,IF(U463="Полупроигрыш",-0.5,IF(U463="Поражение",-1,"Проверить результат")))))))</x:f>
      </x:c>
      <x:c r="W463" s="80" t="str">
        <x:f>IF(A463="","",IF(U463="","Открыт",IF(ISNUMBER(V463),"Рассчитан","Проверить результат")))</x:f>
      </x:c>
      <x:c r="X463" s="98"/>
      <x:c r="Y463" s="5"/>
      <x:c r="Z463" s="5"/>
      <x:c r="AA463" s="5"/>
      <x:c r="AB463" s="118"/>
      <x:c r="AC463" s="119"/>
      <x:c r="AD463" s="119"/>
      <x:c r="AE463" s="5" t="str">
        <x:f>IF(A463="","",IF(Z463="","Нет ID пары",IF(AND(COUNTIFS($Z$59:$Z$505,Z463,$Y$59:$Y$505,"Оптимальный",$W$59:$W$505,"Рассчитан")=1,COUNTIFS($Z$59:$Z$505,Z463,$Y$59:$Y$505,"Агрессивный",$W$59:$W$505,"Рассчитан")=1),"Да","Нет")))</x:f>
      </x:c>
      <x:c r="AF463" s="5"/>
      <x:c r="AG463" s="5"/>
    </x:row>
    <x:row r="464">
      <x:c r="A464" s="80"/>
      <x:c r="B464" s="80"/>
      <x:c r="C464" s="83"/>
      <x:c r="D464" s="80"/>
      <x:c r="E464" s="80"/>
      <x:c r="F464" s="86"/>
      <x:c r="G464" s="80"/>
      <x:c r="H464" s="95"/>
      <x:c r="I464" s="95"/>
      <x:c r="J464" s="96"/>
      <x:c r="K464" s="97"/>
      <x:c r="L464" s="98"/>
      <x:c r="M464" s="98"/>
      <x:c r="N464" s="98"/>
      <x:c r="O464" s="98"/>
      <x:c r="P464" s="98"/>
      <x:c r="Q464" s="80"/>
      <x:c r="R464" s="80"/>
      <x:c r="S464" s="80"/>
      <x:c r="T464" s="80"/>
      <x:c r="U464" s="80"/>
      <x:c r="V464" s="89" t="str">
        <x:f>IF(A464="","",IF(U464="","",IF(U464="Выигрыш",J464-1,IF(U464="Полувыигрыш",(J464-1)/2,IF(U464="Возврат",0,IF(U464="Полупроигрыш",-0.5,IF(U464="Поражение",-1,"Проверить результат")))))))</x:f>
      </x:c>
      <x:c r="W464" s="80" t="str">
        <x:f>IF(A464="","",IF(U464="","Открыт",IF(ISNUMBER(V464),"Рассчитан","Проверить результат")))</x:f>
      </x:c>
      <x:c r="X464" s="98"/>
      <x:c r="Y464" s="5"/>
      <x:c r="Z464" s="5"/>
      <x:c r="AA464" s="5"/>
      <x:c r="AB464" s="118"/>
      <x:c r="AC464" s="119"/>
      <x:c r="AD464" s="119"/>
      <x:c r="AE464" s="5" t="str">
        <x:f>IF(A464="","",IF(Z464="","Нет ID пары",IF(AND(COUNTIFS($Z$59:$Z$505,Z464,$Y$59:$Y$505,"Оптимальный",$W$59:$W$505,"Рассчитан")=1,COUNTIFS($Z$59:$Z$505,Z464,$Y$59:$Y$505,"Агрессивный",$W$59:$W$505,"Рассчитан")=1),"Да","Нет")))</x:f>
      </x:c>
      <x:c r="AF464" s="5"/>
      <x:c r="AG464" s="5"/>
    </x:row>
    <x:row r="465">
      <x:c r="A465" s="80"/>
      <x:c r="B465" s="80"/>
      <x:c r="C465" s="83"/>
      <x:c r="D465" s="80"/>
      <x:c r="E465" s="80"/>
      <x:c r="F465" s="86"/>
      <x:c r="G465" s="80"/>
      <x:c r="H465" s="95"/>
      <x:c r="I465" s="95"/>
      <x:c r="J465" s="96"/>
      <x:c r="K465" s="97"/>
      <x:c r="L465" s="98"/>
      <x:c r="M465" s="98"/>
      <x:c r="N465" s="98"/>
      <x:c r="O465" s="98"/>
      <x:c r="P465" s="98"/>
      <x:c r="Q465" s="80"/>
      <x:c r="R465" s="80"/>
      <x:c r="S465" s="80"/>
      <x:c r="T465" s="80"/>
      <x:c r="U465" s="80"/>
      <x:c r="V465" s="89" t="str">
        <x:f>IF(A465="","",IF(U465="","",IF(U465="Выигрыш",J465-1,IF(U465="Полувыигрыш",(J465-1)/2,IF(U465="Возврат",0,IF(U465="Полупроигрыш",-0.5,IF(U465="Поражение",-1,"Проверить результат")))))))</x:f>
      </x:c>
      <x:c r="W465" s="80" t="str">
        <x:f>IF(A465="","",IF(U465="","Открыт",IF(ISNUMBER(V465),"Рассчитан","Проверить результат")))</x:f>
      </x:c>
      <x:c r="X465" s="98"/>
      <x:c r="Y465" s="5"/>
      <x:c r="Z465" s="5"/>
      <x:c r="AA465" s="5"/>
      <x:c r="AB465" s="118"/>
      <x:c r="AC465" s="119"/>
      <x:c r="AD465" s="119"/>
      <x:c r="AE465" s="5" t="str">
        <x:f>IF(A465="","",IF(Z465="","Нет ID пары",IF(AND(COUNTIFS($Z$59:$Z$505,Z465,$Y$59:$Y$505,"Оптимальный",$W$59:$W$505,"Рассчитан")=1,COUNTIFS($Z$59:$Z$505,Z465,$Y$59:$Y$505,"Агрессивный",$W$59:$W$505,"Рассчитан")=1),"Да","Нет")))</x:f>
      </x:c>
      <x:c r="AF465" s="5"/>
      <x:c r="AG465" s="5"/>
    </x:row>
    <x:row r="466">
      <x:c r="A466" s="80"/>
      <x:c r="B466" s="80"/>
      <x:c r="C466" s="83"/>
      <x:c r="D466" s="80"/>
      <x:c r="E466" s="80"/>
      <x:c r="F466" s="86"/>
      <x:c r="G466" s="80"/>
      <x:c r="H466" s="95"/>
      <x:c r="I466" s="95"/>
      <x:c r="J466" s="96"/>
      <x:c r="K466" s="97"/>
      <x:c r="L466" s="98"/>
      <x:c r="M466" s="98"/>
      <x:c r="N466" s="98"/>
      <x:c r="O466" s="98"/>
      <x:c r="P466" s="98"/>
      <x:c r="Q466" s="80"/>
      <x:c r="R466" s="80"/>
      <x:c r="S466" s="80"/>
      <x:c r="T466" s="80"/>
      <x:c r="U466" s="80"/>
      <x:c r="V466" s="89" t="str">
        <x:f>IF(A466="","",IF(U466="","",IF(U466="Выигрыш",J466-1,IF(U466="Полувыигрыш",(J466-1)/2,IF(U466="Возврат",0,IF(U466="Полупроигрыш",-0.5,IF(U466="Поражение",-1,"Проверить результат")))))))</x:f>
      </x:c>
      <x:c r="W466" s="80" t="str">
        <x:f>IF(A466="","",IF(U466="","Открыт",IF(ISNUMBER(V466),"Рассчитан","Проверить результат")))</x:f>
      </x:c>
      <x:c r="X466" s="98"/>
      <x:c r="Y466" s="5"/>
      <x:c r="Z466" s="5"/>
      <x:c r="AA466" s="5"/>
      <x:c r="AB466" s="118"/>
      <x:c r="AC466" s="119"/>
      <x:c r="AD466" s="119"/>
      <x:c r="AE466" s="5" t="str">
        <x:f>IF(A466="","",IF(Z466="","Нет ID пары",IF(AND(COUNTIFS($Z$59:$Z$505,Z466,$Y$59:$Y$505,"Оптимальный",$W$59:$W$505,"Рассчитан")=1,COUNTIFS($Z$59:$Z$505,Z466,$Y$59:$Y$505,"Агрессивный",$W$59:$W$505,"Рассчитан")=1),"Да","Нет")))</x:f>
      </x:c>
      <x:c r="AF466" s="5"/>
      <x:c r="AG466" s="5"/>
    </x:row>
    <x:row r="467">
      <x:c r="A467" s="80"/>
      <x:c r="B467" s="80"/>
      <x:c r="C467" s="83"/>
      <x:c r="D467" s="80"/>
      <x:c r="E467" s="80"/>
      <x:c r="F467" s="86"/>
      <x:c r="G467" s="80"/>
      <x:c r="H467" s="95"/>
      <x:c r="I467" s="95"/>
      <x:c r="J467" s="96"/>
      <x:c r="K467" s="97"/>
      <x:c r="L467" s="98"/>
      <x:c r="M467" s="98"/>
      <x:c r="N467" s="98"/>
      <x:c r="O467" s="98"/>
      <x:c r="P467" s="98"/>
      <x:c r="Q467" s="80"/>
      <x:c r="R467" s="80"/>
      <x:c r="S467" s="80"/>
      <x:c r="T467" s="80"/>
      <x:c r="U467" s="80"/>
      <x:c r="V467" s="89" t="str">
        <x:f>IF(A467="","",IF(U467="","",IF(U467="Выигрыш",J467-1,IF(U467="Полувыигрыш",(J467-1)/2,IF(U467="Возврат",0,IF(U467="Полупроигрыш",-0.5,IF(U467="Поражение",-1,"Проверить результат")))))))</x:f>
      </x:c>
      <x:c r="W467" s="80" t="str">
        <x:f>IF(A467="","",IF(U467="","Открыт",IF(ISNUMBER(V467),"Рассчитан","Проверить результат")))</x:f>
      </x:c>
      <x:c r="X467" s="98"/>
      <x:c r="Y467" s="5"/>
      <x:c r="Z467" s="5"/>
      <x:c r="AA467" s="5"/>
      <x:c r="AB467" s="118"/>
      <x:c r="AC467" s="119"/>
      <x:c r="AD467" s="119"/>
      <x:c r="AE467" s="5" t="str">
        <x:f>IF(A467="","",IF(Z467="","Нет ID пары",IF(AND(COUNTIFS($Z$59:$Z$505,Z467,$Y$59:$Y$505,"Оптимальный",$W$59:$W$505,"Рассчитан")=1,COUNTIFS($Z$59:$Z$505,Z467,$Y$59:$Y$505,"Агрессивный",$W$59:$W$505,"Рассчитан")=1),"Да","Нет")))</x:f>
      </x:c>
      <x:c r="AF467" s="5"/>
      <x:c r="AG467" s="5"/>
    </x:row>
    <x:row r="468">
      <x:c r="A468" s="80"/>
      <x:c r="B468" s="80"/>
      <x:c r="C468" s="83"/>
      <x:c r="D468" s="80"/>
      <x:c r="E468" s="80"/>
      <x:c r="F468" s="86"/>
      <x:c r="G468" s="80"/>
      <x:c r="H468" s="95"/>
      <x:c r="I468" s="95"/>
      <x:c r="J468" s="96"/>
      <x:c r="K468" s="97"/>
      <x:c r="L468" s="98"/>
      <x:c r="M468" s="98"/>
      <x:c r="N468" s="98"/>
      <x:c r="O468" s="98"/>
      <x:c r="P468" s="98"/>
      <x:c r="Q468" s="80"/>
      <x:c r="R468" s="80"/>
      <x:c r="S468" s="80"/>
      <x:c r="T468" s="80"/>
      <x:c r="U468" s="80"/>
      <x:c r="V468" s="89" t="str">
        <x:f>IF(A468="","",IF(U468="","",IF(U468="Выигрыш",J468-1,IF(U468="Полувыигрыш",(J468-1)/2,IF(U468="Возврат",0,IF(U468="Полупроигрыш",-0.5,IF(U468="Поражение",-1,"Проверить результат")))))))</x:f>
      </x:c>
      <x:c r="W468" s="80" t="str">
        <x:f>IF(A468="","",IF(U468="","Открыт",IF(ISNUMBER(V468),"Рассчитан","Проверить результат")))</x:f>
      </x:c>
      <x:c r="X468" s="98"/>
      <x:c r="Y468" s="5"/>
      <x:c r="Z468" s="5"/>
      <x:c r="AA468" s="5"/>
      <x:c r="AB468" s="118"/>
      <x:c r="AC468" s="119"/>
      <x:c r="AD468" s="119"/>
      <x:c r="AE468" s="5" t="str">
        <x:f>IF(A468="","",IF(Z468="","Нет ID пары",IF(AND(COUNTIFS($Z$59:$Z$505,Z468,$Y$59:$Y$505,"Оптимальный",$W$59:$W$505,"Рассчитан")=1,COUNTIFS($Z$59:$Z$505,Z468,$Y$59:$Y$505,"Агрессивный",$W$59:$W$505,"Рассчитан")=1),"Да","Нет")))</x:f>
      </x:c>
      <x:c r="AF468" s="5"/>
      <x:c r="AG468" s="5"/>
    </x:row>
    <x:row r="469">
      <x:c r="A469" s="80"/>
      <x:c r="B469" s="80"/>
      <x:c r="C469" s="83"/>
      <x:c r="D469" s="80"/>
      <x:c r="E469" s="80"/>
      <x:c r="F469" s="86"/>
      <x:c r="G469" s="80"/>
      <x:c r="H469" s="95"/>
      <x:c r="I469" s="95"/>
      <x:c r="J469" s="96"/>
      <x:c r="K469" s="97"/>
      <x:c r="L469" s="98"/>
      <x:c r="M469" s="98"/>
      <x:c r="N469" s="98"/>
      <x:c r="O469" s="98"/>
      <x:c r="P469" s="98"/>
      <x:c r="Q469" s="80"/>
      <x:c r="R469" s="80"/>
      <x:c r="S469" s="80"/>
      <x:c r="T469" s="80"/>
      <x:c r="U469" s="80"/>
      <x:c r="V469" s="89" t="str">
        <x:f>IF(A469="","",IF(U469="","",IF(U469="Выигрыш",J469-1,IF(U469="Полувыигрыш",(J469-1)/2,IF(U469="Возврат",0,IF(U469="Полупроигрыш",-0.5,IF(U469="Поражение",-1,"Проверить результат")))))))</x:f>
      </x:c>
      <x:c r="W469" s="80" t="str">
        <x:f>IF(A469="","",IF(U469="","Открыт",IF(ISNUMBER(V469),"Рассчитан","Проверить результат")))</x:f>
      </x:c>
      <x:c r="X469" s="98"/>
      <x:c r="Y469" s="5"/>
      <x:c r="Z469" s="5"/>
      <x:c r="AA469" s="5"/>
      <x:c r="AB469" s="118"/>
      <x:c r="AC469" s="119"/>
      <x:c r="AD469" s="119"/>
      <x:c r="AE469" s="5" t="str">
        <x:f>IF(A469="","",IF(Z469="","Нет ID пары",IF(AND(COUNTIFS($Z$59:$Z$505,Z469,$Y$59:$Y$505,"Оптимальный",$W$59:$W$505,"Рассчитан")=1,COUNTIFS($Z$59:$Z$505,Z469,$Y$59:$Y$505,"Агрессивный",$W$59:$W$505,"Рассчитан")=1),"Да","Нет")))</x:f>
      </x:c>
      <x:c r="AF469" s="5"/>
      <x:c r="AG469" s="5"/>
    </x:row>
    <x:row r="470">
      <x:c r="A470" s="80"/>
      <x:c r="B470" s="80"/>
      <x:c r="C470" s="83"/>
      <x:c r="D470" s="80"/>
      <x:c r="E470" s="80"/>
      <x:c r="F470" s="86"/>
      <x:c r="G470" s="80"/>
      <x:c r="H470" s="95"/>
      <x:c r="I470" s="95"/>
      <x:c r="J470" s="96"/>
      <x:c r="K470" s="97"/>
      <x:c r="L470" s="98"/>
      <x:c r="M470" s="98"/>
      <x:c r="N470" s="98"/>
      <x:c r="O470" s="98"/>
      <x:c r="P470" s="98"/>
      <x:c r="Q470" s="80"/>
      <x:c r="R470" s="80"/>
      <x:c r="S470" s="80"/>
      <x:c r="T470" s="80"/>
      <x:c r="U470" s="80"/>
      <x:c r="V470" s="89" t="str">
        <x:f>IF(A470="","",IF(U470="","",IF(U470="Выигрыш",J470-1,IF(U470="Полувыигрыш",(J470-1)/2,IF(U470="Возврат",0,IF(U470="Полупроигрыш",-0.5,IF(U470="Поражение",-1,"Проверить результат")))))))</x:f>
      </x:c>
      <x:c r="W470" s="80" t="str">
        <x:f>IF(A470="","",IF(U470="","Открыт",IF(ISNUMBER(V470),"Рассчитан","Проверить результат")))</x:f>
      </x:c>
      <x:c r="X470" s="98"/>
      <x:c r="Y470" s="5"/>
      <x:c r="Z470" s="5"/>
      <x:c r="AA470" s="5"/>
      <x:c r="AB470" s="118"/>
      <x:c r="AC470" s="119"/>
      <x:c r="AD470" s="119"/>
      <x:c r="AE470" s="5" t="str">
        <x:f>IF(A470="","",IF(Z470="","Нет ID пары",IF(AND(COUNTIFS($Z$59:$Z$505,Z470,$Y$59:$Y$505,"Оптимальный",$W$59:$W$505,"Рассчитан")=1,COUNTIFS($Z$59:$Z$505,Z470,$Y$59:$Y$505,"Агрессивный",$W$59:$W$505,"Рассчитан")=1),"Да","Нет")))</x:f>
      </x:c>
      <x:c r="AF470" s="5"/>
      <x:c r="AG470" s="5"/>
    </x:row>
    <x:row r="471">
      <x:c r="A471" s="80"/>
      <x:c r="B471" s="80"/>
      <x:c r="C471" s="83"/>
      <x:c r="D471" s="80"/>
      <x:c r="E471" s="80"/>
      <x:c r="F471" s="86"/>
      <x:c r="G471" s="80"/>
      <x:c r="H471" s="95"/>
      <x:c r="I471" s="95"/>
      <x:c r="J471" s="96"/>
      <x:c r="K471" s="97"/>
      <x:c r="L471" s="98"/>
      <x:c r="M471" s="98"/>
      <x:c r="N471" s="98"/>
      <x:c r="O471" s="98"/>
      <x:c r="P471" s="98"/>
      <x:c r="Q471" s="80"/>
      <x:c r="R471" s="80"/>
      <x:c r="S471" s="80"/>
      <x:c r="T471" s="80"/>
      <x:c r="U471" s="80"/>
      <x:c r="V471" s="89" t="str">
        <x:f>IF(A471="","",IF(U471="","",IF(U471="Выигрыш",J471-1,IF(U471="Полувыигрыш",(J471-1)/2,IF(U471="Возврат",0,IF(U471="Полупроигрыш",-0.5,IF(U471="Поражение",-1,"Проверить результат")))))))</x:f>
      </x:c>
      <x:c r="W471" s="80" t="str">
        <x:f>IF(A471="","",IF(U471="","Открыт",IF(ISNUMBER(V471),"Рассчитан","Проверить результат")))</x:f>
      </x:c>
      <x:c r="X471" s="98"/>
      <x:c r="Y471" s="5"/>
      <x:c r="Z471" s="5"/>
      <x:c r="AA471" s="5"/>
      <x:c r="AB471" s="118"/>
      <x:c r="AC471" s="119"/>
      <x:c r="AD471" s="119"/>
      <x:c r="AE471" s="5" t="str">
        <x:f>IF(A471="","",IF(Z471="","Нет ID пары",IF(AND(COUNTIFS($Z$59:$Z$505,Z471,$Y$59:$Y$505,"Оптимальный",$W$59:$W$505,"Рассчитан")=1,COUNTIFS($Z$59:$Z$505,Z471,$Y$59:$Y$505,"Агрессивный",$W$59:$W$505,"Рассчитан")=1),"Да","Нет")))</x:f>
      </x:c>
      <x:c r="AF471" s="5"/>
      <x:c r="AG471" s="5"/>
    </x:row>
    <x:row r="472">
      <x:c r="A472" s="80"/>
      <x:c r="B472" s="80"/>
      <x:c r="C472" s="83"/>
      <x:c r="D472" s="80"/>
      <x:c r="E472" s="80"/>
      <x:c r="F472" s="86"/>
      <x:c r="G472" s="80"/>
      <x:c r="H472" s="95"/>
      <x:c r="I472" s="95"/>
      <x:c r="J472" s="96"/>
      <x:c r="K472" s="97"/>
      <x:c r="L472" s="98"/>
      <x:c r="M472" s="98"/>
      <x:c r="N472" s="98"/>
      <x:c r="O472" s="98"/>
      <x:c r="P472" s="98"/>
      <x:c r="Q472" s="80"/>
      <x:c r="R472" s="80"/>
      <x:c r="S472" s="80"/>
      <x:c r="T472" s="80"/>
      <x:c r="U472" s="80"/>
      <x:c r="V472" s="89" t="str">
        <x:f>IF(A472="","",IF(U472="","",IF(U472="Выигрыш",J472-1,IF(U472="Полувыигрыш",(J472-1)/2,IF(U472="Возврат",0,IF(U472="Полупроигрыш",-0.5,IF(U472="Поражение",-1,"Проверить результат")))))))</x:f>
      </x:c>
      <x:c r="W472" s="80" t="str">
        <x:f>IF(A472="","",IF(U472="","Открыт",IF(ISNUMBER(V472),"Рассчитан","Проверить результат")))</x:f>
      </x:c>
      <x:c r="X472" s="98"/>
      <x:c r="Y472" s="5"/>
      <x:c r="Z472" s="5"/>
      <x:c r="AA472" s="5"/>
      <x:c r="AB472" s="118"/>
      <x:c r="AC472" s="119"/>
      <x:c r="AD472" s="119"/>
      <x:c r="AE472" s="5" t="str">
        <x:f>IF(A472="","",IF(Z472="","Нет ID пары",IF(AND(COUNTIFS($Z$59:$Z$505,Z472,$Y$59:$Y$505,"Оптимальный",$W$59:$W$505,"Рассчитан")=1,COUNTIFS($Z$59:$Z$505,Z472,$Y$59:$Y$505,"Агрессивный",$W$59:$W$505,"Рассчитан")=1),"Да","Нет")))</x:f>
      </x:c>
      <x:c r="AF472" s="5"/>
      <x:c r="AG472" s="5"/>
    </x:row>
    <x:row r="473">
      <x:c r="A473" s="80"/>
      <x:c r="B473" s="80"/>
      <x:c r="C473" s="83"/>
      <x:c r="D473" s="80"/>
      <x:c r="E473" s="80"/>
      <x:c r="F473" s="86"/>
      <x:c r="G473" s="80"/>
      <x:c r="H473" s="95"/>
      <x:c r="I473" s="95"/>
      <x:c r="J473" s="96"/>
      <x:c r="K473" s="97"/>
      <x:c r="L473" s="98"/>
      <x:c r="M473" s="98"/>
      <x:c r="N473" s="98"/>
      <x:c r="O473" s="98"/>
      <x:c r="P473" s="98"/>
      <x:c r="Q473" s="80"/>
      <x:c r="R473" s="80"/>
      <x:c r="S473" s="80"/>
      <x:c r="T473" s="80"/>
      <x:c r="U473" s="80"/>
      <x:c r="V473" s="89" t="str">
        <x:f>IF(A473="","",IF(U473="","",IF(U473="Выигрыш",J473-1,IF(U473="Полувыигрыш",(J473-1)/2,IF(U473="Возврат",0,IF(U473="Полупроигрыш",-0.5,IF(U473="Поражение",-1,"Проверить результат")))))))</x:f>
      </x:c>
      <x:c r="W473" s="80" t="str">
        <x:f>IF(A473="","",IF(U473="","Открыт",IF(ISNUMBER(V473),"Рассчитан","Проверить результат")))</x:f>
      </x:c>
      <x:c r="X473" s="98"/>
      <x:c r="Y473" s="5"/>
      <x:c r="Z473" s="5"/>
      <x:c r="AA473" s="5"/>
      <x:c r="AB473" s="118"/>
      <x:c r="AC473" s="119"/>
      <x:c r="AD473" s="119"/>
      <x:c r="AE473" s="5" t="str">
        <x:f>IF(A473="","",IF(Z473="","Нет ID пары",IF(AND(COUNTIFS($Z$59:$Z$505,Z473,$Y$59:$Y$505,"Оптимальный",$W$59:$W$505,"Рассчитан")=1,COUNTIFS($Z$59:$Z$505,Z473,$Y$59:$Y$505,"Агрессивный",$W$59:$W$505,"Рассчитан")=1),"Да","Нет")))</x:f>
      </x:c>
      <x:c r="AF473" s="5"/>
      <x:c r="AG473" s="5"/>
    </x:row>
    <x:row r="474">
      <x:c r="A474" s="80"/>
      <x:c r="B474" s="80"/>
      <x:c r="C474" s="83"/>
      <x:c r="D474" s="80"/>
      <x:c r="E474" s="80"/>
      <x:c r="F474" s="86"/>
      <x:c r="G474" s="80"/>
      <x:c r="H474" s="95"/>
      <x:c r="I474" s="95"/>
      <x:c r="J474" s="96"/>
      <x:c r="K474" s="97"/>
      <x:c r="L474" s="98"/>
      <x:c r="M474" s="98"/>
      <x:c r="N474" s="98"/>
      <x:c r="O474" s="98"/>
      <x:c r="P474" s="98"/>
      <x:c r="Q474" s="80"/>
      <x:c r="R474" s="80"/>
      <x:c r="S474" s="80"/>
      <x:c r="T474" s="80"/>
      <x:c r="U474" s="80"/>
      <x:c r="V474" s="89" t="str">
        <x:f>IF(A474="","",IF(U474="","",IF(U474="Выигрыш",J474-1,IF(U474="Полувыигрыш",(J474-1)/2,IF(U474="Возврат",0,IF(U474="Полупроигрыш",-0.5,IF(U474="Поражение",-1,"Проверить результат")))))))</x:f>
      </x:c>
      <x:c r="W474" s="80" t="str">
        <x:f>IF(A474="","",IF(U474="","Открыт",IF(ISNUMBER(V474),"Рассчитан","Проверить результат")))</x:f>
      </x:c>
      <x:c r="X474" s="98"/>
      <x:c r="Y474" s="5"/>
      <x:c r="Z474" s="5"/>
      <x:c r="AA474" s="5"/>
      <x:c r="AB474" s="118"/>
      <x:c r="AC474" s="119"/>
      <x:c r="AD474" s="119"/>
      <x:c r="AE474" s="5" t="str">
        <x:f>IF(A474="","",IF(Z474="","Нет ID пары",IF(AND(COUNTIFS($Z$59:$Z$505,Z474,$Y$59:$Y$505,"Оптимальный",$W$59:$W$505,"Рассчитан")=1,COUNTIFS($Z$59:$Z$505,Z474,$Y$59:$Y$505,"Агрессивный",$W$59:$W$505,"Рассчитан")=1),"Да","Нет")))</x:f>
      </x:c>
      <x:c r="AF474" s="5"/>
      <x:c r="AG474" s="5"/>
    </x:row>
    <x:row r="475">
      <x:c r="A475" s="80"/>
      <x:c r="B475" s="80"/>
      <x:c r="C475" s="83"/>
      <x:c r="D475" s="80"/>
      <x:c r="E475" s="80"/>
      <x:c r="F475" s="86"/>
      <x:c r="G475" s="80"/>
      <x:c r="H475" s="95"/>
      <x:c r="I475" s="95"/>
      <x:c r="J475" s="96"/>
      <x:c r="K475" s="97"/>
      <x:c r="L475" s="98"/>
      <x:c r="M475" s="98"/>
      <x:c r="N475" s="98"/>
      <x:c r="O475" s="98"/>
      <x:c r="P475" s="98"/>
      <x:c r="Q475" s="80"/>
      <x:c r="R475" s="80"/>
      <x:c r="S475" s="80"/>
      <x:c r="T475" s="80"/>
      <x:c r="U475" s="80"/>
      <x:c r="V475" s="89" t="str">
        <x:f>IF(A475="","",IF(U475="","",IF(U475="Выигрыш",J475-1,IF(U475="Полувыигрыш",(J475-1)/2,IF(U475="Возврат",0,IF(U475="Полупроигрыш",-0.5,IF(U475="Поражение",-1,"Проверить результат")))))))</x:f>
      </x:c>
      <x:c r="W475" s="80" t="str">
        <x:f>IF(A475="","",IF(U475="","Открыт",IF(ISNUMBER(V475),"Рассчитан","Проверить результат")))</x:f>
      </x:c>
      <x:c r="X475" s="98"/>
      <x:c r="Y475" s="5"/>
      <x:c r="Z475" s="5"/>
      <x:c r="AA475" s="5"/>
      <x:c r="AB475" s="118"/>
      <x:c r="AC475" s="119"/>
      <x:c r="AD475" s="119"/>
      <x:c r="AE475" s="5" t="str">
        <x:f>IF(A475="","",IF(Z475="","Нет ID пары",IF(AND(COUNTIFS($Z$59:$Z$505,Z475,$Y$59:$Y$505,"Оптимальный",$W$59:$W$505,"Рассчитан")=1,COUNTIFS($Z$59:$Z$505,Z475,$Y$59:$Y$505,"Агрессивный",$W$59:$W$505,"Рассчитан")=1),"Да","Нет")))</x:f>
      </x:c>
      <x:c r="AF475" s="5"/>
      <x:c r="AG475" s="5"/>
    </x:row>
    <x:row r="476">
      <x:c r="A476" s="80"/>
      <x:c r="B476" s="80"/>
      <x:c r="C476" s="83"/>
      <x:c r="D476" s="80"/>
      <x:c r="E476" s="80"/>
      <x:c r="F476" s="86"/>
      <x:c r="G476" s="80"/>
      <x:c r="H476" s="95"/>
      <x:c r="I476" s="95"/>
      <x:c r="J476" s="96"/>
      <x:c r="K476" s="97"/>
      <x:c r="L476" s="98"/>
      <x:c r="M476" s="98"/>
      <x:c r="N476" s="98"/>
      <x:c r="O476" s="98"/>
      <x:c r="P476" s="98"/>
      <x:c r="Q476" s="80"/>
      <x:c r="R476" s="80"/>
      <x:c r="S476" s="80"/>
      <x:c r="T476" s="80"/>
      <x:c r="U476" s="80"/>
      <x:c r="V476" s="89" t="str">
        <x:f>IF(A476="","",IF(U476="","",IF(U476="Выигрыш",J476-1,IF(U476="Полувыигрыш",(J476-1)/2,IF(U476="Возврат",0,IF(U476="Полупроигрыш",-0.5,IF(U476="Поражение",-1,"Проверить результат")))))))</x:f>
      </x:c>
      <x:c r="W476" s="80" t="str">
        <x:f>IF(A476="","",IF(U476="","Открыт",IF(ISNUMBER(V476),"Рассчитан","Проверить результат")))</x:f>
      </x:c>
      <x:c r="X476" s="98"/>
      <x:c r="Y476" s="5"/>
      <x:c r="Z476" s="5"/>
      <x:c r="AA476" s="5"/>
      <x:c r="AB476" s="118"/>
      <x:c r="AC476" s="119"/>
      <x:c r="AD476" s="119"/>
      <x:c r="AE476" s="5" t="str">
        <x:f>IF(A476="","",IF(Z476="","Нет ID пары",IF(AND(COUNTIFS($Z$59:$Z$505,Z476,$Y$59:$Y$505,"Оптимальный",$W$59:$W$505,"Рассчитан")=1,COUNTIFS($Z$59:$Z$505,Z476,$Y$59:$Y$505,"Агрессивный",$W$59:$W$505,"Рассчитан")=1),"Да","Нет")))</x:f>
      </x:c>
      <x:c r="AF476" s="5"/>
      <x:c r="AG476" s="5"/>
    </x:row>
    <x:row r="477">
      <x:c r="A477" s="80"/>
      <x:c r="B477" s="80"/>
      <x:c r="C477" s="83"/>
      <x:c r="D477" s="80"/>
      <x:c r="E477" s="80"/>
      <x:c r="F477" s="86"/>
      <x:c r="G477" s="80"/>
      <x:c r="H477" s="95"/>
      <x:c r="I477" s="95"/>
      <x:c r="J477" s="96"/>
      <x:c r="K477" s="97"/>
      <x:c r="L477" s="98"/>
      <x:c r="M477" s="98"/>
      <x:c r="N477" s="98"/>
      <x:c r="O477" s="98"/>
      <x:c r="P477" s="98"/>
      <x:c r="Q477" s="80"/>
      <x:c r="R477" s="80"/>
      <x:c r="S477" s="80"/>
      <x:c r="T477" s="80"/>
      <x:c r="U477" s="80"/>
      <x:c r="V477" s="89" t="str">
        <x:f>IF(A477="","",IF(U477="","",IF(U477="Выигрыш",J477-1,IF(U477="Полувыигрыш",(J477-1)/2,IF(U477="Возврат",0,IF(U477="Полупроигрыш",-0.5,IF(U477="Поражение",-1,"Проверить результат")))))))</x:f>
      </x:c>
      <x:c r="W477" s="80" t="str">
        <x:f>IF(A477="","",IF(U477="","Открыт",IF(ISNUMBER(V477),"Рассчитан","Проверить результат")))</x:f>
      </x:c>
      <x:c r="X477" s="98"/>
      <x:c r="Y477" s="5"/>
      <x:c r="Z477" s="5"/>
      <x:c r="AA477" s="5"/>
      <x:c r="AB477" s="118"/>
      <x:c r="AC477" s="119"/>
      <x:c r="AD477" s="119"/>
      <x:c r="AE477" s="5" t="str">
        <x:f>IF(A477="","",IF(Z477="","Нет ID пары",IF(AND(COUNTIFS($Z$59:$Z$505,Z477,$Y$59:$Y$505,"Оптимальный",$W$59:$W$505,"Рассчитан")=1,COUNTIFS($Z$59:$Z$505,Z477,$Y$59:$Y$505,"Агрессивный",$W$59:$W$505,"Рассчитан")=1),"Да","Нет")))</x:f>
      </x:c>
      <x:c r="AF477" s="5"/>
      <x:c r="AG477" s="5"/>
    </x:row>
    <x:row r="478">
      <x:c r="A478" s="80"/>
      <x:c r="B478" s="80"/>
      <x:c r="C478" s="83"/>
      <x:c r="D478" s="80"/>
      <x:c r="E478" s="80"/>
      <x:c r="F478" s="86"/>
      <x:c r="G478" s="80"/>
      <x:c r="H478" s="95"/>
      <x:c r="I478" s="95"/>
      <x:c r="J478" s="96"/>
      <x:c r="K478" s="97"/>
      <x:c r="L478" s="98"/>
      <x:c r="M478" s="98"/>
      <x:c r="N478" s="98"/>
      <x:c r="O478" s="98"/>
      <x:c r="P478" s="98"/>
      <x:c r="Q478" s="80"/>
      <x:c r="R478" s="80"/>
      <x:c r="S478" s="80"/>
      <x:c r="T478" s="80"/>
      <x:c r="U478" s="80"/>
      <x:c r="V478" s="89" t="str">
        <x:f>IF(A478="","",IF(U478="","",IF(U478="Выигрыш",J478-1,IF(U478="Полувыигрыш",(J478-1)/2,IF(U478="Возврат",0,IF(U478="Полупроигрыш",-0.5,IF(U478="Поражение",-1,"Проверить результат")))))))</x:f>
      </x:c>
      <x:c r="W478" s="80" t="str">
        <x:f>IF(A478="","",IF(U478="","Открыт",IF(ISNUMBER(V478),"Рассчитан","Проверить результат")))</x:f>
      </x:c>
      <x:c r="X478" s="98"/>
      <x:c r="Y478" s="5"/>
      <x:c r="Z478" s="5"/>
      <x:c r="AA478" s="5"/>
      <x:c r="AB478" s="118"/>
      <x:c r="AC478" s="119"/>
      <x:c r="AD478" s="119"/>
      <x:c r="AE478" s="5" t="str">
        <x:f>IF(A478="","",IF(Z478="","Нет ID пары",IF(AND(COUNTIFS($Z$59:$Z$505,Z478,$Y$59:$Y$505,"Оптимальный",$W$59:$W$505,"Рассчитан")=1,COUNTIFS($Z$59:$Z$505,Z478,$Y$59:$Y$505,"Агрессивный",$W$59:$W$505,"Рассчитан")=1),"Да","Нет")))</x:f>
      </x:c>
      <x:c r="AF478" s="5"/>
      <x:c r="AG478" s="5"/>
    </x:row>
    <x:row r="479">
      <x:c r="A479" s="80"/>
      <x:c r="B479" s="80"/>
      <x:c r="C479" s="83"/>
      <x:c r="D479" s="80"/>
      <x:c r="E479" s="80"/>
      <x:c r="F479" s="86"/>
      <x:c r="G479" s="80"/>
      <x:c r="H479" s="95"/>
      <x:c r="I479" s="95"/>
      <x:c r="J479" s="96"/>
      <x:c r="K479" s="97"/>
      <x:c r="L479" s="98"/>
      <x:c r="M479" s="98"/>
      <x:c r="N479" s="98"/>
      <x:c r="O479" s="98"/>
      <x:c r="P479" s="98"/>
      <x:c r="Q479" s="80"/>
      <x:c r="R479" s="80"/>
      <x:c r="S479" s="80"/>
      <x:c r="T479" s="80"/>
      <x:c r="U479" s="80"/>
      <x:c r="V479" s="89" t="str">
        <x:f>IF(A479="","",IF(U479="","",IF(U479="Выигрыш",J479-1,IF(U479="Полувыигрыш",(J479-1)/2,IF(U479="Возврат",0,IF(U479="Полупроигрыш",-0.5,IF(U479="Поражение",-1,"Проверить результат")))))))</x:f>
      </x:c>
      <x:c r="W479" s="80" t="str">
        <x:f>IF(A479="","",IF(U479="","Открыт",IF(ISNUMBER(V479),"Рассчитан","Проверить результат")))</x:f>
      </x:c>
      <x:c r="X479" s="98"/>
      <x:c r="Y479" s="5"/>
      <x:c r="Z479" s="5"/>
      <x:c r="AA479" s="5"/>
      <x:c r="AB479" s="118"/>
      <x:c r="AC479" s="119"/>
      <x:c r="AD479" s="119"/>
      <x:c r="AE479" s="5" t="str">
        <x:f>IF(A479="","",IF(Z479="","Нет ID пары",IF(AND(COUNTIFS($Z$59:$Z$505,Z479,$Y$59:$Y$505,"Оптимальный",$W$59:$W$505,"Рассчитан")=1,COUNTIFS($Z$59:$Z$505,Z479,$Y$59:$Y$505,"Агрессивный",$W$59:$W$505,"Рассчитан")=1),"Да","Нет")))</x:f>
      </x:c>
      <x:c r="AF479" s="5"/>
      <x:c r="AG479" s="5"/>
    </x:row>
    <x:row r="480">
      <x:c r="A480" s="80"/>
      <x:c r="B480" s="80"/>
      <x:c r="C480" s="83"/>
      <x:c r="D480" s="80"/>
      <x:c r="E480" s="80"/>
      <x:c r="F480" s="86"/>
      <x:c r="G480" s="80"/>
      <x:c r="H480" s="95"/>
      <x:c r="I480" s="95"/>
      <x:c r="J480" s="96"/>
      <x:c r="K480" s="97"/>
      <x:c r="L480" s="98"/>
      <x:c r="M480" s="98"/>
      <x:c r="N480" s="98"/>
      <x:c r="O480" s="98"/>
      <x:c r="P480" s="98"/>
      <x:c r="Q480" s="80"/>
      <x:c r="R480" s="80"/>
      <x:c r="S480" s="80"/>
      <x:c r="T480" s="80"/>
      <x:c r="U480" s="80"/>
      <x:c r="V480" s="89" t="str">
        <x:f>IF(A480="","",IF(U480="","",IF(U480="Выигрыш",J480-1,IF(U480="Полувыигрыш",(J480-1)/2,IF(U480="Возврат",0,IF(U480="Полупроигрыш",-0.5,IF(U480="Поражение",-1,"Проверить результат")))))))</x:f>
      </x:c>
      <x:c r="W480" s="80" t="str">
        <x:f>IF(A480="","",IF(U480="","Открыт",IF(ISNUMBER(V480),"Рассчитан","Проверить результат")))</x:f>
      </x:c>
      <x:c r="X480" s="98"/>
      <x:c r="Y480" s="5"/>
      <x:c r="Z480" s="5"/>
      <x:c r="AA480" s="5"/>
      <x:c r="AB480" s="118"/>
      <x:c r="AC480" s="119"/>
      <x:c r="AD480" s="119"/>
      <x:c r="AE480" s="5" t="str">
        <x:f>IF(A480="","",IF(Z480="","Нет ID пары",IF(AND(COUNTIFS($Z$59:$Z$505,Z480,$Y$59:$Y$505,"Оптимальный",$W$59:$W$505,"Рассчитан")=1,COUNTIFS($Z$59:$Z$505,Z480,$Y$59:$Y$505,"Агрессивный",$W$59:$W$505,"Рассчитан")=1),"Да","Нет")))</x:f>
      </x:c>
      <x:c r="AF480" s="5"/>
      <x:c r="AG480" s="5"/>
    </x:row>
    <x:row r="481">
      <x:c r="A481" s="80"/>
      <x:c r="B481" s="80"/>
      <x:c r="C481" s="83"/>
      <x:c r="D481" s="80"/>
      <x:c r="E481" s="80"/>
      <x:c r="F481" s="86"/>
      <x:c r="G481" s="80"/>
      <x:c r="H481" s="95"/>
      <x:c r="I481" s="95"/>
      <x:c r="J481" s="96"/>
      <x:c r="K481" s="97"/>
      <x:c r="L481" s="98"/>
      <x:c r="M481" s="98"/>
      <x:c r="N481" s="98"/>
      <x:c r="O481" s="98"/>
      <x:c r="P481" s="98"/>
      <x:c r="Q481" s="80"/>
      <x:c r="R481" s="80"/>
      <x:c r="S481" s="80"/>
      <x:c r="T481" s="80"/>
      <x:c r="U481" s="80"/>
      <x:c r="V481" s="89" t="str">
        <x:f>IF(A481="","",IF(U481="","",IF(U481="Выигрыш",J481-1,IF(U481="Полувыигрыш",(J481-1)/2,IF(U481="Возврат",0,IF(U481="Полупроигрыш",-0.5,IF(U481="Поражение",-1,"Проверить результат")))))))</x:f>
      </x:c>
      <x:c r="W481" s="80" t="str">
        <x:f>IF(A481="","",IF(U481="","Открыт",IF(ISNUMBER(V481),"Рассчитан","Проверить результат")))</x:f>
      </x:c>
      <x:c r="X481" s="98"/>
      <x:c r="Y481" s="5"/>
      <x:c r="Z481" s="5"/>
      <x:c r="AA481" s="5"/>
      <x:c r="AB481" s="118"/>
      <x:c r="AC481" s="119"/>
      <x:c r="AD481" s="119"/>
      <x:c r="AE481" s="5" t="str">
        <x:f>IF(A481="","",IF(Z481="","Нет ID пары",IF(AND(COUNTIFS($Z$59:$Z$505,Z481,$Y$59:$Y$505,"Оптимальный",$W$59:$W$505,"Рассчитан")=1,COUNTIFS($Z$59:$Z$505,Z481,$Y$59:$Y$505,"Агрессивный",$W$59:$W$505,"Рассчитан")=1),"Да","Нет")))</x:f>
      </x:c>
      <x:c r="AF481" s="5"/>
      <x:c r="AG481" s="5"/>
    </x:row>
    <x:row r="482">
      <x:c r="A482" s="80"/>
      <x:c r="B482" s="80"/>
      <x:c r="C482" s="83"/>
      <x:c r="D482" s="80"/>
      <x:c r="E482" s="80"/>
      <x:c r="F482" s="86"/>
      <x:c r="G482" s="80"/>
      <x:c r="H482" s="95"/>
      <x:c r="I482" s="95"/>
      <x:c r="J482" s="96"/>
      <x:c r="K482" s="97"/>
      <x:c r="L482" s="98"/>
      <x:c r="M482" s="98"/>
      <x:c r="N482" s="98"/>
      <x:c r="O482" s="98"/>
      <x:c r="P482" s="98"/>
      <x:c r="Q482" s="80"/>
      <x:c r="R482" s="80"/>
      <x:c r="S482" s="80"/>
      <x:c r="T482" s="80"/>
      <x:c r="U482" s="80"/>
      <x:c r="V482" s="89" t="str">
        <x:f>IF(A482="","",IF(U482="","",IF(U482="Выигрыш",J482-1,IF(U482="Полувыигрыш",(J482-1)/2,IF(U482="Возврат",0,IF(U482="Полупроигрыш",-0.5,IF(U482="Поражение",-1,"Проверить результат")))))))</x:f>
      </x:c>
      <x:c r="W482" s="80" t="str">
        <x:f>IF(A482="","",IF(U482="","Открыт",IF(ISNUMBER(V482),"Рассчитан","Проверить результат")))</x:f>
      </x:c>
      <x:c r="X482" s="98"/>
      <x:c r="Y482" s="5"/>
      <x:c r="Z482" s="5"/>
      <x:c r="AA482" s="5"/>
      <x:c r="AB482" s="118"/>
      <x:c r="AC482" s="119"/>
      <x:c r="AD482" s="119"/>
      <x:c r="AE482" s="5" t="str">
        <x:f>IF(A482="","",IF(Z482="","Нет ID пары",IF(AND(COUNTIFS($Z$59:$Z$505,Z482,$Y$59:$Y$505,"Оптимальный",$W$59:$W$505,"Рассчитан")=1,COUNTIFS($Z$59:$Z$505,Z482,$Y$59:$Y$505,"Агрессивный",$W$59:$W$505,"Рассчитан")=1),"Да","Нет")))</x:f>
      </x:c>
      <x:c r="AF482" s="5"/>
      <x:c r="AG482" s="5"/>
    </x:row>
    <x:row r="483">
      <x:c r="A483" s="80"/>
      <x:c r="B483" s="80"/>
      <x:c r="C483" s="83"/>
      <x:c r="D483" s="80"/>
      <x:c r="E483" s="80"/>
      <x:c r="F483" s="86"/>
      <x:c r="G483" s="80"/>
      <x:c r="H483" s="95"/>
      <x:c r="I483" s="95"/>
      <x:c r="J483" s="96"/>
      <x:c r="K483" s="97"/>
      <x:c r="L483" s="98"/>
      <x:c r="M483" s="98"/>
      <x:c r="N483" s="98"/>
      <x:c r="O483" s="98"/>
      <x:c r="P483" s="98"/>
      <x:c r="Q483" s="80"/>
      <x:c r="R483" s="80"/>
      <x:c r="S483" s="80"/>
      <x:c r="T483" s="80"/>
      <x:c r="U483" s="80"/>
      <x:c r="V483" s="89" t="str">
        <x:f>IF(A483="","",IF(U483="","",IF(U483="Выигрыш",J483-1,IF(U483="Полувыигрыш",(J483-1)/2,IF(U483="Возврат",0,IF(U483="Полупроигрыш",-0.5,IF(U483="Поражение",-1,"Проверить результат")))))))</x:f>
      </x:c>
      <x:c r="W483" s="80" t="str">
        <x:f>IF(A483="","",IF(U483="","Открыт",IF(ISNUMBER(V483),"Рассчитан","Проверить результат")))</x:f>
      </x:c>
      <x:c r="X483" s="98"/>
      <x:c r="Y483" s="5"/>
      <x:c r="Z483" s="5"/>
      <x:c r="AA483" s="5"/>
      <x:c r="AB483" s="118"/>
      <x:c r="AC483" s="119"/>
      <x:c r="AD483" s="119"/>
      <x:c r="AE483" s="5" t="str">
        <x:f>IF(A483="","",IF(Z483="","Нет ID пары",IF(AND(COUNTIFS($Z$59:$Z$505,Z483,$Y$59:$Y$505,"Оптимальный",$W$59:$W$505,"Рассчитан")=1,COUNTIFS($Z$59:$Z$505,Z483,$Y$59:$Y$505,"Агрессивный",$W$59:$W$505,"Рассчитан")=1),"Да","Нет")))</x:f>
      </x:c>
      <x:c r="AF483" s="5"/>
      <x:c r="AG483" s="5"/>
    </x:row>
    <x:row r="484">
      <x:c r="A484" s="80"/>
      <x:c r="B484" s="80"/>
      <x:c r="C484" s="83"/>
      <x:c r="D484" s="80"/>
      <x:c r="E484" s="80"/>
      <x:c r="F484" s="86"/>
      <x:c r="G484" s="80"/>
      <x:c r="H484" s="95"/>
      <x:c r="I484" s="95"/>
      <x:c r="J484" s="96"/>
      <x:c r="K484" s="97"/>
      <x:c r="L484" s="98"/>
      <x:c r="M484" s="98"/>
      <x:c r="N484" s="98"/>
      <x:c r="O484" s="98"/>
      <x:c r="P484" s="98"/>
      <x:c r="Q484" s="80"/>
      <x:c r="R484" s="80"/>
      <x:c r="S484" s="80"/>
      <x:c r="T484" s="80"/>
      <x:c r="U484" s="80"/>
      <x:c r="V484" s="89" t="str">
        <x:f>IF(A484="","",IF(U484="","",IF(U484="Выигрыш",J484-1,IF(U484="Полувыигрыш",(J484-1)/2,IF(U484="Возврат",0,IF(U484="Полупроигрыш",-0.5,IF(U484="Поражение",-1,"Проверить результат")))))))</x:f>
      </x:c>
      <x:c r="W484" s="80" t="str">
        <x:f>IF(A484="","",IF(U484="","Открыт",IF(ISNUMBER(V484),"Рассчитан","Проверить результат")))</x:f>
      </x:c>
      <x:c r="X484" s="98"/>
      <x:c r="Y484" s="5"/>
      <x:c r="Z484" s="5"/>
      <x:c r="AA484" s="5"/>
      <x:c r="AB484" s="118"/>
      <x:c r="AC484" s="119"/>
      <x:c r="AD484" s="119"/>
      <x:c r="AE484" s="5" t="str">
        <x:f>IF(A484="","",IF(Z484="","Нет ID пары",IF(AND(COUNTIFS($Z$59:$Z$505,Z484,$Y$59:$Y$505,"Оптимальный",$W$59:$W$505,"Рассчитан")=1,COUNTIFS($Z$59:$Z$505,Z484,$Y$59:$Y$505,"Агрессивный",$W$59:$W$505,"Рассчитан")=1),"Да","Нет")))</x:f>
      </x:c>
      <x:c r="AF484" s="5"/>
      <x:c r="AG484" s="5"/>
    </x:row>
    <x:row r="485">
      <x:c r="A485" s="80"/>
      <x:c r="B485" s="80"/>
      <x:c r="C485" s="83"/>
      <x:c r="D485" s="80"/>
      <x:c r="E485" s="80"/>
      <x:c r="F485" s="86"/>
      <x:c r="G485" s="80"/>
      <x:c r="H485" s="95"/>
      <x:c r="I485" s="95"/>
      <x:c r="J485" s="96"/>
      <x:c r="K485" s="97"/>
      <x:c r="L485" s="98"/>
      <x:c r="M485" s="98"/>
      <x:c r="N485" s="98"/>
      <x:c r="O485" s="98"/>
      <x:c r="P485" s="98"/>
      <x:c r="Q485" s="80"/>
      <x:c r="R485" s="80"/>
      <x:c r="S485" s="80"/>
      <x:c r="T485" s="80"/>
      <x:c r="U485" s="80"/>
      <x:c r="V485" s="89" t="str">
        <x:f>IF(A485="","",IF(U485="","",IF(U485="Выигрыш",J485-1,IF(U485="Полувыигрыш",(J485-1)/2,IF(U485="Возврат",0,IF(U485="Полупроигрыш",-0.5,IF(U485="Поражение",-1,"Проверить результат")))))))</x:f>
      </x:c>
      <x:c r="W485" s="80" t="str">
        <x:f>IF(A485="","",IF(U485="","Открыт",IF(ISNUMBER(V485),"Рассчитан","Проверить результат")))</x:f>
      </x:c>
      <x:c r="X485" s="98"/>
      <x:c r="Y485" s="5"/>
      <x:c r="Z485" s="5"/>
      <x:c r="AA485" s="5"/>
      <x:c r="AB485" s="118"/>
      <x:c r="AC485" s="119"/>
      <x:c r="AD485" s="119"/>
      <x:c r="AE485" s="5" t="str">
        <x:f>IF(A485="","",IF(Z485="","Нет ID пары",IF(AND(COUNTIFS($Z$59:$Z$505,Z485,$Y$59:$Y$505,"Оптимальный",$W$59:$W$505,"Рассчитан")=1,COUNTIFS($Z$59:$Z$505,Z485,$Y$59:$Y$505,"Агрессивный",$W$59:$W$505,"Рассчитан")=1),"Да","Нет")))</x:f>
      </x:c>
      <x:c r="AF485" s="5"/>
      <x:c r="AG485" s="5"/>
    </x:row>
    <x:row r="486">
      <x:c r="A486" s="80"/>
      <x:c r="B486" s="80"/>
      <x:c r="C486" s="83"/>
      <x:c r="D486" s="80"/>
      <x:c r="E486" s="80"/>
      <x:c r="F486" s="86"/>
      <x:c r="G486" s="80"/>
      <x:c r="H486" s="95"/>
      <x:c r="I486" s="95"/>
      <x:c r="J486" s="96"/>
      <x:c r="K486" s="97"/>
      <x:c r="L486" s="98"/>
      <x:c r="M486" s="98"/>
      <x:c r="N486" s="98"/>
      <x:c r="O486" s="98"/>
      <x:c r="P486" s="98"/>
      <x:c r="Q486" s="80"/>
      <x:c r="R486" s="80"/>
      <x:c r="S486" s="80"/>
      <x:c r="T486" s="80"/>
      <x:c r="U486" s="80"/>
      <x:c r="V486" s="89" t="str">
        <x:f>IF(A486="","",IF(U486="","",IF(U486="Выигрыш",J486-1,IF(U486="Полувыигрыш",(J486-1)/2,IF(U486="Возврат",0,IF(U486="Полупроигрыш",-0.5,IF(U486="Поражение",-1,"Проверить результат")))))))</x:f>
      </x:c>
      <x:c r="W486" s="80" t="str">
        <x:f>IF(A486="","",IF(U486="","Открыт",IF(ISNUMBER(V486),"Рассчитан","Проверить результат")))</x:f>
      </x:c>
      <x:c r="X486" s="98"/>
      <x:c r="Y486" s="5"/>
      <x:c r="Z486" s="5"/>
      <x:c r="AA486" s="5"/>
      <x:c r="AB486" s="118"/>
      <x:c r="AC486" s="119"/>
      <x:c r="AD486" s="119"/>
      <x:c r="AE486" s="5" t="str">
        <x:f>IF(A486="","",IF(Z486="","Нет ID пары",IF(AND(COUNTIFS($Z$59:$Z$505,Z486,$Y$59:$Y$505,"Оптимальный",$W$59:$W$505,"Рассчитан")=1,COUNTIFS($Z$59:$Z$505,Z486,$Y$59:$Y$505,"Агрессивный",$W$59:$W$505,"Рассчитан")=1),"Да","Нет")))</x:f>
      </x:c>
      <x:c r="AF486" s="5"/>
      <x:c r="AG486" s="5"/>
    </x:row>
    <x:row r="487">
      <x:c r="A487" s="80"/>
      <x:c r="B487" s="80"/>
      <x:c r="C487" s="83"/>
      <x:c r="D487" s="80"/>
      <x:c r="E487" s="80"/>
      <x:c r="F487" s="86"/>
      <x:c r="G487" s="80"/>
      <x:c r="H487" s="95"/>
      <x:c r="I487" s="95"/>
      <x:c r="J487" s="96"/>
      <x:c r="K487" s="97"/>
      <x:c r="L487" s="98"/>
      <x:c r="M487" s="98"/>
      <x:c r="N487" s="98"/>
      <x:c r="O487" s="98"/>
      <x:c r="P487" s="98"/>
      <x:c r="Q487" s="80"/>
      <x:c r="R487" s="80"/>
      <x:c r="S487" s="80"/>
      <x:c r="T487" s="80"/>
      <x:c r="U487" s="80"/>
      <x:c r="V487" s="89" t="str">
        <x:f>IF(A487="","",IF(U487="","",IF(U487="Выигрыш",J487-1,IF(U487="Полувыигрыш",(J487-1)/2,IF(U487="Возврат",0,IF(U487="Полупроигрыш",-0.5,IF(U487="Поражение",-1,"Проверить результат")))))))</x:f>
      </x:c>
      <x:c r="W487" s="80" t="str">
        <x:f>IF(A487="","",IF(U487="","Открыт",IF(ISNUMBER(V487),"Рассчитан","Проверить результат")))</x:f>
      </x:c>
      <x:c r="X487" s="98"/>
      <x:c r="Y487" s="5"/>
      <x:c r="Z487" s="5"/>
      <x:c r="AA487" s="5"/>
      <x:c r="AB487" s="118"/>
      <x:c r="AC487" s="119"/>
      <x:c r="AD487" s="119"/>
      <x:c r="AE487" s="5" t="str">
        <x:f>IF(A487="","",IF(Z487="","Нет ID пары",IF(AND(COUNTIFS($Z$59:$Z$505,Z487,$Y$59:$Y$505,"Оптимальный",$W$59:$W$505,"Рассчитан")=1,COUNTIFS($Z$59:$Z$505,Z487,$Y$59:$Y$505,"Агрессивный",$W$59:$W$505,"Рассчитан")=1),"Да","Нет")))</x:f>
      </x:c>
      <x:c r="AF487" s="5"/>
      <x:c r="AG487" s="5"/>
    </x:row>
    <x:row r="488">
      <x:c r="A488" s="80"/>
      <x:c r="B488" s="80"/>
      <x:c r="C488" s="83"/>
      <x:c r="D488" s="80"/>
      <x:c r="E488" s="80"/>
      <x:c r="F488" s="86"/>
      <x:c r="G488" s="80"/>
      <x:c r="H488" s="95"/>
      <x:c r="I488" s="95"/>
      <x:c r="J488" s="96"/>
      <x:c r="K488" s="97"/>
      <x:c r="L488" s="98"/>
      <x:c r="M488" s="98"/>
      <x:c r="N488" s="98"/>
      <x:c r="O488" s="98"/>
      <x:c r="P488" s="98"/>
      <x:c r="Q488" s="80"/>
      <x:c r="R488" s="80"/>
      <x:c r="S488" s="80"/>
      <x:c r="T488" s="80"/>
      <x:c r="U488" s="80"/>
      <x:c r="V488" s="89" t="str">
        <x:f>IF(A488="","",IF(U488="","",IF(U488="Выигрыш",J488-1,IF(U488="Полувыигрыш",(J488-1)/2,IF(U488="Возврат",0,IF(U488="Полупроигрыш",-0.5,IF(U488="Поражение",-1,"Проверить результат")))))))</x:f>
      </x:c>
      <x:c r="W488" s="80" t="str">
        <x:f>IF(A488="","",IF(U488="","Открыт",IF(ISNUMBER(V488),"Рассчитан","Проверить результат")))</x:f>
      </x:c>
      <x:c r="X488" s="98"/>
      <x:c r="Y488" s="5"/>
      <x:c r="Z488" s="5"/>
      <x:c r="AA488" s="5"/>
      <x:c r="AB488" s="118"/>
      <x:c r="AC488" s="119"/>
      <x:c r="AD488" s="119"/>
      <x:c r="AE488" s="5" t="str">
        <x:f>IF(A488="","",IF(Z488="","Нет ID пары",IF(AND(COUNTIFS($Z$59:$Z$505,Z488,$Y$59:$Y$505,"Оптимальный",$W$59:$W$505,"Рассчитан")=1,COUNTIFS($Z$59:$Z$505,Z488,$Y$59:$Y$505,"Агрессивный",$W$59:$W$505,"Рассчитан")=1),"Да","Нет")))</x:f>
      </x:c>
      <x:c r="AF488" s="5"/>
      <x:c r="AG488" s="5"/>
    </x:row>
    <x:row r="489">
      <x:c r="A489" s="80"/>
      <x:c r="B489" s="80"/>
      <x:c r="C489" s="83"/>
      <x:c r="D489" s="80"/>
      <x:c r="E489" s="80"/>
      <x:c r="F489" s="86"/>
      <x:c r="G489" s="80"/>
      <x:c r="H489" s="95"/>
      <x:c r="I489" s="95"/>
      <x:c r="J489" s="96"/>
      <x:c r="K489" s="97"/>
      <x:c r="L489" s="98"/>
      <x:c r="M489" s="98"/>
      <x:c r="N489" s="98"/>
      <x:c r="O489" s="98"/>
      <x:c r="P489" s="98"/>
      <x:c r="Q489" s="80"/>
      <x:c r="R489" s="80"/>
      <x:c r="S489" s="80"/>
      <x:c r="T489" s="80"/>
      <x:c r="U489" s="80"/>
      <x:c r="V489" s="89" t="str">
        <x:f>IF(A489="","",IF(U489="","",IF(U489="Выигрыш",J489-1,IF(U489="Полувыигрыш",(J489-1)/2,IF(U489="Возврат",0,IF(U489="Полупроигрыш",-0.5,IF(U489="Поражение",-1,"Проверить результат")))))))</x:f>
      </x:c>
      <x:c r="W489" s="80" t="str">
        <x:f>IF(A489="","",IF(U489="","Открыт",IF(ISNUMBER(V489),"Рассчитан","Проверить результат")))</x:f>
      </x:c>
      <x:c r="X489" s="98"/>
      <x:c r="Y489" s="5"/>
      <x:c r="Z489" s="5"/>
      <x:c r="AA489" s="5"/>
      <x:c r="AB489" s="118"/>
      <x:c r="AC489" s="119"/>
      <x:c r="AD489" s="119"/>
      <x:c r="AE489" s="5" t="str">
        <x:f>IF(A489="","",IF(Z489="","Нет ID пары",IF(AND(COUNTIFS($Z$59:$Z$505,Z489,$Y$59:$Y$505,"Оптимальный",$W$59:$W$505,"Рассчитан")=1,COUNTIFS($Z$59:$Z$505,Z489,$Y$59:$Y$505,"Агрессивный",$W$59:$W$505,"Рассчитан")=1),"Да","Нет")))</x:f>
      </x:c>
      <x:c r="AF489" s="5"/>
      <x:c r="AG489" s="5"/>
    </x:row>
    <x:row r="490">
      <x:c r="A490" s="80"/>
      <x:c r="B490" s="80"/>
      <x:c r="C490" s="83"/>
      <x:c r="D490" s="80"/>
      <x:c r="E490" s="80"/>
      <x:c r="F490" s="86"/>
      <x:c r="G490" s="80"/>
      <x:c r="H490" s="95"/>
      <x:c r="I490" s="95"/>
      <x:c r="J490" s="96"/>
      <x:c r="K490" s="97"/>
      <x:c r="L490" s="98"/>
      <x:c r="M490" s="98"/>
      <x:c r="N490" s="98"/>
      <x:c r="O490" s="98"/>
      <x:c r="P490" s="98"/>
      <x:c r="Q490" s="80"/>
      <x:c r="R490" s="80"/>
      <x:c r="S490" s="80"/>
      <x:c r="T490" s="80"/>
      <x:c r="U490" s="80"/>
      <x:c r="V490" s="89" t="str">
        <x:f>IF(A490="","",IF(U490="","",IF(U490="Выигрыш",J490-1,IF(U490="Полувыигрыш",(J490-1)/2,IF(U490="Возврат",0,IF(U490="Полупроигрыш",-0.5,IF(U490="Поражение",-1,"Проверить результат")))))))</x:f>
      </x:c>
      <x:c r="W490" s="80" t="str">
        <x:f>IF(A490="","",IF(U490="","Открыт",IF(ISNUMBER(V490),"Рассчитан","Проверить результат")))</x:f>
      </x:c>
      <x:c r="X490" s="98"/>
      <x:c r="Y490" s="5"/>
      <x:c r="Z490" s="5"/>
      <x:c r="AA490" s="5"/>
      <x:c r="AB490" s="118"/>
      <x:c r="AC490" s="119"/>
      <x:c r="AD490" s="119"/>
      <x:c r="AE490" s="5" t="str">
        <x:f>IF(A490="","",IF(Z490="","Нет ID пары",IF(AND(COUNTIFS($Z$59:$Z$505,Z490,$Y$59:$Y$505,"Оптимальный",$W$59:$W$505,"Рассчитан")=1,COUNTIFS($Z$59:$Z$505,Z490,$Y$59:$Y$505,"Агрессивный",$W$59:$W$505,"Рассчитан")=1),"Да","Нет")))</x:f>
      </x:c>
      <x:c r="AF490" s="5"/>
      <x:c r="AG490" s="5"/>
    </x:row>
    <x:row r="491">
      <x:c r="A491" s="80"/>
      <x:c r="B491" s="80"/>
      <x:c r="C491" s="83"/>
      <x:c r="D491" s="80"/>
      <x:c r="E491" s="80"/>
      <x:c r="F491" s="86"/>
      <x:c r="G491" s="80"/>
      <x:c r="H491" s="95"/>
      <x:c r="I491" s="95"/>
      <x:c r="J491" s="96"/>
      <x:c r="K491" s="97"/>
      <x:c r="L491" s="98"/>
      <x:c r="M491" s="98"/>
      <x:c r="N491" s="98"/>
      <x:c r="O491" s="98"/>
      <x:c r="P491" s="98"/>
      <x:c r="Q491" s="80"/>
      <x:c r="R491" s="80"/>
      <x:c r="S491" s="80"/>
      <x:c r="T491" s="80"/>
      <x:c r="U491" s="80"/>
      <x:c r="V491" s="89" t="str">
        <x:f>IF(A491="","",IF(U491="","",IF(U491="Выигрыш",J491-1,IF(U491="Полувыигрыш",(J491-1)/2,IF(U491="Возврат",0,IF(U491="Полупроигрыш",-0.5,IF(U491="Поражение",-1,"Проверить результат")))))))</x:f>
      </x:c>
      <x:c r="W491" s="80" t="str">
        <x:f>IF(A491="","",IF(U491="","Открыт",IF(ISNUMBER(V491),"Рассчитан","Проверить результат")))</x:f>
      </x:c>
      <x:c r="X491" s="98"/>
      <x:c r="Y491" s="5"/>
      <x:c r="Z491" s="5"/>
      <x:c r="AA491" s="5"/>
      <x:c r="AB491" s="118"/>
      <x:c r="AC491" s="119"/>
      <x:c r="AD491" s="119"/>
      <x:c r="AE491" s="5" t="str">
        <x:f>IF(A491="","",IF(Z491="","Нет ID пары",IF(AND(COUNTIFS($Z$59:$Z$505,Z491,$Y$59:$Y$505,"Оптимальный",$W$59:$W$505,"Рассчитан")=1,COUNTIFS($Z$59:$Z$505,Z491,$Y$59:$Y$505,"Агрессивный",$W$59:$W$505,"Рассчитан")=1),"Да","Нет")))</x:f>
      </x:c>
      <x:c r="AF491" s="5"/>
      <x:c r="AG491" s="5"/>
    </x:row>
    <x:row r="492">
      <x:c r="A492" s="80"/>
      <x:c r="B492" s="80"/>
      <x:c r="C492" s="83"/>
      <x:c r="D492" s="80"/>
      <x:c r="E492" s="80"/>
      <x:c r="F492" s="86"/>
      <x:c r="G492" s="80"/>
      <x:c r="H492" s="95"/>
      <x:c r="I492" s="95"/>
      <x:c r="J492" s="96"/>
      <x:c r="K492" s="97"/>
      <x:c r="L492" s="98"/>
      <x:c r="M492" s="98"/>
      <x:c r="N492" s="98"/>
      <x:c r="O492" s="98"/>
      <x:c r="P492" s="98"/>
      <x:c r="Q492" s="80"/>
      <x:c r="R492" s="80"/>
      <x:c r="S492" s="80"/>
      <x:c r="T492" s="80"/>
      <x:c r="U492" s="80"/>
      <x:c r="V492" s="89" t="str">
        <x:f>IF(A492="","",IF(U492="","",IF(U492="Выигрыш",J492-1,IF(U492="Полувыигрыш",(J492-1)/2,IF(U492="Возврат",0,IF(U492="Полупроигрыш",-0.5,IF(U492="Поражение",-1,"Проверить результат")))))))</x:f>
      </x:c>
      <x:c r="W492" s="80" t="str">
        <x:f>IF(A492="","",IF(U492="","Открыт",IF(ISNUMBER(V492),"Рассчитан","Проверить результат")))</x:f>
      </x:c>
      <x:c r="X492" s="98"/>
      <x:c r="Y492" s="5"/>
      <x:c r="Z492" s="5"/>
      <x:c r="AA492" s="5"/>
      <x:c r="AB492" s="118"/>
      <x:c r="AC492" s="119"/>
      <x:c r="AD492" s="119"/>
      <x:c r="AE492" s="5" t="str">
        <x:f>IF(A492="","",IF(Z492="","Нет ID пары",IF(AND(COUNTIFS($Z$59:$Z$505,Z492,$Y$59:$Y$505,"Оптимальный",$W$59:$W$505,"Рассчитан")=1,COUNTIFS($Z$59:$Z$505,Z492,$Y$59:$Y$505,"Агрессивный",$W$59:$W$505,"Рассчитан")=1),"Да","Нет")))</x:f>
      </x:c>
      <x:c r="AF492" s="5"/>
      <x:c r="AG492" s="5"/>
    </x:row>
    <x:row r="493">
      <x:c r="A493" s="80"/>
      <x:c r="B493" s="80"/>
      <x:c r="C493" s="83"/>
      <x:c r="D493" s="80"/>
      <x:c r="E493" s="80"/>
      <x:c r="F493" s="86"/>
      <x:c r="G493" s="80"/>
      <x:c r="H493" s="95"/>
      <x:c r="I493" s="95"/>
      <x:c r="J493" s="96"/>
      <x:c r="K493" s="97"/>
      <x:c r="L493" s="98"/>
      <x:c r="M493" s="98"/>
      <x:c r="N493" s="98"/>
      <x:c r="O493" s="98"/>
      <x:c r="P493" s="98"/>
      <x:c r="Q493" s="80"/>
      <x:c r="R493" s="80"/>
      <x:c r="S493" s="80"/>
      <x:c r="T493" s="80"/>
      <x:c r="U493" s="80"/>
      <x:c r="V493" s="89" t="str">
        <x:f>IF(A493="","",IF(U493="","",IF(U493="Выигрыш",J493-1,IF(U493="Полувыигрыш",(J493-1)/2,IF(U493="Возврат",0,IF(U493="Полупроигрыш",-0.5,IF(U493="Поражение",-1,"Проверить результат")))))))</x:f>
      </x:c>
      <x:c r="W493" s="80" t="str">
        <x:f>IF(A493="","",IF(U493="","Открыт",IF(ISNUMBER(V493),"Рассчитан","Проверить результат")))</x:f>
      </x:c>
      <x:c r="X493" s="98"/>
      <x:c r="Y493" s="5"/>
      <x:c r="Z493" s="5"/>
      <x:c r="AA493" s="5"/>
      <x:c r="AB493" s="118"/>
      <x:c r="AC493" s="119"/>
      <x:c r="AD493" s="119"/>
      <x:c r="AE493" s="5" t="str">
        <x:f>IF(A493="","",IF(Z493="","Нет ID пары",IF(AND(COUNTIFS($Z$59:$Z$505,Z493,$Y$59:$Y$505,"Оптимальный",$W$59:$W$505,"Рассчитан")=1,COUNTIFS($Z$59:$Z$505,Z493,$Y$59:$Y$505,"Агрессивный",$W$59:$W$505,"Рассчитан")=1),"Да","Нет")))</x:f>
      </x:c>
      <x:c r="AF493" s="5"/>
      <x:c r="AG493" s="5"/>
    </x:row>
    <x:row r="494">
      <x:c r="A494" s="80"/>
      <x:c r="B494" s="80"/>
      <x:c r="C494" s="83"/>
      <x:c r="D494" s="80"/>
      <x:c r="E494" s="80"/>
      <x:c r="F494" s="86"/>
      <x:c r="G494" s="80"/>
      <x:c r="H494" s="95"/>
      <x:c r="I494" s="95"/>
      <x:c r="J494" s="96"/>
      <x:c r="K494" s="97"/>
      <x:c r="L494" s="98"/>
      <x:c r="M494" s="98"/>
      <x:c r="N494" s="98"/>
      <x:c r="O494" s="98"/>
      <x:c r="P494" s="98"/>
      <x:c r="Q494" s="80"/>
      <x:c r="R494" s="80"/>
      <x:c r="S494" s="80"/>
      <x:c r="T494" s="80"/>
      <x:c r="U494" s="80"/>
      <x:c r="V494" s="89" t="str">
        <x:f>IF(A494="","",IF(U494="","",IF(U494="Выигрыш",J494-1,IF(U494="Полувыигрыш",(J494-1)/2,IF(U494="Возврат",0,IF(U494="Полупроигрыш",-0.5,IF(U494="Поражение",-1,"Проверить результат")))))))</x:f>
      </x:c>
      <x:c r="W494" s="80" t="str">
        <x:f>IF(A494="","",IF(U494="","Открыт",IF(ISNUMBER(V494),"Рассчитан","Проверить результат")))</x:f>
      </x:c>
      <x:c r="X494" s="98"/>
      <x:c r="Y494" s="5"/>
      <x:c r="Z494" s="5"/>
      <x:c r="AA494" s="5"/>
      <x:c r="AB494" s="118"/>
      <x:c r="AC494" s="119"/>
      <x:c r="AD494" s="119"/>
      <x:c r="AE494" s="5" t="str">
        <x:f>IF(A494="","",IF(Z494="","Нет ID пары",IF(AND(COUNTIFS($Z$59:$Z$505,Z494,$Y$59:$Y$505,"Оптимальный",$W$59:$W$505,"Рассчитан")=1,COUNTIFS($Z$59:$Z$505,Z494,$Y$59:$Y$505,"Агрессивный",$W$59:$W$505,"Рассчитан")=1),"Да","Нет")))</x:f>
      </x:c>
      <x:c r="AF494" s="5"/>
      <x:c r="AG494" s="5"/>
    </x:row>
    <x:row r="495">
      <x:c r="A495" s="80"/>
      <x:c r="B495" s="80"/>
      <x:c r="C495" s="83"/>
      <x:c r="D495" s="80"/>
      <x:c r="E495" s="80"/>
      <x:c r="F495" s="86"/>
      <x:c r="G495" s="80"/>
      <x:c r="H495" s="95"/>
      <x:c r="I495" s="95"/>
      <x:c r="J495" s="96"/>
      <x:c r="K495" s="97"/>
      <x:c r="L495" s="98"/>
      <x:c r="M495" s="98"/>
      <x:c r="N495" s="98"/>
      <x:c r="O495" s="98"/>
      <x:c r="P495" s="98"/>
      <x:c r="Q495" s="80"/>
      <x:c r="R495" s="80"/>
      <x:c r="S495" s="80"/>
      <x:c r="T495" s="80"/>
      <x:c r="U495" s="80"/>
      <x:c r="V495" s="89" t="str">
        <x:f>IF(A495="","",IF(U495="","",IF(U495="Выигрыш",J495-1,IF(U495="Полувыигрыш",(J495-1)/2,IF(U495="Возврат",0,IF(U495="Полупроигрыш",-0.5,IF(U495="Поражение",-1,"Проверить результат")))))))</x:f>
      </x:c>
      <x:c r="W495" s="80" t="str">
        <x:f>IF(A495="","",IF(U495="","Открыт",IF(ISNUMBER(V495),"Рассчитан","Проверить результат")))</x:f>
      </x:c>
      <x:c r="X495" s="98"/>
      <x:c r="Y495" s="5"/>
      <x:c r="Z495" s="5"/>
      <x:c r="AA495" s="5"/>
      <x:c r="AB495" s="118"/>
      <x:c r="AC495" s="119"/>
      <x:c r="AD495" s="119"/>
      <x:c r="AE495" s="5" t="str">
        <x:f>IF(A495="","",IF(Z495="","Нет ID пары",IF(AND(COUNTIFS($Z$59:$Z$505,Z495,$Y$59:$Y$505,"Оптимальный",$W$59:$W$505,"Рассчитан")=1,COUNTIFS($Z$59:$Z$505,Z495,$Y$59:$Y$505,"Агрессивный",$W$59:$W$505,"Рассчитан")=1),"Да","Нет")))</x:f>
      </x:c>
      <x:c r="AF495" s="5"/>
      <x:c r="AG495" s="5"/>
    </x:row>
    <x:row r="496">
      <x:c r="A496" s="80"/>
      <x:c r="B496" s="80"/>
      <x:c r="C496" s="83"/>
      <x:c r="D496" s="80"/>
      <x:c r="E496" s="80"/>
      <x:c r="F496" s="86"/>
      <x:c r="G496" s="80"/>
      <x:c r="H496" s="95"/>
      <x:c r="I496" s="95"/>
      <x:c r="J496" s="96"/>
      <x:c r="K496" s="97"/>
      <x:c r="L496" s="98"/>
      <x:c r="M496" s="98"/>
      <x:c r="N496" s="98"/>
      <x:c r="O496" s="98"/>
      <x:c r="P496" s="98"/>
      <x:c r="Q496" s="80"/>
      <x:c r="R496" s="80"/>
      <x:c r="S496" s="80"/>
      <x:c r="T496" s="80"/>
      <x:c r="U496" s="80"/>
      <x:c r="V496" s="89" t="str">
        <x:f>IF(A496="","",IF(U496="","",IF(U496="Выигрыш",J496-1,IF(U496="Полувыигрыш",(J496-1)/2,IF(U496="Возврат",0,IF(U496="Полупроигрыш",-0.5,IF(U496="Поражение",-1,"Проверить результат")))))))</x:f>
      </x:c>
      <x:c r="W496" s="80" t="str">
        <x:f>IF(A496="","",IF(U496="","Открыт",IF(ISNUMBER(V496),"Рассчитан","Проверить результат")))</x:f>
      </x:c>
      <x:c r="X496" s="98"/>
      <x:c r="Y496" s="5"/>
      <x:c r="Z496" s="5"/>
      <x:c r="AA496" s="5"/>
      <x:c r="AB496" s="118"/>
      <x:c r="AC496" s="119"/>
      <x:c r="AD496" s="119"/>
      <x:c r="AE496" s="5" t="str">
        <x:f>IF(A496="","",IF(Z496="","Нет ID пары",IF(AND(COUNTIFS($Z$59:$Z$505,Z496,$Y$59:$Y$505,"Оптимальный",$W$59:$W$505,"Рассчитан")=1,COUNTIFS($Z$59:$Z$505,Z496,$Y$59:$Y$505,"Агрессивный",$W$59:$W$505,"Рассчитан")=1),"Да","Нет")))</x:f>
      </x:c>
      <x:c r="AF496" s="5"/>
      <x:c r="AG496" s="5"/>
    </x:row>
    <x:row r="497">
      <x:c r="A497" s="80"/>
      <x:c r="B497" s="80"/>
      <x:c r="C497" s="83"/>
      <x:c r="D497" s="80"/>
      <x:c r="E497" s="80"/>
      <x:c r="F497" s="86"/>
      <x:c r="G497" s="80"/>
      <x:c r="H497" s="95"/>
      <x:c r="I497" s="95"/>
      <x:c r="J497" s="96"/>
      <x:c r="K497" s="97"/>
      <x:c r="L497" s="98"/>
      <x:c r="M497" s="98"/>
      <x:c r="N497" s="98"/>
      <x:c r="O497" s="98"/>
      <x:c r="P497" s="98"/>
      <x:c r="Q497" s="80"/>
      <x:c r="R497" s="80"/>
      <x:c r="S497" s="80"/>
      <x:c r="T497" s="80"/>
      <x:c r="U497" s="80"/>
      <x:c r="V497" s="89" t="str">
        <x:f>IF(A497="","",IF(U497="","",IF(U497="Выигрыш",J497-1,IF(U497="Полувыигрыш",(J497-1)/2,IF(U497="Возврат",0,IF(U497="Полупроигрыш",-0.5,IF(U497="Поражение",-1,"Проверить результат")))))))</x:f>
      </x:c>
      <x:c r="W497" s="80" t="str">
        <x:f>IF(A497="","",IF(U497="","Открыт",IF(ISNUMBER(V497),"Рассчитан","Проверить результат")))</x:f>
      </x:c>
      <x:c r="X497" s="98"/>
      <x:c r="Y497" s="5"/>
      <x:c r="Z497" s="5"/>
      <x:c r="AA497" s="5"/>
      <x:c r="AB497" s="118"/>
      <x:c r="AC497" s="119"/>
      <x:c r="AD497" s="119"/>
      <x:c r="AE497" s="5" t="str">
        <x:f>IF(A497="","",IF(Z497="","Нет ID пары",IF(AND(COUNTIFS($Z$59:$Z$505,Z497,$Y$59:$Y$505,"Оптимальный",$W$59:$W$505,"Рассчитан")=1,COUNTIFS($Z$59:$Z$505,Z497,$Y$59:$Y$505,"Агрессивный",$W$59:$W$505,"Рассчитан")=1),"Да","Нет")))</x:f>
      </x:c>
      <x:c r="AF497" s="5"/>
      <x:c r="AG497" s="5"/>
    </x:row>
    <x:row r="498">
      <x:c r="A498" s="80"/>
      <x:c r="B498" s="80"/>
      <x:c r="C498" s="83"/>
      <x:c r="D498" s="80"/>
      <x:c r="E498" s="80"/>
      <x:c r="F498" s="86"/>
      <x:c r="G498" s="80"/>
      <x:c r="H498" s="95"/>
      <x:c r="I498" s="95"/>
      <x:c r="J498" s="96"/>
      <x:c r="K498" s="97"/>
      <x:c r="L498" s="98"/>
      <x:c r="M498" s="98"/>
      <x:c r="N498" s="98"/>
      <x:c r="O498" s="98"/>
      <x:c r="P498" s="98"/>
      <x:c r="Q498" s="80"/>
      <x:c r="R498" s="80"/>
      <x:c r="S498" s="80"/>
      <x:c r="T498" s="80"/>
      <x:c r="U498" s="80"/>
      <x:c r="V498" s="89" t="str">
        <x:f>IF(A498="","",IF(U498="","",IF(U498="Выигрыш",J498-1,IF(U498="Полувыигрыш",(J498-1)/2,IF(U498="Возврат",0,IF(U498="Полупроигрыш",-0.5,IF(U498="Поражение",-1,"Проверить результат")))))))</x:f>
      </x:c>
      <x:c r="W498" s="80" t="str">
        <x:f>IF(A498="","",IF(U498="","Открыт",IF(ISNUMBER(V498),"Рассчитан","Проверить результат")))</x:f>
      </x:c>
      <x:c r="X498" s="98"/>
      <x:c r="Y498" s="5"/>
      <x:c r="Z498" s="5"/>
      <x:c r="AA498" s="5"/>
      <x:c r="AB498" s="118"/>
      <x:c r="AC498" s="119"/>
      <x:c r="AD498" s="119"/>
      <x:c r="AE498" s="5" t="str">
        <x:f>IF(A498="","",IF(Z498="","Нет ID пары",IF(AND(COUNTIFS($Z$59:$Z$505,Z498,$Y$59:$Y$505,"Оптимальный",$W$59:$W$505,"Рассчитан")=1,COUNTIFS($Z$59:$Z$505,Z498,$Y$59:$Y$505,"Агрессивный",$W$59:$W$505,"Рассчитан")=1),"Да","Нет")))</x:f>
      </x:c>
      <x:c r="AF498" s="5"/>
      <x:c r="AG498" s="5"/>
    </x:row>
    <x:row r="499">
      <x:c r="A499" s="80"/>
      <x:c r="B499" s="80"/>
      <x:c r="C499" s="83"/>
      <x:c r="D499" s="80"/>
      <x:c r="E499" s="80"/>
      <x:c r="F499" s="86"/>
      <x:c r="G499" s="80"/>
      <x:c r="H499" s="95"/>
      <x:c r="I499" s="95"/>
      <x:c r="J499" s="96"/>
      <x:c r="K499" s="97"/>
      <x:c r="L499" s="98"/>
      <x:c r="M499" s="98"/>
      <x:c r="N499" s="98"/>
      <x:c r="O499" s="98"/>
      <x:c r="P499" s="98"/>
      <x:c r="Q499" s="80"/>
      <x:c r="R499" s="80"/>
      <x:c r="S499" s="80"/>
      <x:c r="T499" s="80"/>
      <x:c r="U499" s="80"/>
      <x:c r="V499" s="89" t="str">
        <x:f>IF(A499="","",IF(U499="","",IF(U499="Выигрыш",J499-1,IF(U499="Полувыигрыш",(J499-1)/2,IF(U499="Возврат",0,IF(U499="Полупроигрыш",-0.5,IF(U499="Поражение",-1,"Проверить результат")))))))</x:f>
      </x:c>
      <x:c r="W499" s="80" t="str">
        <x:f>IF(A499="","",IF(U499="","Открыт",IF(ISNUMBER(V499),"Рассчитан","Проверить результат")))</x:f>
      </x:c>
      <x:c r="X499" s="98"/>
      <x:c r="Y499" s="5"/>
      <x:c r="Z499" s="5"/>
      <x:c r="AA499" s="5"/>
      <x:c r="AB499" s="118"/>
      <x:c r="AC499" s="119"/>
      <x:c r="AD499" s="119"/>
      <x:c r="AE499" s="5" t="str">
        <x:f>IF(A499="","",IF(Z499="","Нет ID пары",IF(AND(COUNTIFS($Z$59:$Z$505,Z499,$Y$59:$Y$505,"Оптимальный",$W$59:$W$505,"Рассчитан")=1,COUNTIFS($Z$59:$Z$505,Z499,$Y$59:$Y$505,"Агрессивный",$W$59:$W$505,"Рассчитан")=1),"Да","Нет")))</x:f>
      </x:c>
      <x:c r="AF499" s="5"/>
      <x:c r="AG499" s="5"/>
    </x:row>
    <x:row r="500">
      <x:c r="A500" s="80"/>
      <x:c r="B500" s="80"/>
      <x:c r="C500" s="83"/>
      <x:c r="D500" s="80"/>
      <x:c r="E500" s="80"/>
      <x:c r="F500" s="86"/>
      <x:c r="G500" s="80"/>
      <x:c r="H500" s="95"/>
      <x:c r="I500" s="95"/>
      <x:c r="J500" s="96"/>
      <x:c r="K500" s="97"/>
      <x:c r="L500" s="98"/>
      <x:c r="M500" s="98"/>
      <x:c r="N500" s="98"/>
      <x:c r="O500" s="98"/>
      <x:c r="P500" s="98"/>
      <x:c r="Q500" s="80"/>
      <x:c r="R500" s="80"/>
      <x:c r="S500" s="80"/>
      <x:c r="T500" s="80"/>
      <x:c r="U500" s="80"/>
      <x:c r="V500" s="89" t="str">
        <x:f>IF(A500="","",IF(U500="","",IF(U500="Выигрыш",J500-1,IF(U500="Полувыигрыш",(J500-1)/2,IF(U500="Возврат",0,IF(U500="Полупроигрыш",-0.5,IF(U500="Поражение",-1,"Проверить результат")))))))</x:f>
      </x:c>
      <x:c r="W500" s="80" t="str">
        <x:f>IF(A500="","",IF(U500="","Открыт",IF(ISNUMBER(V500),"Рассчитан","Проверить результат")))</x:f>
      </x:c>
      <x:c r="X500" s="98"/>
      <x:c r="Y500" s="5"/>
      <x:c r="Z500" s="5"/>
      <x:c r="AA500" s="5"/>
      <x:c r="AB500" s="118"/>
      <x:c r="AC500" s="119"/>
      <x:c r="AD500" s="119"/>
      <x:c r="AE500" s="5" t="str">
        <x:f>IF(A500="","",IF(Z500="","Нет ID пары",IF(AND(COUNTIFS($Z$59:$Z$505,Z500,$Y$59:$Y$505,"Оптимальный",$W$59:$W$505,"Рассчитан")=1,COUNTIFS($Z$59:$Z$505,Z500,$Y$59:$Y$505,"Агрессивный",$W$59:$W$505,"Рассчитан")=1),"Да","Нет")))</x:f>
      </x:c>
      <x:c r="AF500" s="5"/>
      <x:c r="AG500" s="5"/>
    </x:row>
    <x:row r="501">
      <x:c r="A501" s="80"/>
      <x:c r="B501" s="80"/>
      <x:c r="C501" s="83"/>
      <x:c r="D501" s="80"/>
      <x:c r="E501" s="80"/>
      <x:c r="F501" s="86"/>
      <x:c r="G501" s="80"/>
      <x:c r="H501" s="95"/>
      <x:c r="I501" s="95"/>
      <x:c r="J501" s="96"/>
      <x:c r="K501" s="97"/>
      <x:c r="L501" s="98"/>
      <x:c r="M501" s="98"/>
      <x:c r="N501" s="98"/>
      <x:c r="O501" s="98"/>
      <x:c r="P501" s="98"/>
      <x:c r="Q501" s="80"/>
      <x:c r="R501" s="80"/>
      <x:c r="S501" s="80"/>
      <x:c r="T501" s="80"/>
      <x:c r="U501" s="80"/>
      <x:c r="V501" s="89" t="str">
        <x:f>IF(A501="","",IF(U501="","",IF(U501="Выигрыш",J501-1,IF(U501="Полувыигрыш",(J501-1)/2,IF(U501="Возврат",0,IF(U501="Полупроигрыш",-0.5,IF(U501="Поражение",-1,"Проверить результат")))))))</x:f>
      </x:c>
      <x:c r="W501" s="80" t="str">
        <x:f>IF(A501="","",IF(U501="","Открыт",IF(ISNUMBER(V501),"Рассчитан","Проверить результат")))</x:f>
      </x:c>
      <x:c r="X501" s="98"/>
      <x:c r="Y501" s="5"/>
      <x:c r="Z501" s="5"/>
      <x:c r="AA501" s="5"/>
      <x:c r="AB501" s="118"/>
      <x:c r="AC501" s="119"/>
      <x:c r="AD501" s="119"/>
      <x:c r="AE501" s="5" t="str">
        <x:f>IF(A501="","",IF(Z501="","Нет ID пары",IF(AND(COUNTIFS($Z$59:$Z$505,Z501,$Y$59:$Y$505,"Оптимальный",$W$59:$W$505,"Рассчитан")=1,COUNTIFS($Z$59:$Z$505,Z501,$Y$59:$Y$505,"Агрессивный",$W$59:$W$505,"Рассчитан")=1),"Да","Нет")))</x:f>
      </x:c>
      <x:c r="AF501" s="5"/>
      <x:c r="AG501" s="5"/>
    </x:row>
    <x:row r="502">
      <x:c r="A502" s="80"/>
      <x:c r="B502" s="80"/>
      <x:c r="C502" s="83"/>
      <x:c r="D502" s="80"/>
      <x:c r="E502" s="80"/>
      <x:c r="F502" s="86"/>
      <x:c r="G502" s="80"/>
      <x:c r="H502" s="95"/>
      <x:c r="I502" s="95"/>
      <x:c r="J502" s="96"/>
      <x:c r="K502" s="97"/>
      <x:c r="L502" s="98"/>
      <x:c r="M502" s="98"/>
      <x:c r="N502" s="98"/>
      <x:c r="O502" s="98"/>
      <x:c r="P502" s="98"/>
      <x:c r="Q502" s="80"/>
      <x:c r="R502" s="80"/>
      <x:c r="S502" s="80"/>
      <x:c r="T502" s="80"/>
      <x:c r="U502" s="80"/>
      <x:c r="V502" s="89" t="str">
        <x:f>IF(A502="","",IF(U502="","",IF(U502="Выигрыш",J502-1,IF(U502="Полувыигрыш",(J502-1)/2,IF(U502="Возврат",0,IF(U502="Полупроигрыш",-0.5,IF(U502="Поражение",-1,"Проверить результат")))))))</x:f>
      </x:c>
      <x:c r="W502" s="80" t="str">
        <x:f>IF(A502="","",IF(U502="","Открыт",IF(ISNUMBER(V502),"Рассчитан","Проверить результат")))</x:f>
      </x:c>
      <x:c r="X502" s="98"/>
      <x:c r="Y502" s="5"/>
      <x:c r="Z502" s="5"/>
      <x:c r="AA502" s="5"/>
      <x:c r="AB502" s="118"/>
      <x:c r="AC502" s="119"/>
      <x:c r="AD502" s="119"/>
      <x:c r="AE502" s="5" t="str">
        <x:f>IF(A502="","",IF(Z502="","Нет ID пары",IF(AND(COUNTIFS($Z$59:$Z$505,Z502,$Y$59:$Y$505,"Оптимальный",$W$59:$W$505,"Рассчитан")=1,COUNTIFS($Z$59:$Z$505,Z502,$Y$59:$Y$505,"Агрессивный",$W$59:$W$505,"Рассчитан")=1),"Да","Нет")))</x:f>
      </x:c>
      <x:c r="AF502" s="5"/>
      <x:c r="AG502" s="5"/>
    </x:row>
    <x:row r="503">
      <x:c r="A503" s="80"/>
      <x:c r="B503" s="80"/>
      <x:c r="C503" s="83"/>
      <x:c r="D503" s="80"/>
      <x:c r="E503" s="80"/>
      <x:c r="F503" s="86"/>
      <x:c r="G503" s="80"/>
      <x:c r="H503" s="95"/>
      <x:c r="I503" s="95"/>
      <x:c r="J503" s="96"/>
      <x:c r="K503" s="97"/>
      <x:c r="L503" s="98"/>
      <x:c r="M503" s="98"/>
      <x:c r="N503" s="98"/>
      <x:c r="O503" s="98"/>
      <x:c r="P503" s="98"/>
      <x:c r="Q503" s="80"/>
      <x:c r="R503" s="80"/>
      <x:c r="S503" s="80"/>
      <x:c r="T503" s="80"/>
      <x:c r="U503" s="80"/>
      <x:c r="V503" s="89" t="str">
        <x:f>IF(A503="","",IF(U503="","",IF(U503="Выигрыш",J503-1,IF(U503="Полувыигрыш",(J503-1)/2,IF(U503="Возврат",0,IF(U503="Полупроигрыш",-0.5,IF(U503="Поражение",-1,"Проверить результат")))))))</x:f>
      </x:c>
      <x:c r="W503" s="80" t="str">
        <x:f>IF(A503="","",IF(U503="","Открыт",IF(ISNUMBER(V503),"Рассчитан","Проверить результат")))</x:f>
      </x:c>
      <x:c r="X503" s="98"/>
      <x:c r="Y503" s="5"/>
      <x:c r="Z503" s="5"/>
      <x:c r="AA503" s="5"/>
      <x:c r="AB503" s="118"/>
      <x:c r="AC503" s="119"/>
      <x:c r="AD503" s="119"/>
      <x:c r="AE503" s="5" t="str">
        <x:f>IF(A503="","",IF(Z503="","Нет ID пары",IF(AND(COUNTIFS($Z$59:$Z$505,Z503,$Y$59:$Y$505,"Оптимальный",$W$59:$W$505,"Рассчитан")=1,COUNTIFS($Z$59:$Z$505,Z503,$Y$59:$Y$505,"Агрессивный",$W$59:$W$505,"Рассчитан")=1),"Да","Нет")))</x:f>
      </x:c>
      <x:c r="AF503" s="5"/>
      <x:c r="AG503" s="5"/>
    </x:row>
    <x:row r="504">
      <x:c r="A504" s="80"/>
      <x:c r="B504" s="80"/>
      <x:c r="C504" s="83"/>
      <x:c r="D504" s="80"/>
      <x:c r="E504" s="80"/>
      <x:c r="F504" s="86"/>
      <x:c r="G504" s="80"/>
      <x:c r="H504" s="95"/>
      <x:c r="I504" s="95"/>
      <x:c r="J504" s="96"/>
      <x:c r="K504" s="97"/>
      <x:c r="L504" s="98"/>
      <x:c r="M504" s="98"/>
      <x:c r="N504" s="98"/>
      <x:c r="O504" s="98"/>
      <x:c r="P504" s="98"/>
      <x:c r="Q504" s="80"/>
      <x:c r="R504" s="80"/>
      <x:c r="S504" s="80"/>
      <x:c r="T504" s="80"/>
      <x:c r="U504" s="80"/>
      <x:c r="V504" s="89" t="str">
        <x:f>IF(A504="","",IF(U504="","",IF(U504="Выигрыш",J504-1,IF(U504="Полувыигрыш",(J504-1)/2,IF(U504="Возврат",0,IF(U504="Полупроигрыш",-0.5,IF(U504="Поражение",-1,"Проверить результат")))))))</x:f>
      </x:c>
      <x:c r="W504" s="80" t="str">
        <x:f>IF(A504="","",IF(U504="","Открыт",IF(ISNUMBER(V504),"Рассчитан","Проверить результат")))</x:f>
      </x:c>
      <x:c r="X504" s="98"/>
      <x:c r="Y504" s="5"/>
      <x:c r="Z504" s="5"/>
      <x:c r="AA504" s="5"/>
      <x:c r="AB504" s="118"/>
      <x:c r="AC504" s="119"/>
      <x:c r="AD504" s="119"/>
      <x:c r="AE504" s="5" t="str">
        <x:f>IF(A504="","",IF(Z504="","Нет ID пары",IF(AND(COUNTIFS($Z$59:$Z$505,Z504,$Y$59:$Y$505,"Оптимальный",$W$59:$W$505,"Рассчитан")=1,COUNTIFS($Z$59:$Z$505,Z504,$Y$59:$Y$505,"Агрессивный",$W$59:$W$505,"Рассчитан")=1),"Да","Нет")))</x:f>
      </x:c>
      <x:c r="AF504" s="5"/>
      <x:c r="AG504" s="5"/>
    </x:row>
    <x:row r="505">
      <x:c r="A505" s="81"/>
      <x:c r="B505" s="81"/>
      <x:c r="C505" s="84"/>
      <x:c r="D505" s="81"/>
      <x:c r="E505" s="81"/>
      <x:c r="F505" s="87"/>
      <x:c r="G505" s="81"/>
      <x:c r="H505" s="99"/>
      <x:c r="I505" s="99"/>
      <x:c r="J505" s="100"/>
      <x:c r="K505" s="101"/>
      <x:c r="L505" s="102"/>
      <x:c r="M505" s="102"/>
      <x:c r="N505" s="102"/>
      <x:c r="O505" s="102"/>
      <x:c r="P505" s="102"/>
      <x:c r="Q505" s="81"/>
      <x:c r="R505" s="81"/>
      <x:c r="S505" s="81"/>
      <x:c r="T505" s="81"/>
      <x:c r="U505" s="81"/>
      <x:c r="V505" s="90" t="str">
        <x:f>IF(A505="","",IF(U505="","",IF(U505="Выигрыш",J505-1,IF(U505="Полувыигрыш",(J505-1)/2,IF(U505="Возврат",0,IF(U505="Полупроигрыш",-0.5,IF(U505="Поражение",-1,"Проверить результат")))))))</x:f>
      </x:c>
      <x:c r="W505" s="81" t="str">
        <x:f>IF(A505="","",IF(U505="","Открыт",IF(ISNUMBER(V505),"Рассчитан","Проверить результат")))</x:f>
      </x:c>
      <x:c r="X505" s="102"/>
      <x:c r="Y505" s="5"/>
      <x:c r="Z505" s="5"/>
      <x:c r="AA505" s="5"/>
      <x:c r="AB505" s="118"/>
      <x:c r="AC505" s="119"/>
      <x:c r="AD505" s="119"/>
      <x:c r="AE505" s="5" t="str">
        <x:f>IF(A505="","",IF(Z505="","Нет ID пары",IF(AND(COUNTIFS($Z$59:$Z$505,Z505,$Y$59:$Y$505,"Оптимальный",$W$59:$W$505,"Рассчитан")=1,COUNTIFS($Z$59:$Z$505,Z505,$Y$59:$Y$505,"Агрессивный",$W$59:$W$505,"Рассчитан")=1),"Да","Нет")))</x:f>
      </x:c>
      <x:c r="AF505" s="5"/>
      <x:c r="AG505" s="5"/>
    </x:row>
  </x:sheetData>
  <x:mergeCells>
    <x:mergeCell ref="A2:X2"/>
    <x:mergeCell ref="A3:X3"/>
  </x:mergeCells>
  <x:conditionalFormatting sqref="W6:W505">
    <x:cfRule type="containsText" dxfId="0" priority="1" operator="containsText" text="Открыт"/>
  </x:conditionalFormatting>
  <x:conditionalFormatting sqref="U6:U505">
    <x:cfRule type="containsText" dxfId="1" priority="2" operator="containsText" text="Выигрыш"/>
    <x:cfRule type="containsText" dxfId="2" priority="3" operator="containsText" text="Поражение"/>
  </x:conditionalFormatting>
  <x:dataValidations count="4">
    <x:dataValidation type="list" sqref="U6:U505">
      <x:formula1>"Выигрыш,Полувыигрыш,Возврат,Полупроигрыш,Поражение"</x:formula1>
    </x:dataValidation>
    <x:dataValidation type="list" sqref="Q6:Q505">
      <x:formula1>"ПОДХОДИТ В LIVE"</x:formula1>
    </x:dataValidation>
    <x:dataValidation type="list" sqref="Y59:Y505">
      <x:formula1>"Оптимальный,Агрессивный"</x:formula1>
    </x:dataValidation>
    <x:dataValidation type="list" sqref="AA59:AA505">
      <x:formula1>"Матч,1-й тайм"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2">
      <x:c r="A2" s="1" t="str">
        <x:v>Правила команды live и дневника Live ТБ</x:v>
      </x:c>
      <x:c r="B2" s="1"/>
      <x:c r="C2" s="1"/>
      <x:c r="D2" s="1"/>
      <x:c r="E2" s="1"/>
      <x:c r="F2" s="1"/>
    </x:row>
    <x:row r="4" ht="26" customHeight="1">
      <x:c r="A4" s="10" t="str">
        <x:v>Раздел</x:v>
      </x:c>
      <x:c r="B4" s="11" t="str">
        <x:v>Правило</x:v>
      </x:c>
    </x:row>
    <x:row r="5" ht="43" customHeight="1">
      <x:c r="A5" s="107" t="str">
        <x:v>Команда</x:v>
      </x:c>
      <x:c r="B5" s="111" t="str">
        <x:v>Сообщение «live» запускает свежий снимок BetsAPI и ручной отбор футбольных ТБ по действующему канону.</x:v>
      </x:c>
    </x:row>
    <x:row r="6" ht="43" customHeight="1">
      <x:c r="A6" s="107" t="str">
        <x:v>Охват</x:v>
      </x:c>
      <x:c r="B6" s="111" t="str">
        <x:v>Проверяются доступные live-матчи. Молодёжные, резервные и женские соревнования не смешиваются со взрослыми мужскими и оцениваются отдельно.</x:v>
      </x:c>
    </x:row>
    <x:row r="7" ht="43" customHeight="1">
      <x:c r="A7" s="107" t="str">
        <x:v>Отбор</x:v>
      </x:c>
      <x:c r="B7" s="111" t="str">
        <x:v>Балльный порог и обязательное совпадение всех признаков не используются. Нужен обоснованный голевой сценарий и приемлемая конкретная цена.</x:v>
      </x:c>
    </x:row>
    <x:row r="8" ht="43" customHeight="1">
      <x:c r="A8" s="107" t="str">
        <x:v>Решение</x:v>
      </x:c>
      <x:c r="B8" s="111" t="str">
        <x:v>Фиксируются только показанные пользователю решения ПОДХОДИТ В LIVE: оптимальный и обоснованный агрессивный вариант. Наблюдение и пропуск не входят в итог.</x:v>
      </x:c>
    </x:row>
    <x:row r="9" ht="43" customHeight="1">
      <x:c r="A9" s="107" t="str">
        <x:v>Фиксация</x:v>
      </x:c>
      <x:c r="B9" s="111" t="str">
        <x:v>Сохраняются время МСК, турнир, матч, минута, счёт, рынок, линия, коэффициент, нужное число голов, аргументы за и против, полнота и источник данных.</x:v>
      </x:c>
    </x:row>
    <x:row r="10" ht="43" customHeight="1">
      <x:c r="A10" s="107" t="str">
        <x:v>Динамика</x:v>
      </x:c>
      <x:c r="B10" s="111" t="str">
        <x:v>Свежая активность за 10-15 минут отделяется от накопленной статистики. Если временных снимков нет, это прямо фиксируется.</x:v>
      </x:c>
    </x:row>
    <x:row r="11" ht="43" customHeight="1">
      <x:c r="A11" s="107" t="str">
        <x:v>Неизменность</x:v>
      </x:c>
      <x:c r="B11" s="111" t="str">
        <x:v>Минута, счёт, линия и коэффициент на момент выбора задним числом не изменяются.</x:v>
      </x:c>
    </x:row>
    <x:row r="12" ht="43" customHeight="1">
      <x:c r="A12" s="107" t="str">
        <x:v>Учёт</x:v>
      </x:c>
      <x:c r="B12" s="111" t="str">
        <x:v>Каждый прогноз равен 1 условной единице. В этой книге нет реальных сумм или фактических выборов пользователя.</x:v>
      </x:c>
    </x:row>
    <x:row r="13" ht="43" customHeight="1">
      <x:c r="A13" s="107" t="str">
        <x:v>Результат</x:v>
      </x:c>
      <x:c r="B13" s="111" t="str">
        <x:v>Выигрыш: коэффициент минус 1; поражение: минус 1; возврат: 0; полувыигрыш: половина прибыли; полупроигрыш: минус 0,5.</x:v>
      </x:c>
    </x:row>
    <x:row r="14" ht="43" customHeight="1">
      <x:c r="A14" s="107" t="str">
        <x:v>Оценка</x:v>
      </x:c>
      <x:c r="B14" s="111" t="str">
        <x:v>Качество отбора оценивается по рассчитанной выборке, ROI виртуальной единицы и разрезам. Короткая серия не считается доказанной системой.</x:v>
      </x:c>
    </x:row>
    <x:row r="15" ht="43" customHeight="1">
      <x:c r="A15" s="107" t="str">
        <x:v>Названия</x:v>
      </x:c>
      <x:c r="B15" s="111" t="str">
        <x:v>В каждом выводе и записи обязательно указывать страну, лигу и обе команды по-русски. Быстрый формат: страна - лига - команды - минута - счёт - ТБ - коэффициент.</x:v>
      </x:c>
    </x:row>
    <x:row r="16" ht="43" customHeight="1">
      <x:c r="A16" s="109" t="str">
        <x:v>Версия</x:v>
      </x:c>
      <x:c r="B16" s="112" t="str">
        <x:v>ТБ live v2 от 14.10.2026. Исторические записи v1 сохраняются без переклассификации.</x:v>
      </x:c>
    </x:row>
    <x:row r="17" ht="55" customHeight="1">
      <x:c r="A17" s="134" t="str">
        <x:v>Порядок</x:v>
      </x:c>
      <x:c r="B17" s="133" t="str">
        <x:v>Сначала быстрый текстовый вывод кандидатов в чате. Затем, пока пользователь изучает вывод, запись обеих линий в дневник. Завершение ответа после проверки сохранения; фонового наблюдения нет.</x:v>
      </x:c>
    </x:row>
    <x:row r="18" ht="55" customHeight="1">
      <x:c r="A18" s="134" t="str">
        <x:v>Контуры</x:v>
      </x:c>
      <x:c r="B18" s="133" t="str">
        <x:v>Live ТБ: Оптимальный и Агрессивный. Фактические выборы: только отдельный Дневник исходов.xlsx.</x:v>
      </x:c>
    </x:row>
    <x:row r="19" ht="55" customHeight="1">
      <x:c r="A19" s="134" t="str">
        <x:v>Пары</x:v>
      </x:c>
      <x:c r="B19" s="133" t="str">
        <x:v>Один ID пары связывает два варианта одного матча, выбранные из одного снимка. Для общей выборки сравнения нужны оба рассчитанных варианта.</x:v>
      </x:c>
    </x:row>
    <x:row r="20" ht="55" customHeight="1">
      <x:c r="A20" s="134" t="str">
        <x:v>Повтор</x:v>
      </x:c>
      <x:c r="B20" s="133" t="str">
        <x:v>Повтор того же снимка и варианта не дублировать. Новый проход может дать новую пару с новым ID; исходные цены прежней пары сохраняются. Повторные решения по матчу зависимы, при сравнении отдельно считать уникальные матчи.</x:v>
      </x:c>
    </x:row>
    <x:row r="21" ht="55" customHeight="1">
      <x:c r="A21" s="134" t="str">
        <x:v>Недостающий вариант</x:v>
      </x:c>
      <x:c r="B21" s="133" t="str">
        <x:v>Если агрессивный вариант не обоснован или котировка недоступна, он не создаётся. Оптимальный остаётся в своей выборке, но не в парном сравнении.</x:v>
      </x:c>
    </x:row>
    <x:row r="22" ht="55" customHeight="1">
      <x:c r="A22" s="134" t="str">
        <x:v>Расчёт периода</x:v>
      </x:c>
      <x:c r="B22" s="133" t="str">
        <x:v>ТБ матча рассчитывается по финальному счёту матча, ТБ 1-го тайма по счёту к перерыву. В столбце финального счёта указывать счёт нужного периода.</x:v>
      </x:c>
    </x:row>
    <x:row r="23" ht="55" customHeight="1">
      <x:c r="A23" s="134" t="str">
        <x:v>Результаты</x:v>
      </x:c>
      <x:c r="B23" s="133" t="str">
        <x:v>После первичного ответа по следующему live или по запросу проверять завершение ранее записанных матчей. Обновлять только подтверждённые результаты, фиксировать источник. Незавершённые и непроверенные сохранять открытыми.</x:v>
      </x:c>
    </x:row>
    <x:row r="24" ht="55" customHeight="1">
      <x:c r="A24" s="134" t="str">
        <x:v>Сравнение</x:v>
      </x:c>
      <x:c r="B24" s="133" t="str">
        <x:v>Сравнивать отдельно ROI каждого контура, затем ROI по общим парам. Сравнение с пользователем выполнять по одинаковым матчам и отдельно по всему фактическому дневнику.</x:v>
      </x:c>
    </x:row>
    <x:row r="25" ht="55" customHeight="1">
      <x:c r="A25" s="134" t="str">
        <x:v>История</x:v>
      </x:c>
      <x:c r="B25" s="133" t="str">
        <x:v>Сохранены исходные данные 48 ранних прогнозов; результаты и ещё 5 live-прогнозов добавлены из итогового отчёта. 53 решения: +3,70 ед. и ROI 6,98%. Два прематчевых варианта сохранены только в архиве источника.</x:v>
      </x:c>
    </x:row>
  </x:sheetData>
  <x:mergeCells>
    <x:mergeCell ref="A2:F2"/>
  </x:mergeCells>
  <x:pageMargins left="0.7" right="0.7" top="0.75" bottom="0.75" header="0.3" footer="0.3"/>
</x:worksheet>
</file>