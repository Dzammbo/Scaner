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b4fc43f4bf44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3b16fbb84a7a44a7"/>
    <x:sheet xmlns:r="http://schemas.openxmlformats.org/officeDocument/2006/relationships" name="Реестр" sheetId="2" r:id="R8d7d23fb87c24003"/>
    <x:sheet xmlns:r="http://schemas.openxmlformats.org/officeDocument/2006/relationships" name="Правила" sheetId="3" r:id="Rfce400a58ee24e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dd.mm.yyyy hh:mm"/>
  </x:numFmts>
  <x:fonts count="6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9827bafc5b4ae4" /><Relationship Type="http://schemas.openxmlformats.org/officeDocument/2006/relationships/theme" Target="/xl/theme/theme1.xml" Id="Rcae4926ce13846ee" /><Relationship Type="http://schemas.openxmlformats.org/officeDocument/2006/relationships/sharedStrings" Target="/xl/sharedStrings.xml" Id="R5b3f5c20a5fd4f40" /><Relationship Type="http://schemas.openxmlformats.org/officeDocument/2006/relationships/worksheet" Target="/xl/worksheets/sheet1.xml" Id="R3b16fbb84a7a44a7" /><Relationship Type="http://schemas.openxmlformats.org/officeDocument/2006/relationships/worksheet" Target="/xl/worksheets/sheet2.xml" Id="R8d7d23fb87c24003" /><Relationship Type="http://schemas.openxmlformats.org/officeDocument/2006/relationships/worksheet" Target="/xl/worksheets/sheet3.xml" Id="Rfce400a58ee24e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2" ht="27" customHeight="1">
      <x:c r="A2" s="2" t="str">
        <x:v>Дневник Live ТБ</x:v>
      </x:c>
      <x:c r="B2" s="2"/>
      <x:c r="C2" s="2"/>
      <x:c r="D2" s="2"/>
      <x:c r="E2" s="2"/>
      <x:c r="F2" s="2"/>
      <x:c r="G2" s="2"/>
      <x:c r="H2" s="2"/>
    </x:row>
    <x:row r="3" ht="23" customHeight="1">
      <x:c r="A3" s="53" t="str">
        <x:v>Виртуальная проверка выбранных live-исходов. Реальные действия и суммы не учитываются.</x:v>
      </x:c>
      <x:c r="B3" s="53"/>
      <x:c r="C3" s="53"/>
      <x:c r="D3" s="53"/>
      <x:c r="E3" s="53"/>
      <x:c r="F3" s="53"/>
      <x:c r="G3" s="53"/>
      <x:c r="H3" s="53"/>
    </x:row>
    <x:row r="4">
      <x:c r="A4" s="54"/>
      <x:c r="B4" s="54"/>
      <x:c r="C4" s="54"/>
      <x:c r="D4" s="54"/>
      <x:c r="E4" s="54"/>
      <x:c r="F4" s="54"/>
      <x:c r="G4" s="54"/>
      <x:c r="H4" s="54"/>
    </x:row>
    <x:row r="5">
      <x:c r="A5" s="55"/>
      <x:c r="B5" s="55"/>
      <x:c r="C5" s="55"/>
      <x:c r="D5" s="55"/>
      <x:c r="E5" s="55"/>
      <x:c r="F5" s="55"/>
      <x:c r="G5" s="55"/>
      <x:c r="H5" s="55"/>
    </x:row>
    <x:row r="6">
      <x:c r="A6" s="10" t="str">
        <x:v>Показатель</x:v>
      </x:c>
      <x:c r="B6" s="11" t="str">
        <x:v>Значение</x:v>
      </x:c>
      <x:c r="C6" s="55"/>
      <x:c r="D6" s="9" t="str">
        <x:v>Принцип учёта</x:v>
      </x:c>
      <x:c r="E6" s="9"/>
      <x:c r="F6" s="9"/>
      <x:c r="G6" s="9"/>
      <x:c r="H6" s="9"/>
    </x:row>
    <x:row r="7">
      <x:c r="A7" s="56" t="str">
        <x:v>Всего выбранных</x:v>
      </x:c>
      <x:c r="B7" s="57" t="n">
        <x:f>COUNTA('Реестр'!$A$6:$A$505)</x:f>
        <x:v>16</x:v>
      </x:c>
      <x:c r="C7" s="55"/>
      <x:c r="D7" s="58" t="str">
        <x:v>В дневник попадает только решение ПОДХОДИТ В LIVE. Наблюдаемые и пропущенные матчи не включаются в основную статистику. Каждый выбранный исход учитывается как одна виртуальная единица. Исходные минута, счёт, линия и коэффициент после фиксации не изменяются.</x:v>
      </x:c>
      <x:c r="E7" s="59"/>
      <x:c r="F7" s="59"/>
      <x:c r="G7" s="59"/>
      <x:c r="H7" s="60"/>
    </x:row>
    <x:row r="8">
      <x:c r="A8" s="56" t="str">
        <x:v>Рассчитано</x:v>
      </x:c>
      <x:c r="B8" s="57" t="n">
        <x:f>COUNTIF('Реестр'!$W$6:$W$505,"Рассчитан")</x:f>
        <x:v>0</x:v>
      </x:c>
      <x:c r="C8" s="55"/>
      <x:c r="D8" s="61"/>
      <x:c r="E8" s="62"/>
      <x:c r="F8" s="62"/>
      <x:c r="G8" s="62"/>
      <x:c r="H8" s="63"/>
    </x:row>
    <x:row r="9">
      <x:c r="A9" s="56" t="str">
        <x:v>Положительный результат</x:v>
      </x:c>
      <x:c r="B9" s="57" t="n">
        <x:f>COUNTIF('Реестр'!$U$6:$U$505,"Выигрыш")+COUNTIF('Реестр'!$U$6:$U$505,"Полувыигрыш")</x:f>
        <x:v>0</x:v>
      </x:c>
      <x:c r="C9" s="55"/>
      <x:c r="D9" s="61"/>
      <x:c r="E9" s="62"/>
      <x:c r="F9" s="62"/>
      <x:c r="G9" s="62"/>
      <x:c r="H9" s="63"/>
    </x:row>
    <x:row r="10">
      <x:c r="A10" s="56" t="str">
        <x:v>Отрицательный результат</x:v>
      </x:c>
      <x:c r="B10" s="57" t="n">
        <x:f>COUNTIF('Реестр'!$U$6:$U$505,"Поражение")+COUNTIF('Реестр'!$U$6:$U$505,"Полупроигрыш")</x:f>
        <x:v>0</x:v>
      </x:c>
      <x:c r="C10" s="55"/>
      <x:c r="D10" s="61"/>
      <x:c r="E10" s="62"/>
      <x:c r="F10" s="62"/>
      <x:c r="G10" s="62"/>
      <x:c r="H10" s="63"/>
    </x:row>
    <x:row r="11">
      <x:c r="A11" s="56" t="str">
        <x:v>Возврат</x:v>
      </x:c>
      <x:c r="B11" s="57" t="n">
        <x:f>COUNTIF('Реестр'!$U$6:$U$505,"Возврат")</x:f>
        <x:v>0</x:v>
      </x:c>
      <x:c r="C11" s="55"/>
      <x:c r="D11" s="61"/>
      <x:c r="E11" s="62"/>
      <x:c r="F11" s="62"/>
      <x:c r="G11" s="62"/>
      <x:c r="H11" s="63"/>
    </x:row>
    <x:row r="12">
      <x:c r="A12" s="56" t="str">
        <x:v>Открыто</x:v>
      </x:c>
      <x:c r="B12" s="57" t="n">
        <x:f>COUNTIF('Реестр'!$W$6:$W$505,"Открыт")</x:f>
        <x:v>16</x:v>
      </x:c>
      <x:c r="C12" s="55"/>
      <x:c r="D12" s="61"/>
      <x:c r="E12" s="62"/>
      <x:c r="F12" s="62"/>
      <x:c r="G12" s="62"/>
      <x:c r="H12" s="63"/>
    </x:row>
    <x:row r="13">
      <x:c r="A13" s="56" t="str">
        <x:v>Расчётный итог, ед.</x:v>
      </x:c>
      <x:c r="B13" s="64" t="n">
        <x:f>SUM('Реестр'!$V$6:$V$505)</x:f>
        <x:v>0</x:v>
      </x:c>
      <x:c r="C13" s="55"/>
      <x:c r="D13" s="65"/>
      <x:c r="E13" s="66"/>
      <x:c r="F13" s="66"/>
      <x:c r="G13" s="66"/>
      <x:c r="H13" s="67"/>
    </x:row>
    <x:row r="14">
      <x:c r="A14" s="56" t="str">
        <x:v>ROI виртуальной единицы</x:v>
      </x:c>
      <x:c r="B14" s="68" t="str">
        <x:f>IF(B8=0,"",B13/B8)</x:f>
      </x:c>
      <x:c r="C14" s="55"/>
      <x:c r="D14" s="55"/>
      <x:c r="E14" s="55"/>
      <x:c r="F14" s="55"/>
      <x:c r="G14" s="55"/>
      <x:c r="H14" s="55"/>
    </x:row>
    <x:row r="15">
      <x:c r="A15" s="56" t="str">
        <x:v>Средний коэффициент</x:v>
      </x:c>
      <x:c r="B15" s="64" t="n">
        <x:f>IF(B7=0,"",AVERAGEIF('Реестр'!$A$6:$A$505,"&gt;0",'Реестр'!$J$6:$J$505))</x:f>
        <x:v>1.8796874999999997</x:v>
      </x:c>
      <x:c r="C15" s="55"/>
      <x:c r="D15" s="55"/>
      <x:c r="E15" s="55"/>
      <x:c r="F15" s="55"/>
      <x:c r="G15" s="55"/>
      <x:c r="H15" s="55"/>
    </x:row>
    <x:row r="16">
      <x:c r="A16" s="69" t="str">
        <x:v>Дата последнего выбора</x:v>
      </x:c>
      <x:c r="B16" s="70" t="str">
        <x:v>13.10.2026 18:43</x:v>
      </x:c>
      <x:c r="C16" s="55"/>
      <x:c r="D16" s="55"/>
      <x:c r="E16" s="55"/>
      <x:c r="F16" s="55"/>
      <x:c r="G16" s="55"/>
      <x:c r="H16" s="55"/>
    </x:row>
  </x:sheetData>
  <x:mergeCells>
    <x:mergeCell ref="A2:H2"/>
    <x:mergeCell ref="A3:H3"/>
    <x:mergeCell ref="D6:H6"/>
    <x:mergeCell ref="D7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Фиксируются только выбранные исходы на момент решения. Все результаты виртуальные.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/>
      <x:c r="U6" s="79"/>
      <x:c r="V6" s="88" t="str">
        <x:f>IF(U6="Выигрыш",J6-1,IF(U6="Поражение",-1,IF(U6="Возврат",0,IF(U6="Полувыигрыш",(J6-1)/2,IF(U6="Полупроигрыш",-0.5,"")))))</x:f>
      </x:c>
      <x:c r="W6" s="79" t="str">
        <x:f>IF(A6="","",IF(U6="","Открыт","Рассчитан"))</x:f>
        <x:v>Открыт</x:v>
      </x:c>
      <x:c r="X6" s="94" t="str">
        <x:v>Первый тест команды live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/>
      <x:c r="U7" s="80"/>
      <x:c r="V7" s="89" t="str">
        <x:f>IF(U7="Выигрыш",J7-1,IF(U7="Поражение",-1,IF(U7="Возврат",0,IF(U7="Полувыигрыш",(J7-1)/2,IF(U7="Полупроигрыш",-0.5,"")))))</x:f>
      </x:c>
      <x:c r="W7" s="80" t="str">
        <x:f>IF(A7="","",IF(U7="","Открыт","Рассчитан"))</x:f>
        <x:v>Открыт</x:v>
      </x:c>
      <x:c r="X7" s="98" t="str">
        <x:v>Агрессивный второй кандидат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/>
      <x:c r="U8" s="80"/>
      <x:c r="V8" s="89" t="str">
        <x:f>IF(U8="","",IF(U8="Плюс",J8-1,IF(U8="Минус",-1,IF(U8="Возврат",0,IF(U8="Полуплюс",(J8-1)/2,IF(U8="Полуминус",-0.5,""))))))</x:f>
      </x:c>
      <x:c r="W8" s="80" t="str">
        <x:f>IF(A8="","",IF(U8="","Открыт","Рассчитан"))</x:f>
        <x:v>Открыт</x:v>
      </x:c>
      <x:c r="X8" s="98" t="str">
        <x:v>Основной кандидат текущего запуска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/>
      <x:c r="U9" s="80"/>
      <x:c r="V9" s="89" t="str">
        <x:f>IF(U9="","",IF(U9="Плюс",J9-1,IF(U9="Минус",-1,IF(U9="Возврат",0,IF(U9="Полуплюс",(J9-1)/2,IF(U9="Полуминус",-0.5,""))))))</x:f>
      </x:c>
      <x:c r="W9" s="80" t="str">
        <x:f>IF(A9="","",IF(U9="","Открыт","Рассчитан"))</x:f>
        <x:v>Открыт</x:v>
      </x:c>
      <x:c r="X9" s="98" t="str">
        <x:v>Агрессивный кандидат по открытому сценарию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/>
      <x:c r="U10" s="80"/>
      <x:c r="V10" s="89" t="str">
        <x:f>IF(U10="","",IF(U10="Плюс",J10-1,IF(U10="Минус",-1,IF(U10="Возврат",0,IF(U10="Полуплюс",(J10-1)/2,IF(U10="Полуминус",-0.5,""))))))</x:f>
      </x:c>
      <x:c r="W10" s="80" t="str">
        <x:f>IF(A10="","",IF(U10="","Открыт","Рассчитан"))</x:f>
        <x:v>Открыт</x:v>
      </x:c>
      <x:c r="X10" s="98" t="str">
        <x:v>Линия с возвратом при одном дополнительном голе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/>
      <x:c r="U11" s="80"/>
      <x:c r="V11" s="89" t="str">
        <x:f>IF(U11="","",IF(U11="Плюс",J11-1,IF(U11="Минус",-1,IF(U11="Возврат",0,IF(U11="Полуплюс",(J11-1)/2,IF(U11="Полуминус",-0.5,""))))))</x:f>
      </x:c>
      <x:c r="W11" s="80" t="str">
        <x:f>IF(A11="","",IF(U11="","Открыт","Рассчитан"))</x:f>
        <x:v>Открыт</x:v>
      </x:c>
      <x:c r="X11" s="98" t="str">
        <x:v>Высокая дисперсия из-за реализации выше xG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/>
      <x:c r="U12" s="80"/>
      <x:c r="V12" s="89" t="str">
        <x:f>IF(U12="","",IF(U12="Плюс",J12-1,IF(U12="Минус",-1,IF(U12="Возврат",0,IF(U12="Полуплюс",(J12-1)/2,IF(U12="Полуминус",-0.5,""))))))</x:f>
      </x:c>
      <x:c r="W12" s="80" t="str">
        <x:f>IF(A12="","",IF(U12="","Открыт","Рассчитан"))</x:f>
        <x:v>Открыт</x:v>
      </x:c>
      <x:c r="X12" s="98" t="str">
        <x:v>Защитная азиатская линия: второй гол даёт полуплюс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/>
      <x:c r="U13" s="80"/>
      <x:c r="V13" s="89" t="str">
        <x:f>IF(U13="","",IF(U13="Плюс",J13-1,IF(U13="Минус",-1,IF(U13="Возврат",0,IF(U13="Полуплюс",(J13-1)/2,IF(U13="Полуминус",-0.5,""))))))</x:f>
      </x:c>
      <x:c r="W13" s="80" t="str">
        <x:f>IF(A13="","",IF(U13="","Открыт","Рассчитан"))</x:f>
        <x:v>Открыт</x:v>
      </x:c>
      <x:c r="X13" s="98" t="str">
        <x:v>Главный кандидат: фаворит в большинстве и резко нарастил давление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/>
      <x:c r="U14" s="80"/>
      <x:c r="V14" s="89" t="str">
        <x:f>IF(U14="","",IF(U14="Плюс",J14-1,IF(U14="Минус",-1,IF(U14="Возврат",0,IF(U14="Полуплюс",(J14-1)/2,IF(U14="Полуминус",-0.5,""))))))</x:f>
      </x:c>
      <x:c r="W14" s="80" t="str">
        <x:f>IF(A14="","",IF(U14="","Открыт","Рассчитан"))</x:f>
        <x:v>Открыт</x:v>
      </x:c>
      <x:c r="X14" s="98" t="str">
        <x:v>Сильная атакующая динамика, но очень высокая линия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/>
      <x:c r="U15" s="80"/>
      <x:c r="V15" s="89" t="str">
        <x:f>IF(U15="","",IF(U15="Плюс",J15-1,IF(U15="Минус",-1,IF(U15="Возврат",0,IF(U15="Полуплюс",(J15-1)/2,IF(U15="Полуминус",-0.5,""))))))</x:f>
      </x:c>
      <x:c r="W15" s="80" t="str">
        <x:f>IF(A15="","",IF(U15="","Открыт","Рассчитан"))</x:f>
        <x:v>Открыт</x:v>
      </x:c>
      <x:c r="X15" s="98" t="str">
        <x:v>Кандидат по удалению и территориальному превосходству фаворита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/>
      <x:c r="U16" s="80"/>
      <x:c r="V16" s="89" t="str">
        <x:f>IF(U16="","",IF(U16="Плюс",J16-1,IF(U16="Минус",-1,IF(U16="Возврат",0,IF(U16="Полуплюс",(J16-1)/2,IF(U16="Полуминус",-0.5,""))))))</x:f>
      </x:c>
      <x:c r="W16" s="80" t="str">
        <x:f>IF(A16="","",IF(U16="","Открыт","Рассчитан"))</x:f>
        <x:v>Открыт</x:v>
      </x:c>
      <x:c r="X16" s="98" t="str">
        <x:v>Продолжение открытого матча после свежего гола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/>
      <x:c r="U17" s="80"/>
      <x:c r="V17" s="89" t="str">
        <x:f>IF(U17="","",IF(U17="Плюс",J17-1,IF(U17="Минус",-1,IF(U17="Возврат",0,IF(U17="Полуплюс",(J17-1)/2,IF(U17="Полуминус",-0.5,""))))))</x:f>
      </x:c>
      <x:c r="W17" s="80" t="str">
        <x:f>IF(A17="","",IF(U17="","Открыт","Рассчитан"))</x:f>
        <x:v>Открыт</x:v>
      </x:c>
      <x:c r="X17" s="98" t="str">
        <x:v>Финляндия подтверждает статус фаворита качеством моментов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/>
      <x:c r="U18" s="80"/>
      <x:c r="V18" s="89" t="str">
        <x:f>IF(U18="","",IF(U18="Плюс",J18-1,IF(U18="Минус",-1,IF(U18="Возврат",0,IF(U18="Полуплюс",(J18-1)/2,IF(U18="Полуминус",-0.5,""))))))</x:f>
      </x:c>
      <x:c r="W18" s="80" t="str">
        <x:f>IF(A18="","",IF(U18="","Открыт","Рассчитан"))</x:f>
        <x:v>Открыт</x:v>
      </x:c>
      <x:c r="X18" s="98" t="str">
        <x:v>Низкая линия при пяти ударах в створ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/>
      <x:c r="U19" s="80"/>
      <x:c r="V19" s="89" t="str">
        <x:f>IF(U19="","",IF(U19="Плюс",J19-1,IF(U19="Минус",-1,IF(U19="Возврат",0,IF(U19="Полуплюс",(J19-1)/2,IF(U19="Полуминус",-0.5,""))))))</x:f>
      </x:c>
      <x:c r="W19" s="80" t="str">
        <x:f>IF(A19="","",IF(U19="","Открыт","Рассчитан"))</x:f>
        <x:v>Открыт</x:v>
      </x:c>
      <x:c r="X19" s="98" t="str">
        <x:v>Умеренный кандидат после свежего ответного гола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/>
      <x:c r="U20" s="80"/>
      <x:c r="V20" s="89" t="str">
        <x:f>IF(U20="","",IF(U20="Плюс",J20-1,IF(U20="Минус",-1,IF(U20="Возврат",0,IF(U20="Полуплюс",(J20-1)/2,IF(U20="Полуминус",-0.5,""))))))</x:f>
      </x:c>
      <x:c r="W20" s="80" t="str">
        <x:f>IF(A20="","",IF(U20="","Открыт","Рассчитан"))</x:f>
        <x:v>Открыт</x:v>
      </x:c>
      <x:c r="X20" s="98" t="str">
        <x:v>Сильное давление фаворита при низкой линии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/>
      <x:c r="U21" s="80"/>
      <x:c r="V21" s="89" t="str">
        <x:f>IF(U21="","",IF(U21="Плюс",J21-1,IF(U21="Минус",-1,IF(U21="Возврат",0,IF(U21="Полуплюс",(J21-1)/2,IF(U21="Полуминус",-0.5,""))))))</x:f>
      </x:c>
      <x:c r="W21" s="80" t="str">
        <x:f>IF(A21="","",IF(U21="","Открыт","Рассчитан"))</x:f>
        <x:v>Открыт</x:v>
      </x:c>
      <x:c r="X21" s="98" t="str">
        <x:v>Новый юношеский кандидат текущего снимка</x:v>
      </x:c>
    </x:row>
    <x:row r="22">
      <x:c r="A22" s="80"/>
      <x:c r="B22" s="80"/>
      <x:c r="C22" s="83"/>
      <x:c r="D22" s="80"/>
      <x:c r="E22" s="80"/>
      <x:c r="F22" s="86"/>
      <x:c r="G22" s="80"/>
      <x:c r="H22" s="95"/>
      <x:c r="I22" s="95"/>
      <x:c r="J22" s="96"/>
      <x:c r="K22" s="97"/>
      <x:c r="L22" s="98"/>
      <x:c r="M22" s="98"/>
      <x:c r="N22" s="98"/>
      <x:c r="O22" s="98"/>
      <x:c r="P22" s="98"/>
      <x:c r="Q22" s="80"/>
      <x:c r="R22" s="80"/>
      <x:c r="S22" s="80"/>
      <x:c r="T22" s="80"/>
      <x:c r="U22" s="80"/>
      <x:c r="V22" s="89" t="str">
        <x:f>IF(U22="Выигрыш",J22-1,IF(U22="Поражение",-1,IF(U22="Возврат",0,IF(U22="Полувыигрыш",(J22-1)/2,IF(U22="Полупроигрыш",-0.5,"")))))</x:f>
      </x:c>
      <x:c r="W22" s="80" t="str">
        <x:f>IF(A22="","",IF(U22="","Открыт","Рассчитан"))</x:f>
      </x:c>
      <x:c r="X22" s="98"/>
    </x:row>
    <x:row r="23">
      <x:c r="A23" s="80"/>
      <x:c r="B23" s="80"/>
      <x:c r="C23" s="83"/>
      <x:c r="D23" s="80"/>
      <x:c r="E23" s="80"/>
      <x:c r="F23" s="86"/>
      <x:c r="G23" s="80"/>
      <x:c r="H23" s="95"/>
      <x:c r="I23" s="95"/>
      <x:c r="J23" s="96"/>
      <x:c r="K23" s="97"/>
      <x:c r="L23" s="98"/>
      <x:c r="M23" s="98"/>
      <x:c r="N23" s="98"/>
      <x:c r="O23" s="98"/>
      <x:c r="P23" s="98"/>
      <x:c r="Q23" s="80"/>
      <x:c r="R23" s="80"/>
      <x:c r="S23" s="80"/>
      <x:c r="T23" s="80"/>
      <x:c r="U23" s="80"/>
      <x:c r="V23" s="89" t="str">
        <x:f>IF(U23="Выигрыш",J23-1,IF(U23="Поражение",-1,IF(U23="Возврат",0,IF(U23="Полувыигрыш",(J23-1)/2,IF(U23="Полупроигрыш",-0.5,"")))))</x:f>
      </x:c>
      <x:c r="W23" s="80" t="str">
        <x:f>IF(A23="","",IF(U23="","Открыт","Рассчитан"))</x:f>
      </x:c>
      <x:c r="X23" s="98"/>
    </x:row>
    <x:row r="24">
      <x:c r="A24" s="80"/>
      <x:c r="B24" s="80"/>
      <x:c r="C24" s="83"/>
      <x:c r="D24" s="80"/>
      <x:c r="E24" s="80"/>
      <x:c r="F24" s="86"/>
      <x:c r="G24" s="80"/>
      <x:c r="H24" s="95"/>
      <x:c r="I24" s="95"/>
      <x:c r="J24" s="96"/>
      <x:c r="K24" s="97"/>
      <x:c r="L24" s="98"/>
      <x:c r="M24" s="98"/>
      <x:c r="N24" s="98"/>
      <x:c r="O24" s="98"/>
      <x:c r="P24" s="98"/>
      <x:c r="Q24" s="80"/>
      <x:c r="R24" s="80"/>
      <x:c r="S24" s="80"/>
      <x:c r="T24" s="80"/>
      <x:c r="U24" s="80"/>
      <x:c r="V24" s="89" t="str">
        <x:f>IF(U24="Выигрыш",J24-1,IF(U24="Поражение",-1,IF(U24="Возврат",0,IF(U24="Полувыигрыш",(J24-1)/2,IF(U24="Полупроигрыш",-0.5,"")))))</x:f>
      </x:c>
      <x:c r="W24" s="80" t="str">
        <x:f>IF(A24="","",IF(U24="","Открыт","Рассчитан"))</x:f>
      </x:c>
      <x:c r="X24" s="98"/>
    </x:row>
    <x:row r="25">
      <x:c r="A25" s="80"/>
      <x:c r="B25" s="80"/>
      <x:c r="C25" s="83"/>
      <x:c r="D25" s="80"/>
      <x:c r="E25" s="80"/>
      <x:c r="F25" s="86"/>
      <x:c r="G25" s="80"/>
      <x:c r="H25" s="95"/>
      <x:c r="I25" s="95"/>
      <x:c r="J25" s="96"/>
      <x:c r="K25" s="97"/>
      <x:c r="L25" s="98"/>
      <x:c r="M25" s="98"/>
      <x:c r="N25" s="98"/>
      <x:c r="O25" s="98"/>
      <x:c r="P25" s="98"/>
      <x:c r="Q25" s="80"/>
      <x:c r="R25" s="80"/>
      <x:c r="S25" s="80"/>
      <x:c r="T25" s="80"/>
      <x:c r="U25" s="80"/>
      <x:c r="V25" s="89" t="str">
        <x:f>IF(U25="Выигрыш",J25-1,IF(U25="Поражение",-1,IF(U25="Возврат",0,IF(U25="Полувыигрыш",(J25-1)/2,IF(U25="Полупроигрыш",-0.5,"")))))</x:f>
      </x:c>
      <x:c r="W25" s="80" t="str">
        <x:f>IF(A25="","",IF(U25="","Открыт","Рассчитан"))</x:f>
      </x:c>
      <x:c r="X25" s="98"/>
    </x:row>
    <x:row r="26">
      <x:c r="A26" s="80"/>
      <x:c r="B26" s="80"/>
      <x:c r="C26" s="83"/>
      <x:c r="D26" s="80"/>
      <x:c r="E26" s="80"/>
      <x:c r="F26" s="86"/>
      <x:c r="G26" s="80"/>
      <x:c r="H26" s="95"/>
      <x:c r="I26" s="95"/>
      <x:c r="J26" s="96"/>
      <x:c r="K26" s="97"/>
      <x:c r="L26" s="98"/>
      <x:c r="M26" s="98"/>
      <x:c r="N26" s="98"/>
      <x:c r="O26" s="98"/>
      <x:c r="P26" s="98"/>
      <x:c r="Q26" s="80"/>
      <x:c r="R26" s="80"/>
      <x:c r="S26" s="80"/>
      <x:c r="T26" s="80"/>
      <x:c r="U26" s="80"/>
      <x:c r="V26" s="89" t="str">
        <x:f>IF(U26="Выигрыш",J26-1,IF(U26="Поражение",-1,IF(U26="Возврат",0,IF(U26="Полувыигрыш",(J26-1)/2,IF(U26="Полупроигрыш",-0.5,"")))))</x:f>
      </x:c>
      <x:c r="W26" s="80" t="str">
        <x:f>IF(A26="","",IF(U26="","Открыт","Рассчитан"))</x:f>
      </x:c>
      <x:c r="X26" s="98"/>
    </x:row>
    <x:row r="27">
      <x:c r="A27" s="80"/>
      <x:c r="B27" s="80"/>
      <x:c r="C27" s="83"/>
      <x:c r="D27" s="80"/>
      <x:c r="E27" s="80"/>
      <x:c r="F27" s="86"/>
      <x:c r="G27" s="80"/>
      <x:c r="H27" s="95"/>
      <x:c r="I27" s="95"/>
      <x:c r="J27" s="96"/>
      <x:c r="K27" s="97"/>
      <x:c r="L27" s="98"/>
      <x:c r="M27" s="98"/>
      <x:c r="N27" s="98"/>
      <x:c r="O27" s="98"/>
      <x:c r="P27" s="98"/>
      <x:c r="Q27" s="80"/>
      <x:c r="R27" s="80"/>
      <x:c r="S27" s="80"/>
      <x:c r="T27" s="80"/>
      <x:c r="U27" s="80"/>
      <x:c r="V27" s="89" t="str">
        <x:f>IF(U27="Выигрыш",J27-1,IF(U27="Поражение",-1,IF(U27="Возврат",0,IF(U27="Полувыигрыш",(J27-1)/2,IF(U27="Полупроигрыш",-0.5,"")))))</x:f>
      </x:c>
      <x:c r="W27" s="80" t="str">
        <x:f>IF(A27="","",IF(U27="","Открыт","Рассчитан"))</x:f>
      </x:c>
      <x:c r="X27" s="98"/>
    </x:row>
    <x:row r="28">
      <x:c r="A28" s="80"/>
      <x:c r="B28" s="80"/>
      <x:c r="C28" s="83"/>
      <x:c r="D28" s="80"/>
      <x:c r="E28" s="80"/>
      <x:c r="F28" s="86"/>
      <x:c r="G28" s="80"/>
      <x:c r="H28" s="95"/>
      <x:c r="I28" s="95"/>
      <x:c r="J28" s="96"/>
      <x:c r="K28" s="97"/>
      <x:c r="L28" s="98"/>
      <x:c r="M28" s="98"/>
      <x:c r="N28" s="98"/>
      <x:c r="O28" s="98"/>
      <x:c r="P28" s="98"/>
      <x:c r="Q28" s="80"/>
      <x:c r="R28" s="80"/>
      <x:c r="S28" s="80"/>
      <x:c r="T28" s="80"/>
      <x:c r="U28" s="80"/>
      <x:c r="V28" s="89" t="str">
        <x:f>IF(U28="Выигрыш",J28-1,IF(U28="Поражение",-1,IF(U28="Возврат",0,IF(U28="Полувыигрыш",(J28-1)/2,IF(U28="Полупроигрыш",-0.5,"")))))</x:f>
      </x:c>
      <x:c r="W28" s="80" t="str">
        <x:f>IF(A28="","",IF(U28="","Открыт","Рассчитан"))</x:f>
      </x:c>
      <x:c r="X28" s="98"/>
    </x:row>
    <x:row r="29">
      <x:c r="A29" s="80"/>
      <x:c r="B29" s="80"/>
      <x:c r="C29" s="83"/>
      <x:c r="D29" s="80"/>
      <x:c r="E29" s="80"/>
      <x:c r="F29" s="86"/>
      <x:c r="G29" s="80"/>
      <x:c r="H29" s="95"/>
      <x:c r="I29" s="95"/>
      <x:c r="J29" s="96"/>
      <x:c r="K29" s="97"/>
      <x:c r="L29" s="98"/>
      <x:c r="M29" s="98"/>
      <x:c r="N29" s="98"/>
      <x:c r="O29" s="98"/>
      <x:c r="P29" s="98"/>
      <x:c r="Q29" s="80"/>
      <x:c r="R29" s="80"/>
      <x:c r="S29" s="80"/>
      <x:c r="T29" s="80"/>
      <x:c r="U29" s="80"/>
      <x:c r="V29" s="89" t="str">
        <x:f>IF(U29="Выигрыш",J29-1,IF(U29="Поражение",-1,IF(U29="Возврат",0,IF(U29="Полувыигрыш",(J29-1)/2,IF(U29="Полупроигрыш",-0.5,"")))))</x:f>
      </x:c>
      <x:c r="W29" s="80" t="str">
        <x:f>IF(A29="","",IF(U29="","Открыт","Рассчитан"))</x:f>
      </x:c>
      <x:c r="X29" s="98"/>
    </x:row>
    <x:row r="30">
      <x:c r="A30" s="80"/>
      <x:c r="B30" s="80"/>
      <x:c r="C30" s="83"/>
      <x:c r="D30" s="80"/>
      <x:c r="E30" s="80"/>
      <x:c r="F30" s="86"/>
      <x:c r="G30" s="80"/>
      <x:c r="H30" s="95"/>
      <x:c r="I30" s="95"/>
      <x:c r="J30" s="96"/>
      <x:c r="K30" s="97"/>
      <x:c r="L30" s="98"/>
      <x:c r="M30" s="98"/>
      <x:c r="N30" s="98"/>
      <x:c r="O30" s="98"/>
      <x:c r="P30" s="98"/>
      <x:c r="Q30" s="80"/>
      <x:c r="R30" s="80"/>
      <x:c r="S30" s="80"/>
      <x:c r="T30" s="80"/>
      <x:c r="U30" s="80"/>
      <x:c r="V30" s="89" t="str">
        <x:f>IF(U30="Выигрыш",J30-1,IF(U30="Поражение",-1,IF(U30="Возврат",0,IF(U30="Полувыигрыш",(J30-1)/2,IF(U30="Полупроигрыш",-0.5,"")))))</x:f>
      </x:c>
      <x:c r="W30" s="80" t="str">
        <x:f>IF(A30="","",IF(U30="","Открыт","Рассчитан"))</x:f>
      </x:c>
      <x:c r="X30" s="98"/>
    </x:row>
    <x:row r="31">
      <x:c r="A31" s="80"/>
      <x:c r="B31" s="80"/>
      <x:c r="C31" s="83"/>
      <x:c r="D31" s="80"/>
      <x:c r="E31" s="80"/>
      <x:c r="F31" s="86"/>
      <x:c r="G31" s="80"/>
      <x:c r="H31" s="95"/>
      <x:c r="I31" s="95"/>
      <x:c r="J31" s="96"/>
      <x:c r="K31" s="97"/>
      <x:c r="L31" s="98"/>
      <x:c r="M31" s="98"/>
      <x:c r="N31" s="98"/>
      <x:c r="O31" s="98"/>
      <x:c r="P31" s="98"/>
      <x:c r="Q31" s="80"/>
      <x:c r="R31" s="80"/>
      <x:c r="S31" s="80"/>
      <x:c r="T31" s="80"/>
      <x:c r="U31" s="80"/>
      <x:c r="V31" s="89" t="str">
        <x:f>IF(U31="Выигрыш",J31-1,IF(U31="Поражение",-1,IF(U31="Возврат",0,IF(U31="Полувыигрыш",(J31-1)/2,IF(U31="Полупроигрыш",-0.5,"")))))</x:f>
      </x:c>
      <x:c r="W31" s="80" t="str">
        <x:f>IF(A31="","",IF(U31="","Открыт","Рассчитан"))</x:f>
      </x:c>
      <x:c r="X31" s="98"/>
    </x:row>
    <x:row r="32">
      <x:c r="A32" s="80"/>
      <x:c r="B32" s="80"/>
      <x:c r="C32" s="83"/>
      <x:c r="D32" s="80"/>
      <x:c r="E32" s="80"/>
      <x:c r="F32" s="86"/>
      <x:c r="G32" s="80"/>
      <x:c r="H32" s="95"/>
      <x:c r="I32" s="95"/>
      <x:c r="J32" s="96"/>
      <x:c r="K32" s="97"/>
      <x:c r="L32" s="98"/>
      <x:c r="M32" s="98"/>
      <x:c r="N32" s="98"/>
      <x:c r="O32" s="98"/>
      <x:c r="P32" s="98"/>
      <x:c r="Q32" s="80"/>
      <x:c r="R32" s="80"/>
      <x:c r="S32" s="80"/>
      <x:c r="T32" s="80"/>
      <x:c r="U32" s="80"/>
      <x:c r="V32" s="89" t="str">
        <x:f>IF(U32="Выигрыш",J32-1,IF(U32="Поражение",-1,IF(U32="Возврат",0,IF(U32="Полувыигрыш",(J32-1)/2,IF(U32="Полупроигрыш",-0.5,"")))))</x:f>
      </x:c>
      <x:c r="W32" s="80" t="str">
        <x:f>IF(A32="","",IF(U32="","Открыт","Рассчитан"))</x:f>
      </x:c>
      <x:c r="X32" s="98"/>
    </x:row>
    <x:row r="33">
      <x:c r="A33" s="80"/>
      <x:c r="B33" s="80"/>
      <x:c r="C33" s="83"/>
      <x:c r="D33" s="80"/>
      <x:c r="E33" s="80"/>
      <x:c r="F33" s="86"/>
      <x:c r="G33" s="80"/>
      <x:c r="H33" s="95"/>
      <x:c r="I33" s="95"/>
      <x:c r="J33" s="96"/>
      <x:c r="K33" s="97"/>
      <x:c r="L33" s="98"/>
      <x:c r="M33" s="98"/>
      <x:c r="N33" s="98"/>
      <x:c r="O33" s="98"/>
      <x:c r="P33" s="98"/>
      <x:c r="Q33" s="80"/>
      <x:c r="R33" s="80"/>
      <x:c r="S33" s="80"/>
      <x:c r="T33" s="80"/>
      <x:c r="U33" s="80"/>
      <x:c r="V33" s="89" t="str">
        <x:f>IF(U33="Выигрыш",J33-1,IF(U33="Поражение",-1,IF(U33="Возврат",0,IF(U33="Полувыигрыш",(J33-1)/2,IF(U33="Полупроигрыш",-0.5,"")))))</x:f>
      </x:c>
      <x:c r="W33" s="80" t="str">
        <x:f>IF(A33="","",IF(U33="","Открыт","Рассчитан"))</x:f>
      </x:c>
      <x:c r="X33" s="98"/>
    </x:row>
    <x:row r="34">
      <x:c r="A34" s="80"/>
      <x:c r="B34" s="80"/>
      <x:c r="C34" s="83"/>
      <x:c r="D34" s="80"/>
      <x:c r="E34" s="80"/>
      <x:c r="F34" s="86"/>
      <x:c r="G34" s="80"/>
      <x:c r="H34" s="95"/>
      <x:c r="I34" s="95"/>
      <x:c r="J34" s="96"/>
      <x:c r="K34" s="97"/>
      <x:c r="L34" s="98"/>
      <x:c r="M34" s="98"/>
      <x:c r="N34" s="98"/>
      <x:c r="O34" s="98"/>
      <x:c r="P34" s="98"/>
      <x:c r="Q34" s="80"/>
      <x:c r="R34" s="80"/>
      <x:c r="S34" s="80"/>
      <x:c r="T34" s="80"/>
      <x:c r="U34" s="80"/>
      <x:c r="V34" s="89" t="str">
        <x:f>IF(U34="Выигрыш",J34-1,IF(U34="Поражение",-1,IF(U34="Возврат",0,IF(U34="Полувыигрыш",(J34-1)/2,IF(U34="Полупроигрыш",-0.5,"")))))</x:f>
      </x:c>
      <x:c r="W34" s="80" t="str">
        <x:f>IF(A34="","",IF(U34="","Открыт","Рассчитан"))</x:f>
      </x:c>
      <x:c r="X34" s="98"/>
    </x:row>
    <x:row r="35">
      <x:c r="A35" s="80"/>
      <x:c r="B35" s="80"/>
      <x:c r="C35" s="83"/>
      <x:c r="D35" s="80"/>
      <x:c r="E35" s="80"/>
      <x:c r="F35" s="86"/>
      <x:c r="G35" s="80"/>
      <x:c r="H35" s="95"/>
      <x:c r="I35" s="95"/>
      <x:c r="J35" s="96"/>
      <x:c r="K35" s="97"/>
      <x:c r="L35" s="98"/>
      <x:c r="M35" s="98"/>
      <x:c r="N35" s="98"/>
      <x:c r="O35" s="98"/>
      <x:c r="P35" s="98"/>
      <x:c r="Q35" s="80"/>
      <x:c r="R35" s="80"/>
      <x:c r="S35" s="80"/>
      <x:c r="T35" s="80"/>
      <x:c r="U35" s="80"/>
      <x:c r="V35" s="89" t="str">
        <x:f>IF(U35="Выигрыш",J35-1,IF(U35="Поражение",-1,IF(U35="Возврат",0,IF(U35="Полувыигрыш",(J35-1)/2,IF(U35="Полупроигрыш",-0.5,"")))))</x:f>
      </x:c>
      <x:c r="W35" s="80" t="str">
        <x:f>IF(A35="","",IF(U35="","Открыт","Рассчитан"))</x:f>
      </x:c>
      <x:c r="X35" s="98"/>
    </x:row>
    <x:row r="36">
      <x:c r="A36" s="80"/>
      <x:c r="B36" s="80"/>
      <x:c r="C36" s="83"/>
      <x:c r="D36" s="80"/>
      <x:c r="E36" s="80"/>
      <x:c r="F36" s="86"/>
      <x:c r="G36" s="80"/>
      <x:c r="H36" s="95"/>
      <x:c r="I36" s="95"/>
      <x:c r="J36" s="96"/>
      <x:c r="K36" s="97"/>
      <x:c r="L36" s="98"/>
      <x:c r="M36" s="98"/>
      <x:c r="N36" s="98"/>
      <x:c r="O36" s="98"/>
      <x:c r="P36" s="98"/>
      <x:c r="Q36" s="80"/>
      <x:c r="R36" s="80"/>
      <x:c r="S36" s="80"/>
      <x:c r="T36" s="80"/>
      <x:c r="U36" s="80"/>
      <x:c r="V36" s="89" t="str">
        <x:f>IF(U36="Выигрыш",J36-1,IF(U36="Поражение",-1,IF(U36="Возврат",0,IF(U36="Полувыигрыш",(J36-1)/2,IF(U36="Полупроигрыш",-0.5,"")))))</x:f>
      </x:c>
      <x:c r="W36" s="80" t="str">
        <x:f>IF(A36="","",IF(U36="","Открыт","Рассчитан"))</x:f>
      </x:c>
      <x:c r="X36" s="98"/>
    </x:row>
    <x:row r="37">
      <x:c r="A37" s="80"/>
      <x:c r="B37" s="80"/>
      <x:c r="C37" s="83"/>
      <x:c r="D37" s="80"/>
      <x:c r="E37" s="80"/>
      <x:c r="F37" s="86"/>
      <x:c r="G37" s="80"/>
      <x:c r="H37" s="95"/>
      <x:c r="I37" s="95"/>
      <x:c r="J37" s="96"/>
      <x:c r="K37" s="97"/>
      <x:c r="L37" s="98"/>
      <x:c r="M37" s="98"/>
      <x:c r="N37" s="98"/>
      <x:c r="O37" s="98"/>
      <x:c r="P37" s="98"/>
      <x:c r="Q37" s="80"/>
      <x:c r="R37" s="80"/>
      <x:c r="S37" s="80"/>
      <x:c r="T37" s="80"/>
      <x:c r="U37" s="80"/>
      <x:c r="V37" s="89" t="str">
        <x:f>IF(U37="Выигрыш",J37-1,IF(U37="Поражение",-1,IF(U37="Возврат",0,IF(U37="Полувыигрыш",(J37-1)/2,IF(U37="Полупроигрыш",-0.5,"")))))</x:f>
      </x:c>
      <x:c r="W37" s="80" t="str">
        <x:f>IF(A37="","",IF(U37="","Открыт","Рассчитан"))</x:f>
      </x:c>
      <x:c r="X37" s="98"/>
    </x:row>
    <x:row r="38">
      <x:c r="A38" s="80"/>
      <x:c r="B38" s="80"/>
      <x:c r="C38" s="83"/>
      <x:c r="D38" s="80"/>
      <x:c r="E38" s="80"/>
      <x:c r="F38" s="86"/>
      <x:c r="G38" s="80"/>
      <x:c r="H38" s="95"/>
      <x:c r="I38" s="95"/>
      <x:c r="J38" s="96"/>
      <x:c r="K38" s="97"/>
      <x:c r="L38" s="98"/>
      <x:c r="M38" s="98"/>
      <x:c r="N38" s="98"/>
      <x:c r="O38" s="98"/>
      <x:c r="P38" s="98"/>
      <x:c r="Q38" s="80"/>
      <x:c r="R38" s="80"/>
      <x:c r="S38" s="80"/>
      <x:c r="T38" s="80"/>
      <x:c r="U38" s="80"/>
      <x:c r="V38" s="89" t="str">
        <x:f>IF(U38="Выигрыш",J38-1,IF(U38="Поражение",-1,IF(U38="Возврат",0,IF(U38="Полувыигрыш",(J38-1)/2,IF(U38="Полупроигрыш",-0.5,"")))))</x:f>
      </x:c>
      <x:c r="W38" s="80" t="str">
        <x:f>IF(A38="","",IF(U38="","Открыт","Рассчитан"))</x:f>
      </x:c>
      <x:c r="X38" s="98"/>
    </x:row>
    <x:row r="39">
      <x:c r="A39" s="80"/>
      <x:c r="B39" s="80"/>
      <x:c r="C39" s="83"/>
      <x:c r="D39" s="80"/>
      <x:c r="E39" s="80"/>
      <x:c r="F39" s="86"/>
      <x:c r="G39" s="80"/>
      <x:c r="H39" s="95"/>
      <x:c r="I39" s="95"/>
      <x:c r="J39" s="96"/>
      <x:c r="K39" s="97"/>
      <x:c r="L39" s="98"/>
      <x:c r="M39" s="98"/>
      <x:c r="N39" s="98"/>
      <x:c r="O39" s="98"/>
      <x:c r="P39" s="98"/>
      <x:c r="Q39" s="80"/>
      <x:c r="R39" s="80"/>
      <x:c r="S39" s="80"/>
      <x:c r="T39" s="80"/>
      <x:c r="U39" s="80"/>
      <x:c r="V39" s="89" t="str">
        <x:f>IF(U39="Выигрыш",J39-1,IF(U39="Поражение",-1,IF(U39="Возврат",0,IF(U39="Полувыигрыш",(J39-1)/2,IF(U39="Полупроигрыш",-0.5,"")))))</x:f>
      </x:c>
      <x:c r="W39" s="80" t="str">
        <x:f>IF(A39="","",IF(U39="","Открыт","Рассчитан"))</x:f>
      </x:c>
      <x:c r="X39" s="98"/>
    </x:row>
    <x:row r="40">
      <x:c r="A40" s="80"/>
      <x:c r="B40" s="80"/>
      <x:c r="C40" s="83"/>
      <x:c r="D40" s="80"/>
      <x:c r="E40" s="80"/>
      <x:c r="F40" s="86"/>
      <x:c r="G40" s="80"/>
      <x:c r="H40" s="95"/>
      <x:c r="I40" s="95"/>
      <x:c r="J40" s="96"/>
      <x:c r="K40" s="97"/>
      <x:c r="L40" s="98"/>
      <x:c r="M40" s="98"/>
      <x:c r="N40" s="98"/>
      <x:c r="O40" s="98"/>
      <x:c r="P40" s="98"/>
      <x:c r="Q40" s="80"/>
      <x:c r="R40" s="80"/>
      <x:c r="S40" s="80"/>
      <x:c r="T40" s="80"/>
      <x:c r="U40" s="80"/>
      <x:c r="V40" s="89" t="str">
        <x:f>IF(U40="Выигрыш",J40-1,IF(U40="Поражение",-1,IF(U40="Возврат",0,IF(U40="Полувыигрыш",(J40-1)/2,IF(U40="Полупроигрыш",-0.5,"")))))</x:f>
      </x:c>
      <x:c r="W40" s="80" t="str">
        <x:f>IF(A40="","",IF(U40="","Открыт","Рассчитан"))</x:f>
      </x:c>
      <x:c r="X40" s="98"/>
    </x:row>
    <x:row r="41">
      <x:c r="A41" s="80"/>
      <x:c r="B41" s="80"/>
      <x:c r="C41" s="83"/>
      <x:c r="D41" s="80"/>
      <x:c r="E41" s="80"/>
      <x:c r="F41" s="86"/>
      <x:c r="G41" s="80"/>
      <x:c r="H41" s="95"/>
      <x:c r="I41" s="95"/>
      <x:c r="J41" s="96"/>
      <x:c r="K41" s="97"/>
      <x:c r="L41" s="98"/>
      <x:c r="M41" s="98"/>
      <x:c r="N41" s="98"/>
      <x:c r="O41" s="98"/>
      <x:c r="P41" s="98"/>
      <x:c r="Q41" s="80"/>
      <x:c r="R41" s="80"/>
      <x:c r="S41" s="80"/>
      <x:c r="T41" s="80"/>
      <x:c r="U41" s="80"/>
      <x:c r="V41" s="89" t="str">
        <x:f>IF(U41="Выигрыш",J41-1,IF(U41="Поражение",-1,IF(U41="Возврат",0,IF(U41="Полувыигрыш",(J41-1)/2,IF(U41="Полупроигрыш",-0.5,"")))))</x:f>
      </x:c>
      <x:c r="W41" s="80" t="str">
        <x:f>IF(A41="","",IF(U41="","Открыт","Рассчитан"))</x:f>
      </x:c>
      <x:c r="X41" s="98"/>
    </x:row>
    <x:row r="42">
      <x:c r="A42" s="80"/>
      <x:c r="B42" s="80"/>
      <x:c r="C42" s="83"/>
      <x:c r="D42" s="80"/>
      <x:c r="E42" s="80"/>
      <x:c r="F42" s="86"/>
      <x:c r="G42" s="80"/>
      <x:c r="H42" s="95"/>
      <x:c r="I42" s="95"/>
      <x:c r="J42" s="96"/>
      <x:c r="K42" s="97"/>
      <x:c r="L42" s="98"/>
      <x:c r="M42" s="98"/>
      <x:c r="N42" s="98"/>
      <x:c r="O42" s="98"/>
      <x:c r="P42" s="98"/>
      <x:c r="Q42" s="80"/>
      <x:c r="R42" s="80"/>
      <x:c r="S42" s="80"/>
      <x:c r="T42" s="80"/>
      <x:c r="U42" s="80"/>
      <x:c r="V42" s="89" t="str">
        <x:f>IF(U42="Выигрыш",J42-1,IF(U42="Поражение",-1,IF(U42="Возврат",0,IF(U42="Полувыигрыш",(J42-1)/2,IF(U42="Полупроигрыш",-0.5,"")))))</x:f>
      </x:c>
      <x:c r="W42" s="80" t="str">
        <x:f>IF(A42="","",IF(U42="","Открыт","Рассчитан"))</x:f>
      </x:c>
      <x:c r="X42" s="98"/>
    </x:row>
    <x:row r="43">
      <x:c r="A43" s="80"/>
      <x:c r="B43" s="80"/>
      <x:c r="C43" s="83"/>
      <x:c r="D43" s="80"/>
      <x:c r="E43" s="80"/>
      <x:c r="F43" s="86"/>
      <x:c r="G43" s="80"/>
      <x:c r="H43" s="95"/>
      <x:c r="I43" s="95"/>
      <x:c r="J43" s="96"/>
      <x:c r="K43" s="97"/>
      <x:c r="L43" s="98"/>
      <x:c r="M43" s="98"/>
      <x:c r="N43" s="98"/>
      <x:c r="O43" s="98"/>
      <x:c r="P43" s="98"/>
      <x:c r="Q43" s="80"/>
      <x:c r="R43" s="80"/>
      <x:c r="S43" s="80"/>
      <x:c r="T43" s="80"/>
      <x:c r="U43" s="80"/>
      <x:c r="V43" s="89" t="str">
        <x:f>IF(U43="Выигрыш",J43-1,IF(U43="Поражение",-1,IF(U43="Возврат",0,IF(U43="Полувыигрыш",(J43-1)/2,IF(U43="Полупроигрыш",-0.5,"")))))</x:f>
      </x:c>
      <x:c r="W43" s="80" t="str">
        <x:f>IF(A43="","",IF(U43="","Открыт","Рассчитан"))</x:f>
      </x:c>
      <x:c r="X43" s="98"/>
    </x:row>
    <x:row r="44">
      <x:c r="A44" s="80"/>
      <x:c r="B44" s="80"/>
      <x:c r="C44" s="83"/>
      <x:c r="D44" s="80"/>
      <x:c r="E44" s="80"/>
      <x:c r="F44" s="86"/>
      <x:c r="G44" s="80"/>
      <x:c r="H44" s="95"/>
      <x:c r="I44" s="95"/>
      <x:c r="J44" s="96"/>
      <x:c r="K44" s="97"/>
      <x:c r="L44" s="98"/>
      <x:c r="M44" s="98"/>
      <x:c r="N44" s="98"/>
      <x:c r="O44" s="98"/>
      <x:c r="P44" s="98"/>
      <x:c r="Q44" s="80"/>
      <x:c r="R44" s="80"/>
      <x:c r="S44" s="80"/>
      <x:c r="T44" s="80"/>
      <x:c r="U44" s="80"/>
      <x:c r="V44" s="89" t="str">
        <x:f>IF(U44="Выигрыш",J44-1,IF(U44="Поражение",-1,IF(U44="Возврат",0,IF(U44="Полувыигрыш",(J44-1)/2,IF(U44="Полупроигрыш",-0.5,"")))))</x:f>
      </x:c>
      <x:c r="W44" s="80" t="str">
        <x:f>IF(A44="","",IF(U44="","Открыт","Рассчитан"))</x:f>
      </x:c>
      <x:c r="X44" s="98"/>
    </x:row>
    <x:row r="45">
      <x:c r="A45" s="80"/>
      <x:c r="B45" s="80"/>
      <x:c r="C45" s="83"/>
      <x:c r="D45" s="80"/>
      <x:c r="E45" s="80"/>
      <x:c r="F45" s="86"/>
      <x:c r="G45" s="80"/>
      <x:c r="H45" s="95"/>
      <x:c r="I45" s="95"/>
      <x:c r="J45" s="96"/>
      <x:c r="K45" s="97"/>
      <x:c r="L45" s="98"/>
      <x:c r="M45" s="98"/>
      <x:c r="N45" s="98"/>
      <x:c r="O45" s="98"/>
      <x:c r="P45" s="98"/>
      <x:c r="Q45" s="80"/>
      <x:c r="R45" s="80"/>
      <x:c r="S45" s="80"/>
      <x:c r="T45" s="80"/>
      <x:c r="U45" s="80"/>
      <x:c r="V45" s="89" t="str">
        <x:f>IF(U45="Выигрыш",J45-1,IF(U45="Поражение",-1,IF(U45="Возврат",0,IF(U45="Полувыигрыш",(J45-1)/2,IF(U45="Полупроигрыш",-0.5,"")))))</x:f>
      </x:c>
      <x:c r="W45" s="80" t="str">
        <x:f>IF(A45="","",IF(U45="","Открыт","Рассчитан"))</x:f>
      </x:c>
      <x:c r="X45" s="98"/>
    </x:row>
    <x:row r="46">
      <x:c r="A46" s="80"/>
      <x:c r="B46" s="80"/>
      <x:c r="C46" s="83"/>
      <x:c r="D46" s="80"/>
      <x:c r="E46" s="80"/>
      <x:c r="F46" s="86"/>
      <x:c r="G46" s="80"/>
      <x:c r="H46" s="95"/>
      <x:c r="I46" s="95"/>
      <x:c r="J46" s="96"/>
      <x:c r="K46" s="97"/>
      <x:c r="L46" s="98"/>
      <x:c r="M46" s="98"/>
      <x:c r="N46" s="98"/>
      <x:c r="O46" s="98"/>
      <x:c r="P46" s="98"/>
      <x:c r="Q46" s="80"/>
      <x:c r="R46" s="80"/>
      <x:c r="S46" s="80"/>
      <x:c r="T46" s="80"/>
      <x:c r="U46" s="80"/>
      <x:c r="V46" s="89" t="str">
        <x:f>IF(U46="Выигрыш",J46-1,IF(U46="Поражение",-1,IF(U46="Возврат",0,IF(U46="Полувыигрыш",(J46-1)/2,IF(U46="Полупроигрыш",-0.5,"")))))</x:f>
      </x:c>
      <x:c r="W46" s="80" t="str">
        <x:f>IF(A46="","",IF(U46="","Открыт","Рассчитан"))</x:f>
      </x:c>
      <x:c r="X46" s="98"/>
    </x:row>
    <x:row r="47">
      <x:c r="A47" s="80"/>
      <x:c r="B47" s="80"/>
      <x:c r="C47" s="83"/>
      <x:c r="D47" s="80"/>
      <x:c r="E47" s="80"/>
      <x:c r="F47" s="86"/>
      <x:c r="G47" s="80"/>
      <x:c r="H47" s="95"/>
      <x:c r="I47" s="95"/>
      <x:c r="J47" s="96"/>
      <x:c r="K47" s="97"/>
      <x:c r="L47" s="98"/>
      <x:c r="M47" s="98"/>
      <x:c r="N47" s="98"/>
      <x:c r="O47" s="98"/>
      <x:c r="P47" s="98"/>
      <x:c r="Q47" s="80"/>
      <x:c r="R47" s="80"/>
      <x:c r="S47" s="80"/>
      <x:c r="T47" s="80"/>
      <x:c r="U47" s="80"/>
      <x:c r="V47" s="89" t="str">
        <x:f>IF(U47="Выигрыш",J47-1,IF(U47="Поражение",-1,IF(U47="Возврат",0,IF(U47="Полувыигрыш",(J47-1)/2,IF(U47="Полупроигрыш",-0.5,"")))))</x:f>
      </x:c>
      <x:c r="W47" s="80" t="str">
        <x:f>IF(A47="","",IF(U47="","Открыт","Рассчитан"))</x:f>
      </x:c>
      <x:c r="X47" s="98"/>
    </x:row>
    <x:row r="48">
      <x:c r="A48" s="80"/>
      <x:c r="B48" s="80"/>
      <x:c r="C48" s="83"/>
      <x:c r="D48" s="80"/>
      <x:c r="E48" s="80"/>
      <x:c r="F48" s="86"/>
      <x:c r="G48" s="80"/>
      <x:c r="H48" s="95"/>
      <x:c r="I48" s="95"/>
      <x:c r="J48" s="96"/>
      <x:c r="K48" s="97"/>
      <x:c r="L48" s="98"/>
      <x:c r="M48" s="98"/>
      <x:c r="N48" s="98"/>
      <x:c r="O48" s="98"/>
      <x:c r="P48" s="98"/>
      <x:c r="Q48" s="80"/>
      <x:c r="R48" s="80"/>
      <x:c r="S48" s="80"/>
      <x:c r="T48" s="80"/>
      <x:c r="U48" s="80"/>
      <x:c r="V48" s="89" t="str">
        <x:f>IF(U48="Выигрыш",J48-1,IF(U48="Поражение",-1,IF(U48="Возврат",0,IF(U48="Полувыигрыш",(J48-1)/2,IF(U48="Полупроигрыш",-0.5,"")))))</x:f>
      </x:c>
      <x:c r="W48" s="80" t="str">
        <x:f>IF(A48="","",IF(U48="","Открыт","Рассчитан"))</x:f>
      </x:c>
      <x:c r="X48" s="98"/>
    </x:row>
    <x:row r="49">
      <x:c r="A49" s="80"/>
      <x:c r="B49" s="80"/>
      <x:c r="C49" s="83"/>
      <x:c r="D49" s="80"/>
      <x:c r="E49" s="80"/>
      <x:c r="F49" s="86"/>
      <x:c r="G49" s="80"/>
      <x:c r="H49" s="95"/>
      <x:c r="I49" s="95"/>
      <x:c r="J49" s="96"/>
      <x:c r="K49" s="97"/>
      <x:c r="L49" s="98"/>
      <x:c r="M49" s="98"/>
      <x:c r="N49" s="98"/>
      <x:c r="O49" s="98"/>
      <x:c r="P49" s="98"/>
      <x:c r="Q49" s="80"/>
      <x:c r="R49" s="80"/>
      <x:c r="S49" s="80"/>
      <x:c r="T49" s="80"/>
      <x:c r="U49" s="80"/>
      <x:c r="V49" s="89" t="str">
        <x:f>IF(U49="Выигрыш",J49-1,IF(U49="Поражение",-1,IF(U49="Возврат",0,IF(U49="Полувыигрыш",(J49-1)/2,IF(U49="Полупроигрыш",-0.5,"")))))</x:f>
      </x:c>
      <x:c r="W49" s="80" t="str">
        <x:f>IF(A49="","",IF(U49="","Открыт","Рассчитан"))</x:f>
      </x:c>
      <x:c r="X49" s="98"/>
    </x:row>
    <x:row r="50">
      <x:c r="A50" s="80"/>
      <x:c r="B50" s="80"/>
      <x:c r="C50" s="83"/>
      <x:c r="D50" s="80"/>
      <x:c r="E50" s="80"/>
      <x:c r="F50" s="86"/>
      <x:c r="G50" s="80"/>
      <x:c r="H50" s="95"/>
      <x:c r="I50" s="95"/>
      <x:c r="J50" s="96"/>
      <x:c r="K50" s="97"/>
      <x:c r="L50" s="98"/>
      <x:c r="M50" s="98"/>
      <x:c r="N50" s="98"/>
      <x:c r="O50" s="98"/>
      <x:c r="P50" s="98"/>
      <x:c r="Q50" s="80"/>
      <x:c r="R50" s="80"/>
      <x:c r="S50" s="80"/>
      <x:c r="T50" s="80"/>
      <x:c r="U50" s="80"/>
      <x:c r="V50" s="89" t="str">
        <x:f>IF(U50="Выигрыш",J50-1,IF(U50="Поражение",-1,IF(U50="Возврат",0,IF(U50="Полувыигрыш",(J50-1)/2,IF(U50="Полупроигрыш",-0.5,"")))))</x:f>
      </x:c>
      <x:c r="W50" s="80" t="str">
        <x:f>IF(A50="","",IF(U50="","Открыт","Рассчитан"))</x:f>
      </x:c>
      <x:c r="X50" s="98"/>
    </x:row>
    <x:row r="51">
      <x:c r="A51" s="80"/>
      <x:c r="B51" s="80"/>
      <x:c r="C51" s="83"/>
      <x:c r="D51" s="80"/>
      <x:c r="E51" s="80"/>
      <x:c r="F51" s="86"/>
      <x:c r="G51" s="80"/>
      <x:c r="H51" s="95"/>
      <x:c r="I51" s="95"/>
      <x:c r="J51" s="96"/>
      <x:c r="K51" s="97"/>
      <x:c r="L51" s="98"/>
      <x:c r="M51" s="98"/>
      <x:c r="N51" s="98"/>
      <x:c r="O51" s="98"/>
      <x:c r="P51" s="98"/>
      <x:c r="Q51" s="80"/>
      <x:c r="R51" s="80"/>
      <x:c r="S51" s="80"/>
      <x:c r="T51" s="80"/>
      <x:c r="U51" s="80"/>
      <x:c r="V51" s="89" t="str">
        <x:f>IF(U51="Выигрыш",J51-1,IF(U51="Поражение",-1,IF(U51="Возврат",0,IF(U51="Полувыигрыш",(J51-1)/2,IF(U51="Полупроигрыш",-0.5,"")))))</x:f>
      </x:c>
      <x:c r="W51" s="80" t="str">
        <x:f>IF(A51="","",IF(U51="","Открыт","Рассчитан"))</x:f>
      </x:c>
      <x:c r="X51" s="98"/>
    </x:row>
    <x:row r="52">
      <x:c r="A52" s="80"/>
      <x:c r="B52" s="80"/>
      <x:c r="C52" s="83"/>
      <x:c r="D52" s="80"/>
      <x:c r="E52" s="80"/>
      <x:c r="F52" s="86"/>
      <x:c r="G52" s="80"/>
      <x:c r="H52" s="95"/>
      <x:c r="I52" s="95"/>
      <x:c r="J52" s="96"/>
      <x:c r="K52" s="97"/>
      <x:c r="L52" s="98"/>
      <x:c r="M52" s="98"/>
      <x:c r="N52" s="98"/>
      <x:c r="O52" s="98"/>
      <x:c r="P52" s="98"/>
      <x:c r="Q52" s="80"/>
      <x:c r="R52" s="80"/>
      <x:c r="S52" s="80"/>
      <x:c r="T52" s="80"/>
      <x:c r="U52" s="80"/>
      <x:c r="V52" s="89" t="str">
        <x:f>IF(U52="Выигрыш",J52-1,IF(U52="Поражение",-1,IF(U52="Возврат",0,IF(U52="Полувыигрыш",(J52-1)/2,IF(U52="Полупроигрыш",-0.5,"")))))</x:f>
      </x:c>
      <x:c r="W52" s="80" t="str">
        <x:f>IF(A52="","",IF(U52="","Открыт","Рассчитан"))</x:f>
      </x:c>
      <x:c r="X52" s="98"/>
    </x:row>
    <x:row r="53">
      <x:c r="A53" s="80"/>
      <x:c r="B53" s="80"/>
      <x:c r="C53" s="83"/>
      <x:c r="D53" s="80"/>
      <x:c r="E53" s="80"/>
      <x:c r="F53" s="86"/>
      <x:c r="G53" s="80"/>
      <x:c r="H53" s="95"/>
      <x:c r="I53" s="95"/>
      <x:c r="J53" s="96"/>
      <x:c r="K53" s="97"/>
      <x:c r="L53" s="98"/>
      <x:c r="M53" s="98"/>
      <x:c r="N53" s="98"/>
      <x:c r="O53" s="98"/>
      <x:c r="P53" s="98"/>
      <x:c r="Q53" s="80"/>
      <x:c r="R53" s="80"/>
      <x:c r="S53" s="80"/>
      <x:c r="T53" s="80"/>
      <x:c r="U53" s="80"/>
      <x:c r="V53" s="89" t="str">
        <x:f>IF(U53="Выигрыш",J53-1,IF(U53="Поражение",-1,IF(U53="Возврат",0,IF(U53="Полувыигрыш",(J53-1)/2,IF(U53="Полупроигрыш",-0.5,"")))))</x:f>
      </x:c>
      <x:c r="W53" s="80" t="str">
        <x:f>IF(A53="","",IF(U53="","Открыт","Рассчитан"))</x:f>
      </x:c>
      <x:c r="X53" s="98"/>
    </x:row>
    <x:row r="54">
      <x:c r="A54" s="80"/>
      <x:c r="B54" s="80"/>
      <x:c r="C54" s="83"/>
      <x:c r="D54" s="80"/>
      <x:c r="E54" s="80"/>
      <x:c r="F54" s="86"/>
      <x:c r="G54" s="80"/>
      <x:c r="H54" s="95"/>
      <x:c r="I54" s="95"/>
      <x:c r="J54" s="96"/>
      <x:c r="K54" s="97"/>
      <x:c r="L54" s="98"/>
      <x:c r="M54" s="98"/>
      <x:c r="N54" s="98"/>
      <x:c r="O54" s="98"/>
      <x:c r="P54" s="98"/>
      <x:c r="Q54" s="80"/>
      <x:c r="R54" s="80"/>
      <x:c r="S54" s="80"/>
      <x:c r="T54" s="80"/>
      <x:c r="U54" s="80"/>
      <x:c r="V54" s="89" t="str">
        <x:f>IF(U54="Выигрыш",J54-1,IF(U54="Поражение",-1,IF(U54="Возврат",0,IF(U54="Полувыигрыш",(J54-1)/2,IF(U54="Полупроигрыш",-0.5,"")))))</x:f>
      </x:c>
      <x:c r="W54" s="80" t="str">
        <x:f>IF(A54="","",IF(U54="","Открыт","Рассчитан"))</x:f>
      </x:c>
      <x:c r="X54" s="98"/>
    </x:row>
    <x:row r="55">
      <x:c r="A55" s="80"/>
      <x:c r="B55" s="80"/>
      <x:c r="C55" s="83"/>
      <x:c r="D55" s="80"/>
      <x:c r="E55" s="80"/>
      <x:c r="F55" s="86"/>
      <x:c r="G55" s="80"/>
      <x:c r="H55" s="95"/>
      <x:c r="I55" s="95"/>
      <x:c r="J55" s="96"/>
      <x:c r="K55" s="97"/>
      <x:c r="L55" s="98"/>
      <x:c r="M55" s="98"/>
      <x:c r="N55" s="98"/>
      <x:c r="O55" s="98"/>
      <x:c r="P55" s="98"/>
      <x:c r="Q55" s="80"/>
      <x:c r="R55" s="80"/>
      <x:c r="S55" s="80"/>
      <x:c r="T55" s="80"/>
      <x:c r="U55" s="80"/>
      <x:c r="V55" s="89" t="str">
        <x:f>IF(U55="Выигрыш",J55-1,IF(U55="Поражение",-1,IF(U55="Возврат",0,IF(U55="Полувыигрыш",(J55-1)/2,IF(U55="Полупроигрыш",-0.5,"")))))</x:f>
      </x:c>
      <x:c r="W55" s="80" t="str">
        <x:f>IF(A55="","",IF(U55="","Открыт","Рассчитан"))</x:f>
      </x:c>
      <x:c r="X55" s="98"/>
    </x:row>
    <x:row r="56">
      <x:c r="A56" s="80"/>
      <x:c r="B56" s="80"/>
      <x:c r="C56" s="83"/>
      <x:c r="D56" s="80"/>
      <x:c r="E56" s="80"/>
      <x:c r="F56" s="86"/>
      <x:c r="G56" s="80"/>
      <x:c r="H56" s="95"/>
      <x:c r="I56" s="95"/>
      <x:c r="J56" s="96"/>
      <x:c r="K56" s="97"/>
      <x:c r="L56" s="98"/>
      <x:c r="M56" s="98"/>
      <x:c r="N56" s="98"/>
      <x:c r="O56" s="98"/>
      <x:c r="P56" s="98"/>
      <x:c r="Q56" s="80"/>
      <x:c r="R56" s="80"/>
      <x:c r="S56" s="80"/>
      <x:c r="T56" s="80"/>
      <x:c r="U56" s="80"/>
      <x:c r="V56" s="89" t="str">
        <x:f>IF(U56="Выигрыш",J56-1,IF(U56="Поражение",-1,IF(U56="Возврат",0,IF(U56="Полувыигрыш",(J56-1)/2,IF(U56="Полупроигрыш",-0.5,"")))))</x:f>
      </x:c>
      <x:c r="W56" s="80" t="str">
        <x:f>IF(A56="","",IF(U56="","Открыт","Рассчитан"))</x:f>
      </x:c>
      <x:c r="X56" s="98"/>
    </x:row>
    <x:row r="57">
      <x:c r="A57" s="80"/>
      <x:c r="B57" s="80"/>
      <x:c r="C57" s="83"/>
      <x:c r="D57" s="80"/>
      <x:c r="E57" s="80"/>
      <x:c r="F57" s="86"/>
      <x:c r="G57" s="80"/>
      <x:c r="H57" s="95"/>
      <x:c r="I57" s="95"/>
      <x:c r="J57" s="96"/>
      <x:c r="K57" s="97"/>
      <x:c r="L57" s="98"/>
      <x:c r="M57" s="98"/>
      <x:c r="N57" s="98"/>
      <x:c r="O57" s="98"/>
      <x:c r="P57" s="98"/>
      <x:c r="Q57" s="80"/>
      <x:c r="R57" s="80"/>
      <x:c r="S57" s="80"/>
      <x:c r="T57" s="80"/>
      <x:c r="U57" s="80"/>
      <x:c r="V57" s="89" t="str">
        <x:f>IF(U57="Выигрыш",J57-1,IF(U57="Поражение",-1,IF(U57="Возврат",0,IF(U57="Полувыигрыш",(J57-1)/2,IF(U57="Полупроигрыш",-0.5,"")))))</x:f>
      </x:c>
      <x:c r="W57" s="80" t="str">
        <x:f>IF(A57="","",IF(U57="","Открыт","Рассчитан"))</x:f>
      </x:c>
      <x:c r="X57" s="98"/>
    </x:row>
    <x:row r="58">
      <x:c r="A58" s="80"/>
      <x:c r="B58" s="80"/>
      <x:c r="C58" s="83"/>
      <x:c r="D58" s="80"/>
      <x:c r="E58" s="80"/>
      <x:c r="F58" s="86"/>
      <x:c r="G58" s="80"/>
      <x:c r="H58" s="95"/>
      <x:c r="I58" s="95"/>
      <x:c r="J58" s="96"/>
      <x:c r="K58" s="97"/>
      <x:c r="L58" s="98"/>
      <x:c r="M58" s="98"/>
      <x:c r="N58" s="98"/>
      <x:c r="O58" s="98"/>
      <x:c r="P58" s="98"/>
      <x:c r="Q58" s="80"/>
      <x:c r="R58" s="80"/>
      <x:c r="S58" s="80"/>
      <x:c r="T58" s="80"/>
      <x:c r="U58" s="80"/>
      <x:c r="V58" s="89" t="str">
        <x:f>IF(U58="Выигрыш",J58-1,IF(U58="Поражение",-1,IF(U58="Возврат",0,IF(U58="Полувыигрыш",(J58-1)/2,IF(U58="Полупроигрыш",-0.5,"")))))</x:f>
      </x:c>
      <x:c r="W58" s="80" t="str">
        <x:f>IF(A58="","",IF(U58="","Открыт","Рассчитан"))</x:f>
      </x:c>
      <x:c r="X58" s="98"/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IF(U59="Выигрыш",J59-1,IF(U59="Поражение",-1,IF(U59="Возврат",0,IF(U59="Полувыигрыш",(J59-1)/2,IF(U59="Полупроигрыш",-0.5,"")))))</x:f>
      </x:c>
      <x:c r="W59" s="80" t="str">
        <x:f>IF(A59="","",IF(U59="","Открыт","Рассчитан"))</x:f>
      </x:c>
      <x:c r="X59" s="98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IF(U60="Выигрыш",J60-1,IF(U60="Поражение",-1,IF(U60="Возврат",0,IF(U60="Полувыигрыш",(J60-1)/2,IF(U60="Полупроигрыш",-0.5,"")))))</x:f>
      </x:c>
      <x:c r="W60" s="80" t="str">
        <x:f>IF(A60="","",IF(U60="","Открыт","Рассчитан"))</x:f>
      </x:c>
      <x:c r="X60" s="98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IF(U61="Выигрыш",J61-1,IF(U61="Поражение",-1,IF(U61="Возврат",0,IF(U61="Полувыигрыш",(J61-1)/2,IF(U61="Полупроигрыш",-0.5,"")))))</x:f>
      </x:c>
      <x:c r="W61" s="80" t="str">
        <x:f>IF(A61="","",IF(U61="","Открыт","Рассчитан"))</x:f>
      </x:c>
      <x:c r="X61" s="98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IF(U62="Выигрыш",J62-1,IF(U62="Поражение",-1,IF(U62="Возврат",0,IF(U62="Полувыигрыш",(J62-1)/2,IF(U62="Полупроигрыш",-0.5,"")))))</x:f>
      </x:c>
      <x:c r="W62" s="80" t="str">
        <x:f>IF(A62="","",IF(U62="","Открыт","Рассчитан"))</x:f>
      </x:c>
      <x:c r="X62" s="98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IF(U63="Выигрыш",J63-1,IF(U63="Поражение",-1,IF(U63="Возврат",0,IF(U63="Полувыигрыш",(J63-1)/2,IF(U63="Полупроигрыш",-0.5,"")))))</x:f>
      </x:c>
      <x:c r="W63" s="80" t="str">
        <x:f>IF(A63="","",IF(U63="","Открыт","Рассчитан"))</x:f>
      </x:c>
      <x:c r="X63" s="98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IF(U64="Выигрыш",J64-1,IF(U64="Поражение",-1,IF(U64="Возврат",0,IF(U64="Полувыигрыш",(J64-1)/2,IF(U64="Полупроигрыш",-0.5,"")))))</x:f>
      </x:c>
      <x:c r="W64" s="80" t="str">
        <x:f>IF(A64="","",IF(U64="","Открыт","Рассчитан"))</x:f>
      </x:c>
      <x:c r="X64" s="98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IF(U65="Выигрыш",J65-1,IF(U65="Поражение",-1,IF(U65="Возврат",0,IF(U65="Полувыигрыш",(J65-1)/2,IF(U65="Полупроигрыш",-0.5,"")))))</x:f>
      </x:c>
      <x:c r="W65" s="80" t="str">
        <x:f>IF(A65="","",IF(U65="","Открыт","Рассчитан"))</x:f>
      </x:c>
      <x:c r="X65" s="98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IF(U66="Выигрыш",J66-1,IF(U66="Поражение",-1,IF(U66="Возврат",0,IF(U66="Полувыигрыш",(J66-1)/2,IF(U66="Полупроигрыш",-0.5,"")))))</x:f>
      </x:c>
      <x:c r="W66" s="80" t="str">
        <x:f>IF(A66="","",IF(U66="","Открыт","Рассчитан"))</x:f>
      </x:c>
      <x:c r="X66" s="98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IF(U67="Выигрыш",J67-1,IF(U67="Поражение",-1,IF(U67="Возврат",0,IF(U67="Полувыигрыш",(J67-1)/2,IF(U67="Полупроигрыш",-0.5,"")))))</x:f>
      </x:c>
      <x:c r="W67" s="80" t="str">
        <x:f>IF(A67="","",IF(U67="","Открыт","Рассчитан"))</x:f>
      </x:c>
      <x:c r="X67" s="98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IF(U68="Выигрыш",J68-1,IF(U68="Поражение",-1,IF(U68="Возврат",0,IF(U68="Полувыигрыш",(J68-1)/2,IF(U68="Полупроигрыш",-0.5,"")))))</x:f>
      </x:c>
      <x:c r="W68" s="80" t="str">
        <x:f>IF(A68="","",IF(U68="","Открыт","Рассчитан"))</x:f>
      </x:c>
      <x:c r="X68" s="98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IF(U69="Выигрыш",J69-1,IF(U69="Поражение",-1,IF(U69="Возврат",0,IF(U69="Полувыигрыш",(J69-1)/2,IF(U69="Полупроигрыш",-0.5,"")))))</x:f>
      </x:c>
      <x:c r="W69" s="80" t="str">
        <x:f>IF(A69="","",IF(U69="","Открыт","Рассчитан"))</x:f>
      </x:c>
      <x:c r="X69" s="98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IF(U70="Выигрыш",J70-1,IF(U70="Поражение",-1,IF(U70="Возврат",0,IF(U70="Полувыигрыш",(J70-1)/2,IF(U70="Полупроигрыш",-0.5,"")))))</x:f>
      </x:c>
      <x:c r="W70" s="80" t="str">
        <x:f>IF(A70="","",IF(U70="","Открыт","Рассчитан"))</x:f>
      </x:c>
      <x:c r="X70" s="98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IF(U71="Выигрыш",J71-1,IF(U71="Поражение",-1,IF(U71="Возврат",0,IF(U71="Полувыигрыш",(J71-1)/2,IF(U71="Полупроигрыш",-0.5,"")))))</x:f>
      </x:c>
      <x:c r="W71" s="80" t="str">
        <x:f>IF(A71="","",IF(U71="","Открыт","Рассчитан"))</x:f>
      </x:c>
      <x:c r="X71" s="98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IF(U72="Выигрыш",J72-1,IF(U72="Поражение",-1,IF(U72="Возврат",0,IF(U72="Полувыигрыш",(J72-1)/2,IF(U72="Полупроигрыш",-0.5,"")))))</x:f>
      </x:c>
      <x:c r="W72" s="80" t="str">
        <x:f>IF(A72="","",IF(U72="","Открыт","Рассчитан"))</x:f>
      </x:c>
      <x:c r="X72" s="98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IF(U73="Выигрыш",J73-1,IF(U73="Поражение",-1,IF(U73="Возврат",0,IF(U73="Полувыигрыш",(J73-1)/2,IF(U73="Полупроигрыш",-0.5,"")))))</x:f>
      </x:c>
      <x:c r="W73" s="80" t="str">
        <x:f>IF(A73="","",IF(U73="","Открыт","Рассчитан"))</x:f>
      </x:c>
      <x:c r="X73" s="98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IF(U74="Выигрыш",J74-1,IF(U74="Поражение",-1,IF(U74="Возврат",0,IF(U74="Полувыигрыш",(J74-1)/2,IF(U74="Полупроигрыш",-0.5,"")))))</x:f>
      </x:c>
      <x:c r="W74" s="80" t="str">
        <x:f>IF(A74="","",IF(U74="","Открыт","Рассчитан"))</x:f>
      </x:c>
      <x:c r="X74" s="98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IF(U75="Выигрыш",J75-1,IF(U75="Поражение",-1,IF(U75="Возврат",0,IF(U75="Полувыигрыш",(J75-1)/2,IF(U75="Полупроигрыш",-0.5,"")))))</x:f>
      </x:c>
      <x:c r="W75" s="80" t="str">
        <x:f>IF(A75="","",IF(U75="","Открыт","Рассчитан"))</x:f>
      </x:c>
      <x:c r="X75" s="98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IF(U76="Выигрыш",J76-1,IF(U76="Поражение",-1,IF(U76="Возврат",0,IF(U76="Полувыигрыш",(J76-1)/2,IF(U76="Полупроигрыш",-0.5,"")))))</x:f>
      </x:c>
      <x:c r="W76" s="80" t="str">
        <x:f>IF(A76="","",IF(U76="","Открыт","Рассчитан"))</x:f>
      </x:c>
      <x:c r="X76" s="98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IF(U77="Выигрыш",J77-1,IF(U77="Поражение",-1,IF(U77="Возврат",0,IF(U77="Полувыигрыш",(J77-1)/2,IF(U77="Полупроигрыш",-0.5,"")))))</x:f>
      </x:c>
      <x:c r="W77" s="80" t="str">
        <x:f>IF(A77="","",IF(U77="","Открыт","Рассчитан"))</x:f>
      </x:c>
      <x:c r="X77" s="98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IF(U78="Выигрыш",J78-1,IF(U78="Поражение",-1,IF(U78="Возврат",0,IF(U78="Полувыигрыш",(J78-1)/2,IF(U78="Полупроигрыш",-0.5,"")))))</x:f>
      </x:c>
      <x:c r="W78" s="80" t="str">
        <x:f>IF(A78="","",IF(U78="","Открыт","Рассчитан"))</x:f>
      </x:c>
      <x:c r="X78" s="98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IF(U79="Выигрыш",J79-1,IF(U79="Поражение",-1,IF(U79="Возврат",0,IF(U79="Полувыигрыш",(J79-1)/2,IF(U79="Полупроигрыш",-0.5,"")))))</x:f>
      </x:c>
      <x:c r="W79" s="80" t="str">
        <x:f>IF(A79="","",IF(U79="","Открыт","Рассчитан"))</x:f>
      </x:c>
      <x:c r="X79" s="98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IF(U80="Выигрыш",J80-1,IF(U80="Поражение",-1,IF(U80="Возврат",0,IF(U80="Полувыигрыш",(J80-1)/2,IF(U80="Полупроигрыш",-0.5,"")))))</x:f>
      </x:c>
      <x:c r="W80" s="80" t="str">
        <x:f>IF(A80="","",IF(U80="","Открыт","Рассчитан"))</x:f>
      </x:c>
      <x:c r="X80" s="98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IF(U81="Выигрыш",J81-1,IF(U81="Поражение",-1,IF(U81="Возврат",0,IF(U81="Полувыигрыш",(J81-1)/2,IF(U81="Полупроигрыш",-0.5,"")))))</x:f>
      </x:c>
      <x:c r="W81" s="80" t="str">
        <x:f>IF(A81="","",IF(U81="","Открыт","Рассчитан"))</x:f>
      </x:c>
      <x:c r="X81" s="98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IF(U82="Выигрыш",J82-1,IF(U82="Поражение",-1,IF(U82="Возврат",0,IF(U82="Полувыигрыш",(J82-1)/2,IF(U82="Полупроигрыш",-0.5,"")))))</x:f>
      </x:c>
      <x:c r="W82" s="80" t="str">
        <x:f>IF(A82="","",IF(U82="","Открыт","Рассчитан"))</x:f>
      </x:c>
      <x:c r="X82" s="98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IF(U83="Выигрыш",J83-1,IF(U83="Поражение",-1,IF(U83="Возврат",0,IF(U83="Полувыигрыш",(J83-1)/2,IF(U83="Полупроигрыш",-0.5,"")))))</x:f>
      </x:c>
      <x:c r="W83" s="80" t="str">
        <x:f>IF(A83="","",IF(U83="","Открыт","Рассчитан"))</x:f>
      </x:c>
      <x:c r="X83" s="98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IF(U84="Выигрыш",J84-1,IF(U84="Поражение",-1,IF(U84="Возврат",0,IF(U84="Полувыигрыш",(J84-1)/2,IF(U84="Полупроигрыш",-0.5,"")))))</x:f>
      </x:c>
      <x:c r="W84" s="80" t="str">
        <x:f>IF(A84="","",IF(U84="","Открыт","Рассчитан"))</x:f>
      </x:c>
      <x:c r="X84" s="98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IF(U85="Выигрыш",J85-1,IF(U85="Поражение",-1,IF(U85="Возврат",0,IF(U85="Полувыигрыш",(J85-1)/2,IF(U85="Полупроигрыш",-0.5,"")))))</x:f>
      </x:c>
      <x:c r="W85" s="80" t="str">
        <x:f>IF(A85="","",IF(U85="","Открыт","Рассчитан"))</x:f>
      </x:c>
      <x:c r="X85" s="98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IF(U86="Выигрыш",J86-1,IF(U86="Поражение",-1,IF(U86="Возврат",0,IF(U86="Полувыигрыш",(J86-1)/2,IF(U86="Полупроигрыш",-0.5,"")))))</x:f>
      </x:c>
      <x:c r="W86" s="80" t="str">
        <x:f>IF(A86="","",IF(U86="","Открыт","Рассчитан"))</x:f>
      </x:c>
      <x:c r="X86" s="98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IF(U87="Выигрыш",J87-1,IF(U87="Поражение",-1,IF(U87="Возврат",0,IF(U87="Полувыигрыш",(J87-1)/2,IF(U87="Полупроигрыш",-0.5,"")))))</x:f>
      </x:c>
      <x:c r="W87" s="80" t="str">
        <x:f>IF(A87="","",IF(U87="","Открыт","Рассчитан"))</x:f>
      </x:c>
      <x:c r="X87" s="98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IF(U88="Выигрыш",J88-1,IF(U88="Поражение",-1,IF(U88="Возврат",0,IF(U88="Полувыигрыш",(J88-1)/2,IF(U88="Полупроигрыш",-0.5,"")))))</x:f>
      </x:c>
      <x:c r="W88" s="80" t="str">
        <x:f>IF(A88="","",IF(U88="","Открыт","Рассчитан"))</x:f>
      </x:c>
      <x:c r="X88" s="98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IF(U89="Выигрыш",J89-1,IF(U89="Поражение",-1,IF(U89="Возврат",0,IF(U89="Полувыигрыш",(J89-1)/2,IF(U89="Полупроигрыш",-0.5,"")))))</x:f>
      </x:c>
      <x:c r="W89" s="80" t="str">
        <x:f>IF(A89="","",IF(U89="","Открыт","Рассчитан"))</x:f>
      </x:c>
      <x:c r="X89" s="98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IF(U90="Выигрыш",J90-1,IF(U90="Поражение",-1,IF(U90="Возврат",0,IF(U90="Полувыигрыш",(J90-1)/2,IF(U90="Полупроигрыш",-0.5,"")))))</x:f>
      </x:c>
      <x:c r="W90" s="80" t="str">
        <x:f>IF(A90="","",IF(U90="","Открыт","Рассчитан"))</x:f>
      </x:c>
      <x:c r="X90" s="98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IF(U91="Выигрыш",J91-1,IF(U91="Поражение",-1,IF(U91="Возврат",0,IF(U91="Полувыигрыш",(J91-1)/2,IF(U91="Полупроигрыш",-0.5,"")))))</x:f>
      </x:c>
      <x:c r="W91" s="80" t="str">
        <x:f>IF(A91="","",IF(U91="","Открыт","Рассчитан"))</x:f>
      </x:c>
      <x:c r="X91" s="98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IF(U92="Выигрыш",J92-1,IF(U92="Поражение",-1,IF(U92="Возврат",0,IF(U92="Полувыигрыш",(J92-1)/2,IF(U92="Полупроигрыш",-0.5,"")))))</x:f>
      </x:c>
      <x:c r="W92" s="80" t="str">
        <x:f>IF(A92="","",IF(U92="","Открыт","Рассчитан"))</x:f>
      </x:c>
      <x:c r="X92" s="98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IF(U93="Выигрыш",J93-1,IF(U93="Поражение",-1,IF(U93="Возврат",0,IF(U93="Полувыигрыш",(J93-1)/2,IF(U93="Полупроигрыш",-0.5,"")))))</x:f>
      </x:c>
      <x:c r="W93" s="80" t="str">
        <x:f>IF(A93="","",IF(U93="","Открыт","Рассчитан"))</x:f>
      </x:c>
      <x:c r="X93" s="98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IF(U94="Выигрыш",J94-1,IF(U94="Поражение",-1,IF(U94="Возврат",0,IF(U94="Полувыигрыш",(J94-1)/2,IF(U94="Полупроигрыш",-0.5,"")))))</x:f>
      </x:c>
      <x:c r="W94" s="80" t="str">
        <x:f>IF(A94="","",IF(U94="","Открыт","Рассчитан"))</x:f>
      </x:c>
      <x:c r="X94" s="98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IF(U95="Выигрыш",J95-1,IF(U95="Поражение",-1,IF(U95="Возврат",0,IF(U95="Полувыигрыш",(J95-1)/2,IF(U95="Полупроигрыш",-0.5,"")))))</x:f>
      </x:c>
      <x:c r="W95" s="80" t="str">
        <x:f>IF(A95="","",IF(U95="","Открыт","Рассчитан"))</x:f>
      </x:c>
      <x:c r="X95" s="98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IF(U96="Выигрыш",J96-1,IF(U96="Поражение",-1,IF(U96="Возврат",0,IF(U96="Полувыигрыш",(J96-1)/2,IF(U96="Полупроигрыш",-0.5,"")))))</x:f>
      </x:c>
      <x:c r="W96" s="80" t="str">
        <x:f>IF(A96="","",IF(U96="","Открыт","Рассчитан"))</x:f>
      </x:c>
      <x:c r="X96" s="98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IF(U97="Выигрыш",J97-1,IF(U97="Поражение",-1,IF(U97="Возврат",0,IF(U97="Полувыигрыш",(J97-1)/2,IF(U97="Полупроигрыш",-0.5,"")))))</x:f>
      </x:c>
      <x:c r="W97" s="80" t="str">
        <x:f>IF(A97="","",IF(U97="","Открыт","Рассчитан"))</x:f>
      </x:c>
      <x:c r="X97" s="98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IF(U98="Выигрыш",J98-1,IF(U98="Поражение",-1,IF(U98="Возврат",0,IF(U98="Полувыигрыш",(J98-1)/2,IF(U98="Полупроигрыш",-0.5,"")))))</x:f>
      </x:c>
      <x:c r="W98" s="80" t="str">
        <x:f>IF(A98="","",IF(U98="","Открыт","Рассчитан"))</x:f>
      </x:c>
      <x:c r="X98" s="98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IF(U99="Выигрыш",J99-1,IF(U99="Поражение",-1,IF(U99="Возврат",0,IF(U99="Полувыигрыш",(J99-1)/2,IF(U99="Полупроигрыш",-0.5,"")))))</x:f>
      </x:c>
      <x:c r="W99" s="80" t="str">
        <x:f>IF(A99="","",IF(U99="","Открыт","Рассчитан"))</x:f>
      </x:c>
      <x:c r="X99" s="98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IF(U100="Выигрыш",J100-1,IF(U100="Поражение",-1,IF(U100="Возврат",0,IF(U100="Полувыигрыш",(J100-1)/2,IF(U100="Полупроигрыш",-0.5,"")))))</x:f>
      </x:c>
      <x:c r="W100" s="80" t="str">
        <x:f>IF(A100="","",IF(U100="","Открыт","Рассчитан"))</x:f>
      </x:c>
      <x:c r="X100" s="98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IF(U101="Выигрыш",J101-1,IF(U101="Поражение",-1,IF(U101="Возврат",0,IF(U101="Полувыигрыш",(J101-1)/2,IF(U101="Полупроигрыш",-0.5,"")))))</x:f>
      </x:c>
      <x:c r="W101" s="80" t="str">
        <x:f>IF(A101="","",IF(U101="","Открыт","Рассчитан"))</x:f>
      </x:c>
      <x:c r="X101" s="98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IF(U102="Выигрыш",J102-1,IF(U102="Поражение",-1,IF(U102="Возврат",0,IF(U102="Полувыигрыш",(J102-1)/2,IF(U102="Полупроигрыш",-0.5,"")))))</x:f>
      </x:c>
      <x:c r="W102" s="80" t="str">
        <x:f>IF(A102="","",IF(U102="","Открыт","Рассчитан"))</x:f>
      </x:c>
      <x:c r="X102" s="98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IF(U103="Выигрыш",J103-1,IF(U103="Поражение",-1,IF(U103="Возврат",0,IF(U103="Полувыигрыш",(J103-1)/2,IF(U103="Полупроигрыш",-0.5,"")))))</x:f>
      </x:c>
      <x:c r="W103" s="80" t="str">
        <x:f>IF(A103="","",IF(U103="","Открыт","Рассчитан"))</x:f>
      </x:c>
      <x:c r="X103" s="98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IF(U104="Выигрыш",J104-1,IF(U104="Поражение",-1,IF(U104="Возврат",0,IF(U104="Полувыигрыш",(J104-1)/2,IF(U104="Полупроигрыш",-0.5,"")))))</x:f>
      </x:c>
      <x:c r="W104" s="80" t="str">
        <x:f>IF(A104="","",IF(U104="","Открыт","Рассчитан"))</x:f>
      </x:c>
      <x:c r="X104" s="98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IF(U105="Выигрыш",J105-1,IF(U105="Поражение",-1,IF(U105="Возврат",0,IF(U105="Полувыигрыш",(J105-1)/2,IF(U105="Полупроигрыш",-0.5,"")))))</x:f>
      </x:c>
      <x:c r="W105" s="80" t="str">
        <x:f>IF(A105="","",IF(U105="","Открыт","Рассчитан"))</x:f>
      </x:c>
      <x:c r="X105" s="98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IF(U106="Выигрыш",J106-1,IF(U106="Поражение",-1,IF(U106="Возврат",0,IF(U106="Полувыигрыш",(J106-1)/2,IF(U106="Полупроигрыш",-0.5,"")))))</x:f>
      </x:c>
      <x:c r="W106" s="80" t="str">
        <x:f>IF(A106="","",IF(U106="","Открыт","Рассчитан"))</x:f>
      </x:c>
      <x:c r="X106" s="98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IF(U107="Выигрыш",J107-1,IF(U107="Поражение",-1,IF(U107="Возврат",0,IF(U107="Полувыигрыш",(J107-1)/2,IF(U107="Полупроигрыш",-0.5,"")))))</x:f>
      </x:c>
      <x:c r="W107" s="80" t="str">
        <x:f>IF(A107="","",IF(U107="","Открыт","Рассчитан"))</x:f>
      </x:c>
      <x:c r="X107" s="98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IF(U108="Выигрыш",J108-1,IF(U108="Поражение",-1,IF(U108="Возврат",0,IF(U108="Полувыигрыш",(J108-1)/2,IF(U108="Полупроигрыш",-0.5,"")))))</x:f>
      </x:c>
      <x:c r="W108" s="80" t="str">
        <x:f>IF(A108="","",IF(U108="","Открыт","Рассчитан"))</x:f>
      </x:c>
      <x:c r="X108" s="98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IF(U109="Выигрыш",J109-1,IF(U109="Поражение",-1,IF(U109="Возврат",0,IF(U109="Полувыигрыш",(J109-1)/2,IF(U109="Полупроигрыш",-0.5,"")))))</x:f>
      </x:c>
      <x:c r="W109" s="80" t="str">
        <x:f>IF(A109="","",IF(U109="","Открыт","Рассчитан"))</x:f>
      </x:c>
      <x:c r="X109" s="98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IF(U110="Выигрыш",J110-1,IF(U110="Поражение",-1,IF(U110="Возврат",0,IF(U110="Полувыигрыш",(J110-1)/2,IF(U110="Полупроигрыш",-0.5,"")))))</x:f>
      </x:c>
      <x:c r="W110" s="80" t="str">
        <x:f>IF(A110="","",IF(U110="","Открыт","Рассчитан"))</x:f>
      </x:c>
      <x:c r="X110" s="98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IF(U111="Выигрыш",J111-1,IF(U111="Поражение",-1,IF(U111="Возврат",0,IF(U111="Полувыигрыш",(J111-1)/2,IF(U111="Полупроигрыш",-0.5,"")))))</x:f>
      </x:c>
      <x:c r="W111" s="80" t="str">
        <x:f>IF(A111="","",IF(U111="","Открыт","Рассчитан"))</x:f>
      </x:c>
      <x:c r="X111" s="98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IF(U112="Выигрыш",J112-1,IF(U112="Поражение",-1,IF(U112="Возврат",0,IF(U112="Полувыигрыш",(J112-1)/2,IF(U112="Полупроигрыш",-0.5,"")))))</x:f>
      </x:c>
      <x:c r="W112" s="80" t="str">
        <x:f>IF(A112="","",IF(U112="","Открыт","Рассчитан"))</x:f>
      </x:c>
      <x:c r="X112" s="98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IF(U113="Выигрыш",J113-1,IF(U113="Поражение",-1,IF(U113="Возврат",0,IF(U113="Полувыигрыш",(J113-1)/2,IF(U113="Полупроигрыш",-0.5,"")))))</x:f>
      </x:c>
      <x:c r="W113" s="80" t="str">
        <x:f>IF(A113="","",IF(U113="","Открыт","Рассчитан"))</x:f>
      </x:c>
      <x:c r="X113" s="98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IF(U114="Выигрыш",J114-1,IF(U114="Поражение",-1,IF(U114="Возврат",0,IF(U114="Полувыигрыш",(J114-1)/2,IF(U114="Полупроигрыш",-0.5,"")))))</x:f>
      </x:c>
      <x:c r="W114" s="80" t="str">
        <x:f>IF(A114="","",IF(U114="","Открыт","Рассчитан"))</x:f>
      </x:c>
      <x:c r="X114" s="98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IF(U115="Выигрыш",J115-1,IF(U115="Поражение",-1,IF(U115="Возврат",0,IF(U115="Полувыигрыш",(J115-1)/2,IF(U115="Полупроигрыш",-0.5,"")))))</x:f>
      </x:c>
      <x:c r="W115" s="80" t="str">
        <x:f>IF(A115="","",IF(U115="","Открыт","Рассчитан"))</x:f>
      </x:c>
      <x:c r="X115" s="98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IF(U116="Выигрыш",J116-1,IF(U116="Поражение",-1,IF(U116="Возврат",0,IF(U116="Полувыигрыш",(J116-1)/2,IF(U116="Полупроигрыш",-0.5,"")))))</x:f>
      </x:c>
      <x:c r="W116" s="80" t="str">
        <x:f>IF(A116="","",IF(U116="","Открыт","Рассчитан"))</x:f>
      </x:c>
      <x:c r="X116" s="98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IF(U117="Выигрыш",J117-1,IF(U117="Поражение",-1,IF(U117="Возврат",0,IF(U117="Полувыигрыш",(J117-1)/2,IF(U117="Полупроигрыш",-0.5,"")))))</x:f>
      </x:c>
      <x:c r="W117" s="80" t="str">
        <x:f>IF(A117="","",IF(U117="","Открыт","Рассчитан"))</x:f>
      </x:c>
      <x:c r="X117" s="98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IF(U118="Выигрыш",J118-1,IF(U118="Поражение",-1,IF(U118="Возврат",0,IF(U118="Полувыигрыш",(J118-1)/2,IF(U118="Полупроигрыш",-0.5,"")))))</x:f>
      </x:c>
      <x:c r="W118" s="80" t="str">
        <x:f>IF(A118="","",IF(U118="","Открыт","Рассчитан"))</x:f>
      </x:c>
      <x:c r="X118" s="98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IF(U119="Выигрыш",J119-1,IF(U119="Поражение",-1,IF(U119="Возврат",0,IF(U119="Полувыигрыш",(J119-1)/2,IF(U119="Полупроигрыш",-0.5,"")))))</x:f>
      </x:c>
      <x:c r="W119" s="80" t="str">
        <x:f>IF(A119="","",IF(U119="","Открыт","Рассчитан"))</x:f>
      </x:c>
      <x:c r="X119" s="98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IF(U120="Выигрыш",J120-1,IF(U120="Поражение",-1,IF(U120="Возврат",0,IF(U120="Полувыигрыш",(J120-1)/2,IF(U120="Полупроигрыш",-0.5,"")))))</x:f>
      </x:c>
      <x:c r="W120" s="80" t="str">
        <x:f>IF(A120="","",IF(U120="","Открыт","Рассчитан"))</x:f>
      </x:c>
      <x:c r="X120" s="98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IF(U121="Выигрыш",J121-1,IF(U121="Поражение",-1,IF(U121="Возврат",0,IF(U121="Полувыигрыш",(J121-1)/2,IF(U121="Полупроигрыш",-0.5,"")))))</x:f>
      </x:c>
      <x:c r="W121" s="80" t="str">
        <x:f>IF(A121="","",IF(U121="","Открыт","Рассчитан"))</x:f>
      </x:c>
      <x:c r="X121" s="98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IF(U122="Выигрыш",J122-1,IF(U122="Поражение",-1,IF(U122="Возврат",0,IF(U122="Полувыигрыш",(J122-1)/2,IF(U122="Полупроигрыш",-0.5,"")))))</x:f>
      </x:c>
      <x:c r="W122" s="80" t="str">
        <x:f>IF(A122="","",IF(U122="","Открыт","Рассчитан"))</x:f>
      </x:c>
      <x:c r="X122" s="98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IF(U123="Выигрыш",J123-1,IF(U123="Поражение",-1,IF(U123="Возврат",0,IF(U123="Полувыигрыш",(J123-1)/2,IF(U123="Полупроигрыш",-0.5,"")))))</x:f>
      </x:c>
      <x:c r="W123" s="80" t="str">
        <x:f>IF(A123="","",IF(U123="","Открыт","Рассчитан"))</x:f>
      </x:c>
      <x:c r="X123" s="98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IF(U124="Выигрыш",J124-1,IF(U124="Поражение",-1,IF(U124="Возврат",0,IF(U124="Полувыигрыш",(J124-1)/2,IF(U124="Полупроигрыш",-0.5,"")))))</x:f>
      </x:c>
      <x:c r="W124" s="80" t="str">
        <x:f>IF(A124="","",IF(U124="","Открыт","Рассчитан"))</x:f>
      </x:c>
      <x:c r="X124" s="98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IF(U125="Выигрыш",J125-1,IF(U125="Поражение",-1,IF(U125="Возврат",0,IF(U125="Полувыигрыш",(J125-1)/2,IF(U125="Полупроигрыш",-0.5,"")))))</x:f>
      </x:c>
      <x:c r="W125" s="80" t="str">
        <x:f>IF(A125="","",IF(U125="","Открыт","Рассчитан"))</x:f>
      </x:c>
      <x:c r="X125" s="98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IF(U126="Выигрыш",J126-1,IF(U126="Поражение",-1,IF(U126="Возврат",0,IF(U126="Полувыигрыш",(J126-1)/2,IF(U126="Полупроигрыш",-0.5,"")))))</x:f>
      </x:c>
      <x:c r="W126" s="80" t="str">
        <x:f>IF(A126="","",IF(U126="","Открыт","Рассчитан"))</x:f>
      </x:c>
      <x:c r="X126" s="98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IF(U127="Выигрыш",J127-1,IF(U127="Поражение",-1,IF(U127="Возврат",0,IF(U127="Полувыигрыш",(J127-1)/2,IF(U127="Полупроигрыш",-0.5,"")))))</x:f>
      </x:c>
      <x:c r="W127" s="80" t="str">
        <x:f>IF(A127="","",IF(U127="","Открыт","Рассчитан"))</x:f>
      </x:c>
      <x:c r="X127" s="98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IF(U128="Выигрыш",J128-1,IF(U128="Поражение",-1,IF(U128="Возврат",0,IF(U128="Полувыигрыш",(J128-1)/2,IF(U128="Полупроигрыш",-0.5,"")))))</x:f>
      </x:c>
      <x:c r="W128" s="80" t="str">
        <x:f>IF(A128="","",IF(U128="","Открыт","Рассчитан"))</x:f>
      </x:c>
      <x:c r="X128" s="98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IF(U129="Выигрыш",J129-1,IF(U129="Поражение",-1,IF(U129="Возврат",0,IF(U129="Полувыигрыш",(J129-1)/2,IF(U129="Полупроигрыш",-0.5,"")))))</x:f>
      </x:c>
      <x:c r="W129" s="80" t="str">
        <x:f>IF(A129="","",IF(U129="","Открыт","Рассчитан"))</x:f>
      </x:c>
      <x:c r="X129" s="98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IF(U130="Выигрыш",J130-1,IF(U130="Поражение",-1,IF(U130="Возврат",0,IF(U130="Полувыигрыш",(J130-1)/2,IF(U130="Полупроигрыш",-0.5,"")))))</x:f>
      </x:c>
      <x:c r="W130" s="80" t="str">
        <x:f>IF(A130="","",IF(U130="","Открыт","Рассчитан"))</x:f>
      </x:c>
      <x:c r="X130" s="98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IF(U131="Выигрыш",J131-1,IF(U131="Поражение",-1,IF(U131="Возврат",0,IF(U131="Полувыигрыш",(J131-1)/2,IF(U131="Полупроигрыш",-0.5,"")))))</x:f>
      </x:c>
      <x:c r="W131" s="80" t="str">
        <x:f>IF(A131="","",IF(U131="","Открыт","Рассчитан"))</x:f>
      </x:c>
      <x:c r="X131" s="98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IF(U132="Выигрыш",J132-1,IF(U132="Поражение",-1,IF(U132="Возврат",0,IF(U132="Полувыигрыш",(J132-1)/2,IF(U132="Полупроигрыш",-0.5,"")))))</x:f>
      </x:c>
      <x:c r="W132" s="80" t="str">
        <x:f>IF(A132="","",IF(U132="","Открыт","Рассчитан"))</x:f>
      </x:c>
      <x:c r="X132" s="98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IF(U133="Выигрыш",J133-1,IF(U133="Поражение",-1,IF(U133="Возврат",0,IF(U133="Полувыигрыш",(J133-1)/2,IF(U133="Полупроигрыш",-0.5,"")))))</x:f>
      </x:c>
      <x:c r="W133" s="80" t="str">
        <x:f>IF(A133="","",IF(U133="","Открыт","Рассчитан"))</x:f>
      </x:c>
      <x:c r="X133" s="98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IF(U134="Выигрыш",J134-1,IF(U134="Поражение",-1,IF(U134="Возврат",0,IF(U134="Полувыигрыш",(J134-1)/2,IF(U134="Полупроигрыш",-0.5,"")))))</x:f>
      </x:c>
      <x:c r="W134" s="80" t="str">
        <x:f>IF(A134="","",IF(U134="","Открыт","Рассчитан"))</x:f>
      </x:c>
      <x:c r="X134" s="98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IF(U135="Выигрыш",J135-1,IF(U135="Поражение",-1,IF(U135="Возврат",0,IF(U135="Полувыигрыш",(J135-1)/2,IF(U135="Полупроигрыш",-0.5,"")))))</x:f>
      </x:c>
      <x:c r="W135" s="80" t="str">
        <x:f>IF(A135="","",IF(U135="","Открыт","Рассчитан"))</x:f>
      </x:c>
      <x:c r="X135" s="98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IF(U136="Выигрыш",J136-1,IF(U136="Поражение",-1,IF(U136="Возврат",0,IF(U136="Полувыигрыш",(J136-1)/2,IF(U136="Полупроигрыш",-0.5,"")))))</x:f>
      </x:c>
      <x:c r="W136" s="80" t="str">
        <x:f>IF(A136="","",IF(U136="","Открыт","Рассчитан"))</x:f>
      </x:c>
      <x:c r="X136" s="98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IF(U137="Выигрыш",J137-1,IF(U137="Поражение",-1,IF(U137="Возврат",0,IF(U137="Полувыигрыш",(J137-1)/2,IF(U137="Полупроигрыш",-0.5,"")))))</x:f>
      </x:c>
      <x:c r="W137" s="80" t="str">
        <x:f>IF(A137="","",IF(U137="","Открыт","Рассчитан"))</x:f>
      </x:c>
      <x:c r="X137" s="98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IF(U138="Выигрыш",J138-1,IF(U138="Поражение",-1,IF(U138="Возврат",0,IF(U138="Полувыигрыш",(J138-1)/2,IF(U138="Полупроигрыш",-0.5,"")))))</x:f>
      </x:c>
      <x:c r="W138" s="80" t="str">
        <x:f>IF(A138="","",IF(U138="","Открыт","Рассчитан"))</x:f>
      </x:c>
      <x:c r="X138" s="98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IF(U139="Выигрыш",J139-1,IF(U139="Поражение",-1,IF(U139="Возврат",0,IF(U139="Полувыигрыш",(J139-1)/2,IF(U139="Полупроигрыш",-0.5,"")))))</x:f>
      </x:c>
      <x:c r="W139" s="80" t="str">
        <x:f>IF(A139="","",IF(U139="","Открыт","Рассчитан"))</x:f>
      </x:c>
      <x:c r="X139" s="98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IF(U140="Выигрыш",J140-1,IF(U140="Поражение",-1,IF(U140="Возврат",0,IF(U140="Полувыигрыш",(J140-1)/2,IF(U140="Полупроигрыш",-0.5,"")))))</x:f>
      </x:c>
      <x:c r="W140" s="80" t="str">
        <x:f>IF(A140="","",IF(U140="","Открыт","Рассчитан"))</x:f>
      </x:c>
      <x:c r="X140" s="98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IF(U141="Выигрыш",J141-1,IF(U141="Поражение",-1,IF(U141="Возврат",0,IF(U141="Полувыигрыш",(J141-1)/2,IF(U141="Полупроигрыш",-0.5,"")))))</x:f>
      </x:c>
      <x:c r="W141" s="80" t="str">
        <x:f>IF(A141="","",IF(U141="","Открыт","Рассчитан"))</x:f>
      </x:c>
      <x:c r="X141" s="98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IF(U142="Выигрыш",J142-1,IF(U142="Поражение",-1,IF(U142="Возврат",0,IF(U142="Полувыигрыш",(J142-1)/2,IF(U142="Полупроигрыш",-0.5,"")))))</x:f>
      </x:c>
      <x:c r="W142" s="80" t="str">
        <x:f>IF(A142="","",IF(U142="","Открыт","Рассчитан"))</x:f>
      </x:c>
      <x:c r="X142" s="98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IF(U143="Выигрыш",J143-1,IF(U143="Поражение",-1,IF(U143="Возврат",0,IF(U143="Полувыигрыш",(J143-1)/2,IF(U143="Полупроигрыш",-0.5,"")))))</x:f>
      </x:c>
      <x:c r="W143" s="80" t="str">
        <x:f>IF(A143="","",IF(U143="","Открыт","Рассчитан"))</x:f>
      </x:c>
      <x:c r="X143" s="98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IF(U144="Выигрыш",J144-1,IF(U144="Поражение",-1,IF(U144="Возврат",0,IF(U144="Полувыигрыш",(J144-1)/2,IF(U144="Полупроигрыш",-0.5,"")))))</x:f>
      </x:c>
      <x:c r="W144" s="80" t="str">
        <x:f>IF(A144="","",IF(U144="","Открыт","Рассчитан"))</x:f>
      </x:c>
      <x:c r="X144" s="98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IF(U145="Выигрыш",J145-1,IF(U145="Поражение",-1,IF(U145="Возврат",0,IF(U145="Полувыигрыш",(J145-1)/2,IF(U145="Полупроигрыш",-0.5,"")))))</x:f>
      </x:c>
      <x:c r="W145" s="80" t="str">
        <x:f>IF(A145="","",IF(U145="","Открыт","Рассчитан"))</x:f>
      </x:c>
      <x:c r="X145" s="98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IF(U146="Выигрыш",J146-1,IF(U146="Поражение",-1,IF(U146="Возврат",0,IF(U146="Полувыигрыш",(J146-1)/2,IF(U146="Полупроигрыш",-0.5,"")))))</x:f>
      </x:c>
      <x:c r="W146" s="80" t="str">
        <x:f>IF(A146="","",IF(U146="","Открыт","Рассчитан"))</x:f>
      </x:c>
      <x:c r="X146" s="98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IF(U147="Выигрыш",J147-1,IF(U147="Поражение",-1,IF(U147="Возврат",0,IF(U147="Полувыигрыш",(J147-1)/2,IF(U147="Полупроигрыш",-0.5,"")))))</x:f>
      </x:c>
      <x:c r="W147" s="80" t="str">
        <x:f>IF(A147="","",IF(U147="","Открыт","Рассчитан"))</x:f>
      </x:c>
      <x:c r="X147" s="98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IF(U148="Выигрыш",J148-1,IF(U148="Поражение",-1,IF(U148="Возврат",0,IF(U148="Полувыигрыш",(J148-1)/2,IF(U148="Полупроигрыш",-0.5,"")))))</x:f>
      </x:c>
      <x:c r="W148" s="80" t="str">
        <x:f>IF(A148="","",IF(U148="","Открыт","Рассчитан"))</x:f>
      </x:c>
      <x:c r="X148" s="98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IF(U149="Выигрыш",J149-1,IF(U149="Поражение",-1,IF(U149="Возврат",0,IF(U149="Полувыигрыш",(J149-1)/2,IF(U149="Полупроигрыш",-0.5,"")))))</x:f>
      </x:c>
      <x:c r="W149" s="80" t="str">
        <x:f>IF(A149="","",IF(U149="","Открыт","Рассчитан"))</x:f>
      </x:c>
      <x:c r="X149" s="98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IF(U150="Выигрыш",J150-1,IF(U150="Поражение",-1,IF(U150="Возврат",0,IF(U150="Полувыигрыш",(J150-1)/2,IF(U150="Полупроигрыш",-0.5,"")))))</x:f>
      </x:c>
      <x:c r="W150" s="80" t="str">
        <x:f>IF(A150="","",IF(U150="","Открыт","Рассчитан"))</x:f>
      </x:c>
      <x:c r="X150" s="98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IF(U151="Выигрыш",J151-1,IF(U151="Поражение",-1,IF(U151="Возврат",0,IF(U151="Полувыигрыш",(J151-1)/2,IF(U151="Полупроигрыш",-0.5,"")))))</x:f>
      </x:c>
      <x:c r="W151" s="80" t="str">
        <x:f>IF(A151="","",IF(U151="","Открыт","Рассчитан"))</x:f>
      </x:c>
      <x:c r="X151" s="98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IF(U152="Выигрыш",J152-1,IF(U152="Поражение",-1,IF(U152="Возврат",0,IF(U152="Полувыигрыш",(J152-1)/2,IF(U152="Полупроигрыш",-0.5,"")))))</x:f>
      </x:c>
      <x:c r="W152" s="80" t="str">
        <x:f>IF(A152="","",IF(U152="","Открыт","Рассчитан"))</x:f>
      </x:c>
      <x:c r="X152" s="98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IF(U153="Выигрыш",J153-1,IF(U153="Поражение",-1,IF(U153="Возврат",0,IF(U153="Полувыигрыш",(J153-1)/2,IF(U153="Полупроигрыш",-0.5,"")))))</x:f>
      </x:c>
      <x:c r="W153" s="80" t="str">
        <x:f>IF(A153="","",IF(U153="","Открыт","Рассчитан"))</x:f>
      </x:c>
      <x:c r="X153" s="98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IF(U154="Выигрыш",J154-1,IF(U154="Поражение",-1,IF(U154="Возврат",0,IF(U154="Полувыигрыш",(J154-1)/2,IF(U154="Полупроигрыш",-0.5,"")))))</x:f>
      </x:c>
      <x:c r="W154" s="80" t="str">
        <x:f>IF(A154="","",IF(U154="","Открыт","Рассчитан"))</x:f>
      </x:c>
      <x:c r="X154" s="98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IF(U155="Выигрыш",J155-1,IF(U155="Поражение",-1,IF(U155="Возврат",0,IF(U155="Полувыигрыш",(J155-1)/2,IF(U155="Полупроигрыш",-0.5,"")))))</x:f>
      </x:c>
      <x:c r="W155" s="80" t="str">
        <x:f>IF(A155="","",IF(U155="","Открыт","Рассчитан"))</x:f>
      </x:c>
      <x:c r="X155" s="98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IF(U156="Выигрыш",J156-1,IF(U156="Поражение",-1,IF(U156="Возврат",0,IF(U156="Полувыигрыш",(J156-1)/2,IF(U156="Полупроигрыш",-0.5,"")))))</x:f>
      </x:c>
      <x:c r="W156" s="80" t="str">
        <x:f>IF(A156="","",IF(U156="","Открыт","Рассчитан"))</x:f>
      </x:c>
      <x:c r="X156" s="98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IF(U157="Выигрыш",J157-1,IF(U157="Поражение",-1,IF(U157="Возврат",0,IF(U157="Полувыигрыш",(J157-1)/2,IF(U157="Полупроигрыш",-0.5,"")))))</x:f>
      </x:c>
      <x:c r="W157" s="80" t="str">
        <x:f>IF(A157="","",IF(U157="","Открыт","Рассчитан"))</x:f>
      </x:c>
      <x:c r="X157" s="98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IF(U158="Выигрыш",J158-1,IF(U158="Поражение",-1,IF(U158="Возврат",0,IF(U158="Полувыигрыш",(J158-1)/2,IF(U158="Полупроигрыш",-0.5,"")))))</x:f>
      </x:c>
      <x:c r="W158" s="80" t="str">
        <x:f>IF(A158="","",IF(U158="","Открыт","Рассчитан"))</x:f>
      </x:c>
      <x:c r="X158" s="98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IF(U159="Выигрыш",J159-1,IF(U159="Поражение",-1,IF(U159="Возврат",0,IF(U159="Полувыигрыш",(J159-1)/2,IF(U159="Полупроигрыш",-0.5,"")))))</x:f>
      </x:c>
      <x:c r="W159" s="80" t="str">
        <x:f>IF(A159="","",IF(U159="","Открыт","Рассчитан"))</x:f>
      </x:c>
      <x:c r="X159" s="98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IF(U160="Выигрыш",J160-1,IF(U160="Поражение",-1,IF(U160="Возврат",0,IF(U160="Полувыигрыш",(J160-1)/2,IF(U160="Полупроигрыш",-0.5,"")))))</x:f>
      </x:c>
      <x:c r="W160" s="80" t="str">
        <x:f>IF(A160="","",IF(U160="","Открыт","Рассчитан"))</x:f>
      </x:c>
      <x:c r="X160" s="98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IF(U161="Выигрыш",J161-1,IF(U161="Поражение",-1,IF(U161="Возврат",0,IF(U161="Полувыигрыш",(J161-1)/2,IF(U161="Полупроигрыш",-0.5,"")))))</x:f>
      </x:c>
      <x:c r="W161" s="80" t="str">
        <x:f>IF(A161="","",IF(U161="","Открыт","Рассчитан"))</x:f>
      </x:c>
      <x:c r="X161" s="98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IF(U162="Выигрыш",J162-1,IF(U162="Поражение",-1,IF(U162="Возврат",0,IF(U162="Полувыигрыш",(J162-1)/2,IF(U162="Полупроигрыш",-0.5,"")))))</x:f>
      </x:c>
      <x:c r="W162" s="80" t="str">
        <x:f>IF(A162="","",IF(U162="","Открыт","Рассчитан"))</x:f>
      </x:c>
      <x:c r="X162" s="98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IF(U163="Выигрыш",J163-1,IF(U163="Поражение",-1,IF(U163="Возврат",0,IF(U163="Полувыигрыш",(J163-1)/2,IF(U163="Полупроигрыш",-0.5,"")))))</x:f>
      </x:c>
      <x:c r="W163" s="80" t="str">
        <x:f>IF(A163="","",IF(U163="","Открыт","Рассчитан"))</x:f>
      </x:c>
      <x:c r="X163" s="98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IF(U164="Выигрыш",J164-1,IF(U164="Поражение",-1,IF(U164="Возврат",0,IF(U164="Полувыигрыш",(J164-1)/2,IF(U164="Полупроигрыш",-0.5,"")))))</x:f>
      </x:c>
      <x:c r="W164" s="80" t="str">
        <x:f>IF(A164="","",IF(U164="","Открыт","Рассчитан"))</x:f>
      </x:c>
      <x:c r="X164" s="98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IF(U165="Выигрыш",J165-1,IF(U165="Поражение",-1,IF(U165="Возврат",0,IF(U165="Полувыигрыш",(J165-1)/2,IF(U165="Полупроигрыш",-0.5,"")))))</x:f>
      </x:c>
      <x:c r="W165" s="80" t="str">
        <x:f>IF(A165="","",IF(U165="","Открыт","Рассчитан"))</x:f>
      </x:c>
      <x:c r="X165" s="98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IF(U166="Выигрыш",J166-1,IF(U166="Поражение",-1,IF(U166="Возврат",0,IF(U166="Полувыигрыш",(J166-1)/2,IF(U166="Полупроигрыш",-0.5,"")))))</x:f>
      </x:c>
      <x:c r="W166" s="80" t="str">
        <x:f>IF(A166="","",IF(U166="","Открыт","Рассчитан"))</x:f>
      </x:c>
      <x:c r="X166" s="98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IF(U167="Выигрыш",J167-1,IF(U167="Поражение",-1,IF(U167="Возврат",0,IF(U167="Полувыигрыш",(J167-1)/2,IF(U167="Полупроигрыш",-0.5,"")))))</x:f>
      </x:c>
      <x:c r="W167" s="80" t="str">
        <x:f>IF(A167="","",IF(U167="","Открыт","Рассчитан"))</x:f>
      </x:c>
      <x:c r="X167" s="98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IF(U168="Выигрыш",J168-1,IF(U168="Поражение",-1,IF(U168="Возврат",0,IF(U168="Полувыигрыш",(J168-1)/2,IF(U168="Полупроигрыш",-0.5,"")))))</x:f>
      </x:c>
      <x:c r="W168" s="80" t="str">
        <x:f>IF(A168="","",IF(U168="","Открыт","Рассчитан"))</x:f>
      </x:c>
      <x:c r="X168" s="98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IF(U169="Выигрыш",J169-1,IF(U169="Поражение",-1,IF(U169="Возврат",0,IF(U169="Полувыигрыш",(J169-1)/2,IF(U169="Полупроигрыш",-0.5,"")))))</x:f>
      </x:c>
      <x:c r="W169" s="80" t="str">
        <x:f>IF(A169="","",IF(U169="","Открыт","Рассчитан"))</x:f>
      </x:c>
      <x:c r="X169" s="98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IF(U170="Выигрыш",J170-1,IF(U170="Поражение",-1,IF(U170="Возврат",0,IF(U170="Полувыигрыш",(J170-1)/2,IF(U170="Полупроигрыш",-0.5,"")))))</x:f>
      </x:c>
      <x:c r="W170" s="80" t="str">
        <x:f>IF(A170="","",IF(U170="","Открыт","Рассчитан"))</x:f>
      </x:c>
      <x:c r="X170" s="98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IF(U171="Выигрыш",J171-1,IF(U171="Поражение",-1,IF(U171="Возврат",0,IF(U171="Полувыигрыш",(J171-1)/2,IF(U171="Полупроигрыш",-0.5,"")))))</x:f>
      </x:c>
      <x:c r="W171" s="80" t="str">
        <x:f>IF(A171="","",IF(U171="","Открыт","Рассчитан"))</x:f>
      </x:c>
      <x:c r="X171" s="98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IF(U172="Выигрыш",J172-1,IF(U172="Поражение",-1,IF(U172="Возврат",0,IF(U172="Полувыигрыш",(J172-1)/2,IF(U172="Полупроигрыш",-0.5,"")))))</x:f>
      </x:c>
      <x:c r="W172" s="80" t="str">
        <x:f>IF(A172="","",IF(U172="","Открыт","Рассчитан"))</x:f>
      </x:c>
      <x:c r="X172" s="98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IF(U173="Выигрыш",J173-1,IF(U173="Поражение",-1,IF(U173="Возврат",0,IF(U173="Полувыигрыш",(J173-1)/2,IF(U173="Полупроигрыш",-0.5,"")))))</x:f>
      </x:c>
      <x:c r="W173" s="80" t="str">
        <x:f>IF(A173="","",IF(U173="","Открыт","Рассчитан"))</x:f>
      </x:c>
      <x:c r="X173" s="98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IF(U174="Выигрыш",J174-1,IF(U174="Поражение",-1,IF(U174="Возврат",0,IF(U174="Полувыигрыш",(J174-1)/2,IF(U174="Полупроигрыш",-0.5,"")))))</x:f>
      </x:c>
      <x:c r="W174" s="80" t="str">
        <x:f>IF(A174="","",IF(U174="","Открыт","Рассчитан"))</x:f>
      </x:c>
      <x:c r="X174" s="98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IF(U175="Выигрыш",J175-1,IF(U175="Поражение",-1,IF(U175="Возврат",0,IF(U175="Полувыигрыш",(J175-1)/2,IF(U175="Полупроигрыш",-0.5,"")))))</x:f>
      </x:c>
      <x:c r="W175" s="80" t="str">
        <x:f>IF(A175="","",IF(U175="","Открыт","Рассчитан"))</x:f>
      </x:c>
      <x:c r="X175" s="98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IF(U176="Выигрыш",J176-1,IF(U176="Поражение",-1,IF(U176="Возврат",0,IF(U176="Полувыигрыш",(J176-1)/2,IF(U176="Полупроигрыш",-0.5,"")))))</x:f>
      </x:c>
      <x:c r="W176" s="80" t="str">
        <x:f>IF(A176="","",IF(U176="","Открыт","Рассчитан"))</x:f>
      </x:c>
      <x:c r="X176" s="98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IF(U177="Выигрыш",J177-1,IF(U177="Поражение",-1,IF(U177="Возврат",0,IF(U177="Полувыигрыш",(J177-1)/2,IF(U177="Полупроигрыш",-0.5,"")))))</x:f>
      </x:c>
      <x:c r="W177" s="80" t="str">
        <x:f>IF(A177="","",IF(U177="","Открыт","Рассчитан"))</x:f>
      </x:c>
      <x:c r="X177" s="98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IF(U178="Выигрыш",J178-1,IF(U178="Поражение",-1,IF(U178="Возврат",0,IF(U178="Полувыигрыш",(J178-1)/2,IF(U178="Полупроигрыш",-0.5,"")))))</x:f>
      </x:c>
      <x:c r="W178" s="80" t="str">
        <x:f>IF(A178="","",IF(U178="","Открыт","Рассчитан"))</x:f>
      </x:c>
      <x:c r="X178" s="98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IF(U179="Выигрыш",J179-1,IF(U179="Поражение",-1,IF(U179="Возврат",0,IF(U179="Полувыигрыш",(J179-1)/2,IF(U179="Полупроигрыш",-0.5,"")))))</x:f>
      </x:c>
      <x:c r="W179" s="80" t="str">
        <x:f>IF(A179="","",IF(U179="","Открыт","Рассчитан"))</x:f>
      </x:c>
      <x:c r="X179" s="98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IF(U180="Выигрыш",J180-1,IF(U180="Поражение",-1,IF(U180="Возврат",0,IF(U180="Полувыигрыш",(J180-1)/2,IF(U180="Полупроигрыш",-0.5,"")))))</x:f>
      </x:c>
      <x:c r="W180" s="80" t="str">
        <x:f>IF(A180="","",IF(U180="","Открыт","Рассчитан"))</x:f>
      </x:c>
      <x:c r="X180" s="98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IF(U181="Выигрыш",J181-1,IF(U181="Поражение",-1,IF(U181="Возврат",0,IF(U181="Полувыигрыш",(J181-1)/2,IF(U181="Полупроигрыш",-0.5,"")))))</x:f>
      </x:c>
      <x:c r="W181" s="80" t="str">
        <x:f>IF(A181="","",IF(U181="","Открыт","Рассчитан"))</x:f>
      </x:c>
      <x:c r="X181" s="98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IF(U182="Выигрыш",J182-1,IF(U182="Поражение",-1,IF(U182="Возврат",0,IF(U182="Полувыигрыш",(J182-1)/2,IF(U182="Полупроигрыш",-0.5,"")))))</x:f>
      </x:c>
      <x:c r="W182" s="80" t="str">
        <x:f>IF(A182="","",IF(U182="","Открыт","Рассчитан"))</x:f>
      </x:c>
      <x:c r="X182" s="98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IF(U183="Выигрыш",J183-1,IF(U183="Поражение",-1,IF(U183="Возврат",0,IF(U183="Полувыигрыш",(J183-1)/2,IF(U183="Полупроигрыш",-0.5,"")))))</x:f>
      </x:c>
      <x:c r="W183" s="80" t="str">
        <x:f>IF(A183="","",IF(U183="","Открыт","Рассчитан"))</x:f>
      </x:c>
      <x:c r="X183" s="98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IF(U184="Выигрыш",J184-1,IF(U184="Поражение",-1,IF(U184="Возврат",0,IF(U184="Полувыигрыш",(J184-1)/2,IF(U184="Полупроигрыш",-0.5,"")))))</x:f>
      </x:c>
      <x:c r="W184" s="80" t="str">
        <x:f>IF(A184="","",IF(U184="","Открыт","Рассчитан"))</x:f>
      </x:c>
      <x:c r="X184" s="98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IF(U185="Выигрыш",J185-1,IF(U185="Поражение",-1,IF(U185="Возврат",0,IF(U185="Полувыигрыш",(J185-1)/2,IF(U185="Полупроигрыш",-0.5,"")))))</x:f>
      </x:c>
      <x:c r="W185" s="80" t="str">
        <x:f>IF(A185="","",IF(U185="","Открыт","Рассчитан"))</x:f>
      </x:c>
      <x:c r="X185" s="98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IF(U186="Выигрыш",J186-1,IF(U186="Поражение",-1,IF(U186="Возврат",0,IF(U186="Полувыигрыш",(J186-1)/2,IF(U186="Полупроигрыш",-0.5,"")))))</x:f>
      </x:c>
      <x:c r="W186" s="80" t="str">
        <x:f>IF(A186="","",IF(U186="","Открыт","Рассчитан"))</x:f>
      </x:c>
      <x:c r="X186" s="98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IF(U187="Выигрыш",J187-1,IF(U187="Поражение",-1,IF(U187="Возврат",0,IF(U187="Полувыигрыш",(J187-1)/2,IF(U187="Полупроигрыш",-0.5,"")))))</x:f>
      </x:c>
      <x:c r="W187" s="80" t="str">
        <x:f>IF(A187="","",IF(U187="","Открыт","Рассчитан"))</x:f>
      </x:c>
      <x:c r="X187" s="98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IF(U188="Выигрыш",J188-1,IF(U188="Поражение",-1,IF(U188="Возврат",0,IF(U188="Полувыигрыш",(J188-1)/2,IF(U188="Полупроигрыш",-0.5,"")))))</x:f>
      </x:c>
      <x:c r="W188" s="80" t="str">
        <x:f>IF(A188="","",IF(U188="","Открыт","Рассчитан"))</x:f>
      </x:c>
      <x:c r="X188" s="98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IF(U189="Выигрыш",J189-1,IF(U189="Поражение",-1,IF(U189="Возврат",0,IF(U189="Полувыигрыш",(J189-1)/2,IF(U189="Полупроигрыш",-0.5,"")))))</x:f>
      </x:c>
      <x:c r="W189" s="80" t="str">
        <x:f>IF(A189="","",IF(U189="","Открыт","Рассчитан"))</x:f>
      </x:c>
      <x:c r="X189" s="98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IF(U190="Выигрыш",J190-1,IF(U190="Поражение",-1,IF(U190="Возврат",0,IF(U190="Полувыигрыш",(J190-1)/2,IF(U190="Полупроигрыш",-0.5,"")))))</x:f>
      </x:c>
      <x:c r="W190" s="80" t="str">
        <x:f>IF(A190="","",IF(U190="","Открыт","Рассчитан"))</x:f>
      </x:c>
      <x:c r="X190" s="98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IF(U191="Выигрыш",J191-1,IF(U191="Поражение",-1,IF(U191="Возврат",0,IF(U191="Полувыигрыш",(J191-1)/2,IF(U191="Полупроигрыш",-0.5,"")))))</x:f>
      </x:c>
      <x:c r="W191" s="80" t="str">
        <x:f>IF(A191="","",IF(U191="","Открыт","Рассчитан"))</x:f>
      </x:c>
      <x:c r="X191" s="98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IF(U192="Выигрыш",J192-1,IF(U192="Поражение",-1,IF(U192="Возврат",0,IF(U192="Полувыигрыш",(J192-1)/2,IF(U192="Полупроигрыш",-0.5,"")))))</x:f>
      </x:c>
      <x:c r="W192" s="80" t="str">
        <x:f>IF(A192="","",IF(U192="","Открыт","Рассчитан"))</x:f>
      </x:c>
      <x:c r="X192" s="98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IF(U193="Выигрыш",J193-1,IF(U193="Поражение",-1,IF(U193="Возврат",0,IF(U193="Полувыигрыш",(J193-1)/2,IF(U193="Полупроигрыш",-0.5,"")))))</x:f>
      </x:c>
      <x:c r="W193" s="80" t="str">
        <x:f>IF(A193="","",IF(U193="","Открыт","Рассчитан"))</x:f>
      </x:c>
      <x:c r="X193" s="98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IF(U194="Выигрыш",J194-1,IF(U194="Поражение",-1,IF(U194="Возврат",0,IF(U194="Полувыигрыш",(J194-1)/2,IF(U194="Полупроигрыш",-0.5,"")))))</x:f>
      </x:c>
      <x:c r="W194" s="80" t="str">
        <x:f>IF(A194="","",IF(U194="","Открыт","Рассчитан"))</x:f>
      </x:c>
      <x:c r="X194" s="98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IF(U195="Выигрыш",J195-1,IF(U195="Поражение",-1,IF(U195="Возврат",0,IF(U195="Полувыигрыш",(J195-1)/2,IF(U195="Полупроигрыш",-0.5,"")))))</x:f>
      </x:c>
      <x:c r="W195" s="80" t="str">
        <x:f>IF(A195="","",IF(U195="","Открыт","Рассчитан"))</x:f>
      </x:c>
      <x:c r="X195" s="98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IF(U196="Выигрыш",J196-1,IF(U196="Поражение",-1,IF(U196="Возврат",0,IF(U196="Полувыигрыш",(J196-1)/2,IF(U196="Полупроигрыш",-0.5,"")))))</x:f>
      </x:c>
      <x:c r="W196" s="80" t="str">
        <x:f>IF(A196="","",IF(U196="","Открыт","Рассчитан"))</x:f>
      </x:c>
      <x:c r="X196" s="98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IF(U197="Выигрыш",J197-1,IF(U197="Поражение",-1,IF(U197="Возврат",0,IF(U197="Полувыигрыш",(J197-1)/2,IF(U197="Полупроигрыш",-0.5,"")))))</x:f>
      </x:c>
      <x:c r="W197" s="80" t="str">
        <x:f>IF(A197="","",IF(U197="","Открыт","Рассчитан"))</x:f>
      </x:c>
      <x:c r="X197" s="98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IF(U198="Выигрыш",J198-1,IF(U198="Поражение",-1,IF(U198="Возврат",0,IF(U198="Полувыигрыш",(J198-1)/2,IF(U198="Полупроигрыш",-0.5,"")))))</x:f>
      </x:c>
      <x:c r="W198" s="80" t="str">
        <x:f>IF(A198="","",IF(U198="","Открыт","Рассчитан"))</x:f>
      </x:c>
      <x:c r="X198" s="98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IF(U199="Выигрыш",J199-1,IF(U199="Поражение",-1,IF(U199="Возврат",0,IF(U199="Полувыигрыш",(J199-1)/2,IF(U199="Полупроигрыш",-0.5,"")))))</x:f>
      </x:c>
      <x:c r="W199" s="80" t="str">
        <x:f>IF(A199="","",IF(U199="","Открыт","Рассчитан"))</x:f>
      </x:c>
      <x:c r="X199" s="98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IF(U200="Выигрыш",J200-1,IF(U200="Поражение",-1,IF(U200="Возврат",0,IF(U200="Полувыигрыш",(J200-1)/2,IF(U200="Полупроигрыш",-0.5,"")))))</x:f>
      </x:c>
      <x:c r="W200" s="80" t="str">
        <x:f>IF(A200="","",IF(U200="","Открыт","Рассчитан"))</x:f>
      </x:c>
      <x:c r="X200" s="98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IF(U201="Выигрыш",J201-1,IF(U201="Поражение",-1,IF(U201="Возврат",0,IF(U201="Полувыигрыш",(J201-1)/2,IF(U201="Полупроигрыш",-0.5,"")))))</x:f>
      </x:c>
      <x:c r="W201" s="80" t="str">
        <x:f>IF(A201="","",IF(U201="","Открыт","Рассчитан"))</x:f>
      </x:c>
      <x:c r="X201" s="98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IF(U202="Выигрыш",J202-1,IF(U202="Поражение",-1,IF(U202="Возврат",0,IF(U202="Полувыигрыш",(J202-1)/2,IF(U202="Полупроигрыш",-0.5,"")))))</x:f>
      </x:c>
      <x:c r="W202" s="80" t="str">
        <x:f>IF(A202="","",IF(U202="","Открыт","Рассчитан"))</x:f>
      </x:c>
      <x:c r="X202" s="98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IF(U203="Выигрыш",J203-1,IF(U203="Поражение",-1,IF(U203="Возврат",0,IF(U203="Полувыигрыш",(J203-1)/2,IF(U203="Полупроигрыш",-0.5,"")))))</x:f>
      </x:c>
      <x:c r="W203" s="80" t="str">
        <x:f>IF(A203="","",IF(U203="","Открыт","Рассчитан"))</x:f>
      </x:c>
      <x:c r="X203" s="98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IF(U204="Выигрыш",J204-1,IF(U204="Поражение",-1,IF(U204="Возврат",0,IF(U204="Полувыигрыш",(J204-1)/2,IF(U204="Полупроигрыш",-0.5,"")))))</x:f>
      </x:c>
      <x:c r="W204" s="80" t="str">
        <x:f>IF(A204="","",IF(U204="","Открыт","Рассчитан"))</x:f>
      </x:c>
      <x:c r="X204" s="98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IF(U205="Выигрыш",J205-1,IF(U205="Поражение",-1,IF(U205="Возврат",0,IF(U205="Полувыигрыш",(J205-1)/2,IF(U205="Полупроигрыш",-0.5,"")))))</x:f>
      </x:c>
      <x:c r="W205" s="80" t="str">
        <x:f>IF(A205="","",IF(U205="","Открыт","Рассчитан"))</x:f>
      </x:c>
      <x:c r="X205" s="98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IF(U206="Выигрыш",J206-1,IF(U206="Поражение",-1,IF(U206="Возврат",0,IF(U206="Полувыигрыш",(J206-1)/2,IF(U206="Полупроигрыш",-0.5,"")))))</x:f>
      </x:c>
      <x:c r="W206" s="80" t="str">
        <x:f>IF(A206="","",IF(U206="","Открыт","Рассчитан"))</x:f>
      </x:c>
      <x:c r="X206" s="98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IF(U207="Выигрыш",J207-1,IF(U207="Поражение",-1,IF(U207="Возврат",0,IF(U207="Полувыигрыш",(J207-1)/2,IF(U207="Полупроигрыш",-0.5,"")))))</x:f>
      </x:c>
      <x:c r="W207" s="80" t="str">
        <x:f>IF(A207="","",IF(U207="","Открыт","Рассчитан"))</x:f>
      </x:c>
      <x:c r="X207" s="98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IF(U208="Выигрыш",J208-1,IF(U208="Поражение",-1,IF(U208="Возврат",0,IF(U208="Полувыигрыш",(J208-1)/2,IF(U208="Полупроигрыш",-0.5,"")))))</x:f>
      </x:c>
      <x:c r="W208" s="80" t="str">
        <x:f>IF(A208="","",IF(U208="","Открыт","Рассчитан"))</x:f>
      </x:c>
      <x:c r="X208" s="98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IF(U209="Выигрыш",J209-1,IF(U209="Поражение",-1,IF(U209="Возврат",0,IF(U209="Полувыигрыш",(J209-1)/2,IF(U209="Полупроигрыш",-0.5,"")))))</x:f>
      </x:c>
      <x:c r="W209" s="80" t="str">
        <x:f>IF(A209="","",IF(U209="","Открыт","Рассчитан"))</x:f>
      </x:c>
      <x:c r="X209" s="98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IF(U210="Выигрыш",J210-1,IF(U210="Поражение",-1,IF(U210="Возврат",0,IF(U210="Полувыигрыш",(J210-1)/2,IF(U210="Полупроигрыш",-0.5,"")))))</x:f>
      </x:c>
      <x:c r="W210" s="80" t="str">
        <x:f>IF(A210="","",IF(U210="","Открыт","Рассчитан"))</x:f>
      </x:c>
      <x:c r="X210" s="98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IF(U211="Выигрыш",J211-1,IF(U211="Поражение",-1,IF(U211="Возврат",0,IF(U211="Полувыигрыш",(J211-1)/2,IF(U211="Полупроигрыш",-0.5,"")))))</x:f>
      </x:c>
      <x:c r="W211" s="80" t="str">
        <x:f>IF(A211="","",IF(U211="","Открыт","Рассчитан"))</x:f>
      </x:c>
      <x:c r="X211" s="98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IF(U212="Выигрыш",J212-1,IF(U212="Поражение",-1,IF(U212="Возврат",0,IF(U212="Полувыигрыш",(J212-1)/2,IF(U212="Полупроигрыш",-0.5,"")))))</x:f>
      </x:c>
      <x:c r="W212" s="80" t="str">
        <x:f>IF(A212="","",IF(U212="","Открыт","Рассчитан"))</x:f>
      </x:c>
      <x:c r="X212" s="98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IF(U213="Выигрыш",J213-1,IF(U213="Поражение",-1,IF(U213="Возврат",0,IF(U213="Полувыигрыш",(J213-1)/2,IF(U213="Полупроигрыш",-0.5,"")))))</x:f>
      </x:c>
      <x:c r="W213" s="80" t="str">
        <x:f>IF(A213="","",IF(U213="","Открыт","Рассчитан"))</x:f>
      </x:c>
      <x:c r="X213" s="98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IF(U214="Выигрыш",J214-1,IF(U214="Поражение",-1,IF(U214="Возврат",0,IF(U214="Полувыигрыш",(J214-1)/2,IF(U214="Полупроигрыш",-0.5,"")))))</x:f>
      </x:c>
      <x:c r="W214" s="80" t="str">
        <x:f>IF(A214="","",IF(U214="","Открыт","Рассчитан"))</x:f>
      </x:c>
      <x:c r="X214" s="98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IF(U215="Выигрыш",J215-1,IF(U215="Поражение",-1,IF(U215="Возврат",0,IF(U215="Полувыигрыш",(J215-1)/2,IF(U215="Полупроигрыш",-0.5,"")))))</x:f>
      </x:c>
      <x:c r="W215" s="80" t="str">
        <x:f>IF(A215="","",IF(U215="","Открыт","Рассчитан"))</x:f>
      </x:c>
      <x:c r="X215" s="98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IF(U216="Выигрыш",J216-1,IF(U216="Поражение",-1,IF(U216="Возврат",0,IF(U216="Полувыигрыш",(J216-1)/2,IF(U216="Полупроигрыш",-0.5,"")))))</x:f>
      </x:c>
      <x:c r="W216" s="80" t="str">
        <x:f>IF(A216="","",IF(U216="","Открыт","Рассчитан"))</x:f>
      </x:c>
      <x:c r="X216" s="98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IF(U217="Выигрыш",J217-1,IF(U217="Поражение",-1,IF(U217="Возврат",0,IF(U217="Полувыигрыш",(J217-1)/2,IF(U217="Полупроигрыш",-0.5,"")))))</x:f>
      </x:c>
      <x:c r="W217" s="80" t="str">
        <x:f>IF(A217="","",IF(U217="","Открыт","Рассчитан"))</x:f>
      </x:c>
      <x:c r="X217" s="98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IF(U218="Выигрыш",J218-1,IF(U218="Поражение",-1,IF(U218="Возврат",0,IF(U218="Полувыигрыш",(J218-1)/2,IF(U218="Полупроигрыш",-0.5,"")))))</x:f>
      </x:c>
      <x:c r="W218" s="80" t="str">
        <x:f>IF(A218="","",IF(U218="","Открыт","Рассчитан"))</x:f>
      </x:c>
      <x:c r="X218" s="98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IF(U219="Выигрыш",J219-1,IF(U219="Поражение",-1,IF(U219="Возврат",0,IF(U219="Полувыигрыш",(J219-1)/2,IF(U219="Полупроигрыш",-0.5,"")))))</x:f>
      </x:c>
      <x:c r="W219" s="80" t="str">
        <x:f>IF(A219="","",IF(U219="","Открыт","Рассчитан"))</x:f>
      </x:c>
      <x:c r="X219" s="98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IF(U220="Выигрыш",J220-1,IF(U220="Поражение",-1,IF(U220="Возврат",0,IF(U220="Полувыигрыш",(J220-1)/2,IF(U220="Полупроигрыш",-0.5,"")))))</x:f>
      </x:c>
      <x:c r="W220" s="80" t="str">
        <x:f>IF(A220="","",IF(U220="","Открыт","Рассчитан"))</x:f>
      </x:c>
      <x:c r="X220" s="98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IF(U221="Выигрыш",J221-1,IF(U221="Поражение",-1,IF(U221="Возврат",0,IF(U221="Полувыигрыш",(J221-1)/2,IF(U221="Полупроигрыш",-0.5,"")))))</x:f>
      </x:c>
      <x:c r="W221" s="80" t="str">
        <x:f>IF(A221="","",IF(U221="","Открыт","Рассчитан"))</x:f>
      </x:c>
      <x:c r="X221" s="98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IF(U222="Выигрыш",J222-1,IF(U222="Поражение",-1,IF(U222="Возврат",0,IF(U222="Полувыигрыш",(J222-1)/2,IF(U222="Полупроигрыш",-0.5,"")))))</x:f>
      </x:c>
      <x:c r="W222" s="80" t="str">
        <x:f>IF(A222="","",IF(U222="","Открыт","Рассчитан"))</x:f>
      </x:c>
      <x:c r="X222" s="98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IF(U223="Выигрыш",J223-1,IF(U223="Поражение",-1,IF(U223="Возврат",0,IF(U223="Полувыигрыш",(J223-1)/2,IF(U223="Полупроигрыш",-0.5,"")))))</x:f>
      </x:c>
      <x:c r="W223" s="80" t="str">
        <x:f>IF(A223="","",IF(U223="","Открыт","Рассчитан"))</x:f>
      </x:c>
      <x:c r="X223" s="98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IF(U224="Выигрыш",J224-1,IF(U224="Поражение",-1,IF(U224="Возврат",0,IF(U224="Полувыигрыш",(J224-1)/2,IF(U224="Полупроигрыш",-0.5,"")))))</x:f>
      </x:c>
      <x:c r="W224" s="80" t="str">
        <x:f>IF(A224="","",IF(U224="","Открыт","Рассчитан"))</x:f>
      </x:c>
      <x:c r="X224" s="98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IF(U225="Выигрыш",J225-1,IF(U225="Поражение",-1,IF(U225="Возврат",0,IF(U225="Полувыигрыш",(J225-1)/2,IF(U225="Полупроигрыш",-0.5,"")))))</x:f>
      </x:c>
      <x:c r="W225" s="80" t="str">
        <x:f>IF(A225="","",IF(U225="","Открыт","Рассчитан"))</x:f>
      </x:c>
      <x:c r="X225" s="98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IF(U226="Выигрыш",J226-1,IF(U226="Поражение",-1,IF(U226="Возврат",0,IF(U226="Полувыигрыш",(J226-1)/2,IF(U226="Полупроигрыш",-0.5,"")))))</x:f>
      </x:c>
      <x:c r="W226" s="80" t="str">
        <x:f>IF(A226="","",IF(U226="","Открыт","Рассчитан"))</x:f>
      </x:c>
      <x:c r="X226" s="98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IF(U227="Выигрыш",J227-1,IF(U227="Поражение",-1,IF(U227="Возврат",0,IF(U227="Полувыигрыш",(J227-1)/2,IF(U227="Полупроигрыш",-0.5,"")))))</x:f>
      </x:c>
      <x:c r="W227" s="80" t="str">
        <x:f>IF(A227="","",IF(U227="","Открыт","Рассчитан"))</x:f>
      </x:c>
      <x:c r="X227" s="98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IF(U228="Выигрыш",J228-1,IF(U228="Поражение",-1,IF(U228="Возврат",0,IF(U228="Полувыигрыш",(J228-1)/2,IF(U228="Полупроигрыш",-0.5,"")))))</x:f>
      </x:c>
      <x:c r="W228" s="80" t="str">
        <x:f>IF(A228="","",IF(U228="","Открыт","Рассчитан"))</x:f>
      </x:c>
      <x:c r="X228" s="98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IF(U229="Выигрыш",J229-1,IF(U229="Поражение",-1,IF(U229="Возврат",0,IF(U229="Полувыигрыш",(J229-1)/2,IF(U229="Полупроигрыш",-0.5,"")))))</x:f>
      </x:c>
      <x:c r="W229" s="80" t="str">
        <x:f>IF(A229="","",IF(U229="","Открыт","Рассчитан"))</x:f>
      </x:c>
      <x:c r="X229" s="98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IF(U230="Выигрыш",J230-1,IF(U230="Поражение",-1,IF(U230="Возврат",0,IF(U230="Полувыигрыш",(J230-1)/2,IF(U230="Полупроигрыш",-0.5,"")))))</x:f>
      </x:c>
      <x:c r="W230" s="80" t="str">
        <x:f>IF(A230="","",IF(U230="","Открыт","Рассчитан"))</x:f>
      </x:c>
      <x:c r="X230" s="98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IF(U231="Выигрыш",J231-1,IF(U231="Поражение",-1,IF(U231="Возврат",0,IF(U231="Полувыигрыш",(J231-1)/2,IF(U231="Полупроигрыш",-0.5,"")))))</x:f>
      </x:c>
      <x:c r="W231" s="80" t="str">
        <x:f>IF(A231="","",IF(U231="","Открыт","Рассчитан"))</x:f>
      </x:c>
      <x:c r="X231" s="98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IF(U232="Выигрыш",J232-1,IF(U232="Поражение",-1,IF(U232="Возврат",0,IF(U232="Полувыигрыш",(J232-1)/2,IF(U232="Полупроигрыш",-0.5,"")))))</x:f>
      </x:c>
      <x:c r="W232" s="80" t="str">
        <x:f>IF(A232="","",IF(U232="","Открыт","Рассчитан"))</x:f>
      </x:c>
      <x:c r="X232" s="98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IF(U233="Выигрыш",J233-1,IF(U233="Поражение",-1,IF(U233="Возврат",0,IF(U233="Полувыигрыш",(J233-1)/2,IF(U233="Полупроигрыш",-0.5,"")))))</x:f>
      </x:c>
      <x:c r="W233" s="80" t="str">
        <x:f>IF(A233="","",IF(U233="","Открыт","Рассчитан"))</x:f>
      </x:c>
      <x:c r="X233" s="98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IF(U234="Выигрыш",J234-1,IF(U234="Поражение",-1,IF(U234="Возврат",0,IF(U234="Полувыигрыш",(J234-1)/2,IF(U234="Полупроигрыш",-0.5,"")))))</x:f>
      </x:c>
      <x:c r="W234" s="80" t="str">
        <x:f>IF(A234="","",IF(U234="","Открыт","Рассчитан"))</x:f>
      </x:c>
      <x:c r="X234" s="98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IF(U235="Выигрыш",J235-1,IF(U235="Поражение",-1,IF(U235="Возврат",0,IF(U235="Полувыигрыш",(J235-1)/2,IF(U235="Полупроигрыш",-0.5,"")))))</x:f>
      </x:c>
      <x:c r="W235" s="80" t="str">
        <x:f>IF(A235="","",IF(U235="","Открыт","Рассчитан"))</x:f>
      </x:c>
      <x:c r="X235" s="98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IF(U236="Выигрыш",J236-1,IF(U236="Поражение",-1,IF(U236="Возврат",0,IF(U236="Полувыигрыш",(J236-1)/2,IF(U236="Полупроигрыш",-0.5,"")))))</x:f>
      </x:c>
      <x:c r="W236" s="80" t="str">
        <x:f>IF(A236="","",IF(U236="","Открыт","Рассчитан"))</x:f>
      </x:c>
      <x:c r="X236" s="98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IF(U237="Выигрыш",J237-1,IF(U237="Поражение",-1,IF(U237="Возврат",0,IF(U237="Полувыигрыш",(J237-1)/2,IF(U237="Полупроигрыш",-0.5,"")))))</x:f>
      </x:c>
      <x:c r="W237" s="80" t="str">
        <x:f>IF(A237="","",IF(U237="","Открыт","Рассчитан"))</x:f>
      </x:c>
      <x:c r="X237" s="98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IF(U238="Выигрыш",J238-1,IF(U238="Поражение",-1,IF(U238="Возврат",0,IF(U238="Полувыигрыш",(J238-1)/2,IF(U238="Полупроигрыш",-0.5,"")))))</x:f>
      </x:c>
      <x:c r="W238" s="80" t="str">
        <x:f>IF(A238="","",IF(U238="","Открыт","Рассчитан"))</x:f>
      </x:c>
      <x:c r="X238" s="98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IF(U239="Выигрыш",J239-1,IF(U239="Поражение",-1,IF(U239="Возврат",0,IF(U239="Полувыигрыш",(J239-1)/2,IF(U239="Полупроигрыш",-0.5,"")))))</x:f>
      </x:c>
      <x:c r="W239" s="80" t="str">
        <x:f>IF(A239="","",IF(U239="","Открыт","Рассчитан"))</x:f>
      </x:c>
      <x:c r="X239" s="98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IF(U240="Выигрыш",J240-1,IF(U240="Поражение",-1,IF(U240="Возврат",0,IF(U240="Полувыигрыш",(J240-1)/2,IF(U240="Полупроигрыш",-0.5,"")))))</x:f>
      </x:c>
      <x:c r="W240" s="80" t="str">
        <x:f>IF(A240="","",IF(U240="","Открыт","Рассчитан"))</x:f>
      </x:c>
      <x:c r="X240" s="98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IF(U241="Выигрыш",J241-1,IF(U241="Поражение",-1,IF(U241="Возврат",0,IF(U241="Полувыигрыш",(J241-1)/2,IF(U241="Полупроигрыш",-0.5,"")))))</x:f>
      </x:c>
      <x:c r="W241" s="80" t="str">
        <x:f>IF(A241="","",IF(U241="","Открыт","Рассчитан"))</x:f>
      </x:c>
      <x:c r="X241" s="98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IF(U242="Выигрыш",J242-1,IF(U242="Поражение",-1,IF(U242="Возврат",0,IF(U242="Полувыигрыш",(J242-1)/2,IF(U242="Полупроигрыш",-0.5,"")))))</x:f>
      </x:c>
      <x:c r="W242" s="80" t="str">
        <x:f>IF(A242="","",IF(U242="","Открыт","Рассчитан"))</x:f>
      </x:c>
      <x:c r="X242" s="98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IF(U243="Выигрыш",J243-1,IF(U243="Поражение",-1,IF(U243="Возврат",0,IF(U243="Полувыигрыш",(J243-1)/2,IF(U243="Полупроигрыш",-0.5,"")))))</x:f>
      </x:c>
      <x:c r="W243" s="80" t="str">
        <x:f>IF(A243="","",IF(U243="","Открыт","Рассчитан"))</x:f>
      </x:c>
      <x:c r="X243" s="98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IF(U244="Выигрыш",J244-1,IF(U244="Поражение",-1,IF(U244="Возврат",0,IF(U244="Полувыигрыш",(J244-1)/2,IF(U244="Полупроигрыш",-0.5,"")))))</x:f>
      </x:c>
      <x:c r="W244" s="80" t="str">
        <x:f>IF(A244="","",IF(U244="","Открыт","Рассчитан"))</x:f>
      </x:c>
      <x:c r="X244" s="98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IF(U245="Выигрыш",J245-1,IF(U245="Поражение",-1,IF(U245="Возврат",0,IF(U245="Полувыигрыш",(J245-1)/2,IF(U245="Полупроигрыш",-0.5,"")))))</x:f>
      </x:c>
      <x:c r="W245" s="80" t="str">
        <x:f>IF(A245="","",IF(U245="","Открыт","Рассчитан"))</x:f>
      </x:c>
      <x:c r="X245" s="98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IF(U246="Выигрыш",J246-1,IF(U246="Поражение",-1,IF(U246="Возврат",0,IF(U246="Полувыигрыш",(J246-1)/2,IF(U246="Полупроигрыш",-0.5,"")))))</x:f>
      </x:c>
      <x:c r="W246" s="80" t="str">
        <x:f>IF(A246="","",IF(U246="","Открыт","Рассчитан"))</x:f>
      </x:c>
      <x:c r="X246" s="98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IF(U247="Выигрыш",J247-1,IF(U247="Поражение",-1,IF(U247="Возврат",0,IF(U247="Полувыигрыш",(J247-1)/2,IF(U247="Полупроигрыш",-0.5,"")))))</x:f>
      </x:c>
      <x:c r="W247" s="80" t="str">
        <x:f>IF(A247="","",IF(U247="","Открыт","Рассчитан"))</x:f>
      </x:c>
      <x:c r="X247" s="98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IF(U248="Выигрыш",J248-1,IF(U248="Поражение",-1,IF(U248="Возврат",0,IF(U248="Полувыигрыш",(J248-1)/2,IF(U248="Полупроигрыш",-0.5,"")))))</x:f>
      </x:c>
      <x:c r="W248" s="80" t="str">
        <x:f>IF(A248="","",IF(U248="","Открыт","Рассчитан"))</x:f>
      </x:c>
      <x:c r="X248" s="98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IF(U249="Выигрыш",J249-1,IF(U249="Поражение",-1,IF(U249="Возврат",0,IF(U249="Полувыигрыш",(J249-1)/2,IF(U249="Полупроигрыш",-0.5,"")))))</x:f>
      </x:c>
      <x:c r="W249" s="80" t="str">
        <x:f>IF(A249="","",IF(U249="","Открыт","Рассчитан"))</x:f>
      </x:c>
      <x:c r="X249" s="98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IF(U250="Выигрыш",J250-1,IF(U250="Поражение",-1,IF(U250="Возврат",0,IF(U250="Полувыигрыш",(J250-1)/2,IF(U250="Полупроигрыш",-0.5,"")))))</x:f>
      </x:c>
      <x:c r="W250" s="80" t="str">
        <x:f>IF(A250="","",IF(U250="","Открыт","Рассчитан"))</x:f>
      </x:c>
      <x:c r="X250" s="98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IF(U251="Выигрыш",J251-1,IF(U251="Поражение",-1,IF(U251="Возврат",0,IF(U251="Полувыигрыш",(J251-1)/2,IF(U251="Полупроигрыш",-0.5,"")))))</x:f>
      </x:c>
      <x:c r="W251" s="80" t="str">
        <x:f>IF(A251="","",IF(U251="","Открыт","Рассчитан"))</x:f>
      </x:c>
      <x:c r="X251" s="98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IF(U252="Выигрыш",J252-1,IF(U252="Поражение",-1,IF(U252="Возврат",0,IF(U252="Полувыигрыш",(J252-1)/2,IF(U252="Полупроигрыш",-0.5,"")))))</x:f>
      </x:c>
      <x:c r="W252" s="80" t="str">
        <x:f>IF(A252="","",IF(U252="","Открыт","Рассчитан"))</x:f>
      </x:c>
      <x:c r="X252" s="98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IF(U253="Выигрыш",J253-1,IF(U253="Поражение",-1,IF(U253="Возврат",0,IF(U253="Полувыигрыш",(J253-1)/2,IF(U253="Полупроигрыш",-0.5,"")))))</x:f>
      </x:c>
      <x:c r="W253" s="80" t="str">
        <x:f>IF(A253="","",IF(U253="","Открыт","Рассчитан"))</x:f>
      </x:c>
      <x:c r="X253" s="98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IF(U254="Выигрыш",J254-1,IF(U254="Поражение",-1,IF(U254="Возврат",0,IF(U254="Полувыигрыш",(J254-1)/2,IF(U254="Полупроигрыш",-0.5,"")))))</x:f>
      </x:c>
      <x:c r="W254" s="80" t="str">
        <x:f>IF(A254="","",IF(U254="","Открыт","Рассчитан"))</x:f>
      </x:c>
      <x:c r="X254" s="98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IF(U255="Выигрыш",J255-1,IF(U255="Поражение",-1,IF(U255="Возврат",0,IF(U255="Полувыигрыш",(J255-1)/2,IF(U255="Полупроигрыш",-0.5,"")))))</x:f>
      </x:c>
      <x:c r="W255" s="80" t="str">
        <x:f>IF(A255="","",IF(U255="","Открыт","Рассчитан"))</x:f>
      </x:c>
      <x:c r="X255" s="98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IF(U256="Выигрыш",J256-1,IF(U256="Поражение",-1,IF(U256="Возврат",0,IF(U256="Полувыигрыш",(J256-1)/2,IF(U256="Полупроигрыш",-0.5,"")))))</x:f>
      </x:c>
      <x:c r="W256" s="80" t="str">
        <x:f>IF(A256="","",IF(U256="","Открыт","Рассчитан"))</x:f>
      </x:c>
      <x:c r="X256" s="98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IF(U257="Выигрыш",J257-1,IF(U257="Поражение",-1,IF(U257="Возврат",0,IF(U257="Полувыигрыш",(J257-1)/2,IF(U257="Полупроигрыш",-0.5,"")))))</x:f>
      </x:c>
      <x:c r="W257" s="80" t="str">
        <x:f>IF(A257="","",IF(U257="","Открыт","Рассчитан"))</x:f>
      </x:c>
      <x:c r="X257" s="98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IF(U258="Выигрыш",J258-1,IF(U258="Поражение",-1,IF(U258="Возврат",0,IF(U258="Полувыигрыш",(J258-1)/2,IF(U258="Полупроигрыш",-0.5,"")))))</x:f>
      </x:c>
      <x:c r="W258" s="80" t="str">
        <x:f>IF(A258="","",IF(U258="","Открыт","Рассчитан"))</x:f>
      </x:c>
      <x:c r="X258" s="98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IF(U259="Выигрыш",J259-1,IF(U259="Поражение",-1,IF(U259="Возврат",0,IF(U259="Полувыигрыш",(J259-1)/2,IF(U259="Полупроигрыш",-0.5,"")))))</x:f>
      </x:c>
      <x:c r="W259" s="80" t="str">
        <x:f>IF(A259="","",IF(U259="","Открыт","Рассчитан"))</x:f>
      </x:c>
      <x:c r="X259" s="98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IF(U260="Выигрыш",J260-1,IF(U260="Поражение",-1,IF(U260="Возврат",0,IF(U260="Полувыигрыш",(J260-1)/2,IF(U260="Полупроигрыш",-0.5,"")))))</x:f>
      </x:c>
      <x:c r="W260" s="80" t="str">
        <x:f>IF(A260="","",IF(U260="","Открыт","Рассчитан"))</x:f>
      </x:c>
      <x:c r="X260" s="98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IF(U261="Выигрыш",J261-1,IF(U261="Поражение",-1,IF(U261="Возврат",0,IF(U261="Полувыигрыш",(J261-1)/2,IF(U261="Полупроигрыш",-0.5,"")))))</x:f>
      </x:c>
      <x:c r="W261" s="80" t="str">
        <x:f>IF(A261="","",IF(U261="","Открыт","Рассчитан"))</x:f>
      </x:c>
      <x:c r="X261" s="98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IF(U262="Выигрыш",J262-1,IF(U262="Поражение",-1,IF(U262="Возврат",0,IF(U262="Полувыигрыш",(J262-1)/2,IF(U262="Полупроигрыш",-0.5,"")))))</x:f>
      </x:c>
      <x:c r="W262" s="80" t="str">
        <x:f>IF(A262="","",IF(U262="","Открыт","Рассчитан"))</x:f>
      </x:c>
      <x:c r="X262" s="98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IF(U263="Выигрыш",J263-1,IF(U263="Поражение",-1,IF(U263="Возврат",0,IF(U263="Полувыигрыш",(J263-1)/2,IF(U263="Полупроигрыш",-0.5,"")))))</x:f>
      </x:c>
      <x:c r="W263" s="80" t="str">
        <x:f>IF(A263="","",IF(U263="","Открыт","Рассчитан"))</x:f>
      </x:c>
      <x:c r="X263" s="98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IF(U264="Выигрыш",J264-1,IF(U264="Поражение",-1,IF(U264="Возврат",0,IF(U264="Полувыигрыш",(J264-1)/2,IF(U264="Полупроигрыш",-0.5,"")))))</x:f>
      </x:c>
      <x:c r="W264" s="80" t="str">
        <x:f>IF(A264="","",IF(U264="","Открыт","Рассчитан"))</x:f>
      </x:c>
      <x:c r="X264" s="98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IF(U265="Выигрыш",J265-1,IF(U265="Поражение",-1,IF(U265="Возврат",0,IF(U265="Полувыигрыш",(J265-1)/2,IF(U265="Полупроигрыш",-0.5,"")))))</x:f>
      </x:c>
      <x:c r="W265" s="80" t="str">
        <x:f>IF(A265="","",IF(U265="","Открыт","Рассчитан"))</x:f>
      </x:c>
      <x:c r="X265" s="98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IF(U266="Выигрыш",J266-1,IF(U266="Поражение",-1,IF(U266="Возврат",0,IF(U266="Полувыигрыш",(J266-1)/2,IF(U266="Полупроигрыш",-0.5,"")))))</x:f>
      </x:c>
      <x:c r="W266" s="80" t="str">
        <x:f>IF(A266="","",IF(U266="","Открыт","Рассчитан"))</x:f>
      </x:c>
      <x:c r="X266" s="98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IF(U267="Выигрыш",J267-1,IF(U267="Поражение",-1,IF(U267="Возврат",0,IF(U267="Полувыигрыш",(J267-1)/2,IF(U267="Полупроигрыш",-0.5,"")))))</x:f>
      </x:c>
      <x:c r="W267" s="80" t="str">
        <x:f>IF(A267="","",IF(U267="","Открыт","Рассчитан"))</x:f>
      </x:c>
      <x:c r="X267" s="98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IF(U268="Выигрыш",J268-1,IF(U268="Поражение",-1,IF(U268="Возврат",0,IF(U268="Полувыигрыш",(J268-1)/2,IF(U268="Полупроигрыш",-0.5,"")))))</x:f>
      </x:c>
      <x:c r="W268" s="80" t="str">
        <x:f>IF(A268="","",IF(U268="","Открыт","Рассчитан"))</x:f>
      </x:c>
      <x:c r="X268" s="98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IF(U269="Выигрыш",J269-1,IF(U269="Поражение",-1,IF(U269="Возврат",0,IF(U269="Полувыигрыш",(J269-1)/2,IF(U269="Полупроигрыш",-0.5,"")))))</x:f>
      </x:c>
      <x:c r="W269" s="80" t="str">
        <x:f>IF(A269="","",IF(U269="","Открыт","Рассчитан"))</x:f>
      </x:c>
      <x:c r="X269" s="98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IF(U270="Выигрыш",J270-1,IF(U270="Поражение",-1,IF(U270="Возврат",0,IF(U270="Полувыигрыш",(J270-1)/2,IF(U270="Полупроигрыш",-0.5,"")))))</x:f>
      </x:c>
      <x:c r="W270" s="80" t="str">
        <x:f>IF(A270="","",IF(U270="","Открыт","Рассчитан"))</x:f>
      </x:c>
      <x:c r="X270" s="98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IF(U271="Выигрыш",J271-1,IF(U271="Поражение",-1,IF(U271="Возврат",0,IF(U271="Полувыигрыш",(J271-1)/2,IF(U271="Полупроигрыш",-0.5,"")))))</x:f>
      </x:c>
      <x:c r="W271" s="80" t="str">
        <x:f>IF(A271="","",IF(U271="","Открыт","Рассчитан"))</x:f>
      </x:c>
      <x:c r="X271" s="98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IF(U272="Выигрыш",J272-1,IF(U272="Поражение",-1,IF(U272="Возврат",0,IF(U272="Полувыигрыш",(J272-1)/2,IF(U272="Полупроигрыш",-0.5,"")))))</x:f>
      </x:c>
      <x:c r="W272" s="80" t="str">
        <x:f>IF(A272="","",IF(U272="","Открыт","Рассчитан"))</x:f>
      </x:c>
      <x:c r="X272" s="98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IF(U273="Выигрыш",J273-1,IF(U273="Поражение",-1,IF(U273="Возврат",0,IF(U273="Полувыигрыш",(J273-1)/2,IF(U273="Полупроигрыш",-0.5,"")))))</x:f>
      </x:c>
      <x:c r="W273" s="80" t="str">
        <x:f>IF(A273="","",IF(U273="","Открыт","Рассчитан"))</x:f>
      </x:c>
      <x:c r="X273" s="98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IF(U274="Выигрыш",J274-1,IF(U274="Поражение",-1,IF(U274="Возврат",0,IF(U274="Полувыигрыш",(J274-1)/2,IF(U274="Полупроигрыш",-0.5,"")))))</x:f>
      </x:c>
      <x:c r="W274" s="80" t="str">
        <x:f>IF(A274="","",IF(U274="","Открыт","Рассчитан"))</x:f>
      </x:c>
      <x:c r="X274" s="98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IF(U275="Выигрыш",J275-1,IF(U275="Поражение",-1,IF(U275="Возврат",0,IF(U275="Полувыигрыш",(J275-1)/2,IF(U275="Полупроигрыш",-0.5,"")))))</x:f>
      </x:c>
      <x:c r="W275" s="80" t="str">
        <x:f>IF(A275="","",IF(U275="","Открыт","Рассчитан"))</x:f>
      </x:c>
      <x:c r="X275" s="98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IF(U276="Выигрыш",J276-1,IF(U276="Поражение",-1,IF(U276="Возврат",0,IF(U276="Полувыигрыш",(J276-1)/2,IF(U276="Полупроигрыш",-0.5,"")))))</x:f>
      </x:c>
      <x:c r="W276" s="80" t="str">
        <x:f>IF(A276="","",IF(U276="","Открыт","Рассчитан"))</x:f>
      </x:c>
      <x:c r="X276" s="98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IF(U277="Выигрыш",J277-1,IF(U277="Поражение",-1,IF(U277="Возврат",0,IF(U277="Полувыигрыш",(J277-1)/2,IF(U277="Полупроигрыш",-0.5,"")))))</x:f>
      </x:c>
      <x:c r="W277" s="80" t="str">
        <x:f>IF(A277="","",IF(U277="","Открыт","Рассчитан"))</x:f>
      </x:c>
      <x:c r="X277" s="98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IF(U278="Выигрыш",J278-1,IF(U278="Поражение",-1,IF(U278="Возврат",0,IF(U278="Полувыигрыш",(J278-1)/2,IF(U278="Полупроигрыш",-0.5,"")))))</x:f>
      </x:c>
      <x:c r="W278" s="80" t="str">
        <x:f>IF(A278="","",IF(U278="","Открыт","Рассчитан"))</x:f>
      </x:c>
      <x:c r="X278" s="98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IF(U279="Выигрыш",J279-1,IF(U279="Поражение",-1,IF(U279="Возврат",0,IF(U279="Полувыигрыш",(J279-1)/2,IF(U279="Полупроигрыш",-0.5,"")))))</x:f>
      </x:c>
      <x:c r="W279" s="80" t="str">
        <x:f>IF(A279="","",IF(U279="","Открыт","Рассчитан"))</x:f>
      </x:c>
      <x:c r="X279" s="98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IF(U280="Выигрыш",J280-1,IF(U280="Поражение",-1,IF(U280="Возврат",0,IF(U280="Полувыигрыш",(J280-1)/2,IF(U280="Полупроигрыш",-0.5,"")))))</x:f>
      </x:c>
      <x:c r="W280" s="80" t="str">
        <x:f>IF(A280="","",IF(U280="","Открыт","Рассчитан"))</x:f>
      </x:c>
      <x:c r="X280" s="98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IF(U281="Выигрыш",J281-1,IF(U281="Поражение",-1,IF(U281="Возврат",0,IF(U281="Полувыигрыш",(J281-1)/2,IF(U281="Полупроигрыш",-0.5,"")))))</x:f>
      </x:c>
      <x:c r="W281" s="80" t="str">
        <x:f>IF(A281="","",IF(U281="","Открыт","Рассчитан"))</x:f>
      </x:c>
      <x:c r="X281" s="98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IF(U282="Выигрыш",J282-1,IF(U282="Поражение",-1,IF(U282="Возврат",0,IF(U282="Полувыигрыш",(J282-1)/2,IF(U282="Полупроигрыш",-0.5,"")))))</x:f>
      </x:c>
      <x:c r="W282" s="80" t="str">
        <x:f>IF(A282="","",IF(U282="","Открыт","Рассчитан"))</x:f>
      </x:c>
      <x:c r="X282" s="98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IF(U283="Выигрыш",J283-1,IF(U283="Поражение",-1,IF(U283="Возврат",0,IF(U283="Полувыигрыш",(J283-1)/2,IF(U283="Полупроигрыш",-0.5,"")))))</x:f>
      </x:c>
      <x:c r="W283" s="80" t="str">
        <x:f>IF(A283="","",IF(U283="","Открыт","Рассчитан"))</x:f>
      </x:c>
      <x:c r="X283" s="98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IF(U284="Выигрыш",J284-1,IF(U284="Поражение",-1,IF(U284="Возврат",0,IF(U284="Полувыигрыш",(J284-1)/2,IF(U284="Полупроигрыш",-0.5,"")))))</x:f>
      </x:c>
      <x:c r="W284" s="80" t="str">
        <x:f>IF(A284="","",IF(U284="","Открыт","Рассчитан"))</x:f>
      </x:c>
      <x:c r="X284" s="98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IF(U285="Выигрыш",J285-1,IF(U285="Поражение",-1,IF(U285="Возврат",0,IF(U285="Полувыигрыш",(J285-1)/2,IF(U285="Полупроигрыш",-0.5,"")))))</x:f>
      </x:c>
      <x:c r="W285" s="80" t="str">
        <x:f>IF(A285="","",IF(U285="","Открыт","Рассчитан"))</x:f>
      </x:c>
      <x:c r="X285" s="98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IF(U286="Выигрыш",J286-1,IF(U286="Поражение",-1,IF(U286="Возврат",0,IF(U286="Полувыигрыш",(J286-1)/2,IF(U286="Полупроигрыш",-0.5,"")))))</x:f>
      </x:c>
      <x:c r="W286" s="80" t="str">
        <x:f>IF(A286="","",IF(U286="","Открыт","Рассчитан"))</x:f>
      </x:c>
      <x:c r="X286" s="98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IF(U287="Выигрыш",J287-1,IF(U287="Поражение",-1,IF(U287="Возврат",0,IF(U287="Полувыигрыш",(J287-1)/2,IF(U287="Полупроигрыш",-0.5,"")))))</x:f>
      </x:c>
      <x:c r="W287" s="80" t="str">
        <x:f>IF(A287="","",IF(U287="","Открыт","Рассчитан"))</x:f>
      </x:c>
      <x:c r="X287" s="98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IF(U288="Выигрыш",J288-1,IF(U288="Поражение",-1,IF(U288="Возврат",0,IF(U288="Полувыигрыш",(J288-1)/2,IF(U288="Полупроигрыш",-0.5,"")))))</x:f>
      </x:c>
      <x:c r="W288" s="80" t="str">
        <x:f>IF(A288="","",IF(U288="","Открыт","Рассчитан"))</x:f>
      </x:c>
      <x:c r="X288" s="98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IF(U289="Выигрыш",J289-1,IF(U289="Поражение",-1,IF(U289="Возврат",0,IF(U289="Полувыигрыш",(J289-1)/2,IF(U289="Полупроигрыш",-0.5,"")))))</x:f>
      </x:c>
      <x:c r="W289" s="80" t="str">
        <x:f>IF(A289="","",IF(U289="","Открыт","Рассчитан"))</x:f>
      </x:c>
      <x:c r="X289" s="98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IF(U290="Выигрыш",J290-1,IF(U290="Поражение",-1,IF(U290="Возврат",0,IF(U290="Полувыигрыш",(J290-1)/2,IF(U290="Полупроигрыш",-0.5,"")))))</x:f>
      </x:c>
      <x:c r="W290" s="80" t="str">
        <x:f>IF(A290="","",IF(U290="","Открыт","Рассчитан"))</x:f>
      </x:c>
      <x:c r="X290" s="98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IF(U291="Выигрыш",J291-1,IF(U291="Поражение",-1,IF(U291="Возврат",0,IF(U291="Полувыигрыш",(J291-1)/2,IF(U291="Полупроигрыш",-0.5,"")))))</x:f>
      </x:c>
      <x:c r="W291" s="80" t="str">
        <x:f>IF(A291="","",IF(U291="","Открыт","Рассчитан"))</x:f>
      </x:c>
      <x:c r="X291" s="98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IF(U292="Выигрыш",J292-1,IF(U292="Поражение",-1,IF(U292="Возврат",0,IF(U292="Полувыигрыш",(J292-1)/2,IF(U292="Полупроигрыш",-0.5,"")))))</x:f>
      </x:c>
      <x:c r="W292" s="80" t="str">
        <x:f>IF(A292="","",IF(U292="","Открыт","Рассчитан"))</x:f>
      </x:c>
      <x:c r="X292" s="98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IF(U293="Выигрыш",J293-1,IF(U293="Поражение",-1,IF(U293="Возврат",0,IF(U293="Полувыигрыш",(J293-1)/2,IF(U293="Полупроигрыш",-0.5,"")))))</x:f>
      </x:c>
      <x:c r="W293" s="80" t="str">
        <x:f>IF(A293="","",IF(U293="","Открыт","Рассчитан"))</x:f>
      </x:c>
      <x:c r="X293" s="98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IF(U294="Выигрыш",J294-1,IF(U294="Поражение",-1,IF(U294="Возврат",0,IF(U294="Полувыигрыш",(J294-1)/2,IF(U294="Полупроигрыш",-0.5,"")))))</x:f>
      </x:c>
      <x:c r="W294" s="80" t="str">
        <x:f>IF(A294="","",IF(U294="","Открыт","Рассчитан"))</x:f>
      </x:c>
      <x:c r="X294" s="98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IF(U295="Выигрыш",J295-1,IF(U295="Поражение",-1,IF(U295="Возврат",0,IF(U295="Полувыигрыш",(J295-1)/2,IF(U295="Полупроигрыш",-0.5,"")))))</x:f>
      </x:c>
      <x:c r="W295" s="80" t="str">
        <x:f>IF(A295="","",IF(U295="","Открыт","Рассчитан"))</x:f>
      </x:c>
      <x:c r="X295" s="98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IF(U296="Выигрыш",J296-1,IF(U296="Поражение",-1,IF(U296="Возврат",0,IF(U296="Полувыигрыш",(J296-1)/2,IF(U296="Полупроигрыш",-0.5,"")))))</x:f>
      </x:c>
      <x:c r="W296" s="80" t="str">
        <x:f>IF(A296="","",IF(U296="","Открыт","Рассчитан"))</x:f>
      </x:c>
      <x:c r="X296" s="98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IF(U297="Выигрыш",J297-1,IF(U297="Поражение",-1,IF(U297="Возврат",0,IF(U297="Полувыигрыш",(J297-1)/2,IF(U297="Полупроигрыш",-0.5,"")))))</x:f>
      </x:c>
      <x:c r="W297" s="80" t="str">
        <x:f>IF(A297="","",IF(U297="","Открыт","Рассчитан"))</x:f>
      </x:c>
      <x:c r="X297" s="98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IF(U298="Выигрыш",J298-1,IF(U298="Поражение",-1,IF(U298="Возврат",0,IF(U298="Полувыигрыш",(J298-1)/2,IF(U298="Полупроигрыш",-0.5,"")))))</x:f>
      </x:c>
      <x:c r="W298" s="80" t="str">
        <x:f>IF(A298="","",IF(U298="","Открыт","Рассчитан"))</x:f>
      </x:c>
      <x:c r="X298" s="98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IF(U299="Выигрыш",J299-1,IF(U299="Поражение",-1,IF(U299="Возврат",0,IF(U299="Полувыигрыш",(J299-1)/2,IF(U299="Полупроигрыш",-0.5,"")))))</x:f>
      </x:c>
      <x:c r="W299" s="80" t="str">
        <x:f>IF(A299="","",IF(U299="","Открыт","Рассчитан"))</x:f>
      </x:c>
      <x:c r="X299" s="98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IF(U300="Выигрыш",J300-1,IF(U300="Поражение",-1,IF(U300="Возврат",0,IF(U300="Полувыигрыш",(J300-1)/2,IF(U300="Полупроигрыш",-0.5,"")))))</x:f>
      </x:c>
      <x:c r="W300" s="80" t="str">
        <x:f>IF(A300="","",IF(U300="","Открыт","Рассчитан"))</x:f>
      </x:c>
      <x:c r="X300" s="98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IF(U301="Выигрыш",J301-1,IF(U301="Поражение",-1,IF(U301="Возврат",0,IF(U301="Полувыигрыш",(J301-1)/2,IF(U301="Полупроигрыш",-0.5,"")))))</x:f>
      </x:c>
      <x:c r="W301" s="80" t="str">
        <x:f>IF(A301="","",IF(U301="","Открыт","Рассчитан"))</x:f>
      </x:c>
      <x:c r="X301" s="98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IF(U302="Выигрыш",J302-1,IF(U302="Поражение",-1,IF(U302="Возврат",0,IF(U302="Полувыигрыш",(J302-1)/2,IF(U302="Полупроигрыш",-0.5,"")))))</x:f>
      </x:c>
      <x:c r="W302" s="80" t="str">
        <x:f>IF(A302="","",IF(U302="","Открыт","Рассчитан"))</x:f>
      </x:c>
      <x:c r="X302" s="98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IF(U303="Выигрыш",J303-1,IF(U303="Поражение",-1,IF(U303="Возврат",0,IF(U303="Полувыигрыш",(J303-1)/2,IF(U303="Полупроигрыш",-0.5,"")))))</x:f>
      </x:c>
      <x:c r="W303" s="80" t="str">
        <x:f>IF(A303="","",IF(U303="","Открыт","Рассчитан"))</x:f>
      </x:c>
      <x:c r="X303" s="98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IF(U304="Выигрыш",J304-1,IF(U304="Поражение",-1,IF(U304="Возврат",0,IF(U304="Полувыигрыш",(J304-1)/2,IF(U304="Полупроигрыш",-0.5,"")))))</x:f>
      </x:c>
      <x:c r="W304" s="80" t="str">
        <x:f>IF(A304="","",IF(U304="","Открыт","Рассчитан"))</x:f>
      </x:c>
      <x:c r="X304" s="98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IF(U305="Выигрыш",J305-1,IF(U305="Поражение",-1,IF(U305="Возврат",0,IF(U305="Полувыигрыш",(J305-1)/2,IF(U305="Полупроигрыш",-0.5,"")))))</x:f>
      </x:c>
      <x:c r="W305" s="80" t="str">
        <x:f>IF(A305="","",IF(U305="","Открыт","Рассчитан"))</x:f>
      </x:c>
      <x:c r="X305" s="98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IF(U306="Выигрыш",J306-1,IF(U306="Поражение",-1,IF(U306="Возврат",0,IF(U306="Полувыигрыш",(J306-1)/2,IF(U306="Полупроигрыш",-0.5,"")))))</x:f>
      </x:c>
      <x:c r="W306" s="80" t="str">
        <x:f>IF(A306="","",IF(U306="","Открыт","Рассчитан"))</x:f>
      </x:c>
      <x:c r="X306" s="98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IF(U307="Выигрыш",J307-1,IF(U307="Поражение",-1,IF(U307="Возврат",0,IF(U307="Полувыигрыш",(J307-1)/2,IF(U307="Полупроигрыш",-0.5,"")))))</x:f>
      </x:c>
      <x:c r="W307" s="80" t="str">
        <x:f>IF(A307="","",IF(U307="","Открыт","Рассчитан"))</x:f>
      </x:c>
      <x:c r="X307" s="98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IF(U308="Выигрыш",J308-1,IF(U308="Поражение",-1,IF(U308="Возврат",0,IF(U308="Полувыигрыш",(J308-1)/2,IF(U308="Полупроигрыш",-0.5,"")))))</x:f>
      </x:c>
      <x:c r="W308" s="80" t="str">
        <x:f>IF(A308="","",IF(U308="","Открыт","Рассчитан"))</x:f>
      </x:c>
      <x:c r="X308" s="98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IF(U309="Выигрыш",J309-1,IF(U309="Поражение",-1,IF(U309="Возврат",0,IF(U309="Полувыигрыш",(J309-1)/2,IF(U309="Полупроигрыш",-0.5,"")))))</x:f>
      </x:c>
      <x:c r="W309" s="80" t="str">
        <x:f>IF(A309="","",IF(U309="","Открыт","Рассчитан"))</x:f>
      </x:c>
      <x:c r="X309" s="98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IF(U310="Выигрыш",J310-1,IF(U310="Поражение",-1,IF(U310="Возврат",0,IF(U310="Полувыигрыш",(J310-1)/2,IF(U310="Полупроигрыш",-0.5,"")))))</x:f>
      </x:c>
      <x:c r="W310" s="80" t="str">
        <x:f>IF(A310="","",IF(U310="","Открыт","Рассчитан"))</x:f>
      </x:c>
      <x:c r="X310" s="98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IF(U311="Выигрыш",J311-1,IF(U311="Поражение",-1,IF(U311="Возврат",0,IF(U311="Полувыигрыш",(J311-1)/2,IF(U311="Полупроигрыш",-0.5,"")))))</x:f>
      </x:c>
      <x:c r="W311" s="80" t="str">
        <x:f>IF(A311="","",IF(U311="","Открыт","Рассчитан"))</x:f>
      </x:c>
      <x:c r="X311" s="98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IF(U312="Выигрыш",J312-1,IF(U312="Поражение",-1,IF(U312="Возврат",0,IF(U312="Полувыигрыш",(J312-1)/2,IF(U312="Полупроигрыш",-0.5,"")))))</x:f>
      </x:c>
      <x:c r="W312" s="80" t="str">
        <x:f>IF(A312="","",IF(U312="","Открыт","Рассчитан"))</x:f>
      </x:c>
      <x:c r="X312" s="98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IF(U313="Выигрыш",J313-1,IF(U313="Поражение",-1,IF(U313="Возврат",0,IF(U313="Полувыигрыш",(J313-1)/2,IF(U313="Полупроигрыш",-0.5,"")))))</x:f>
      </x:c>
      <x:c r="W313" s="80" t="str">
        <x:f>IF(A313="","",IF(U313="","Открыт","Рассчитан"))</x:f>
      </x:c>
      <x:c r="X313" s="98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IF(U314="Выигрыш",J314-1,IF(U314="Поражение",-1,IF(U314="Возврат",0,IF(U314="Полувыигрыш",(J314-1)/2,IF(U314="Полупроигрыш",-0.5,"")))))</x:f>
      </x:c>
      <x:c r="W314" s="80" t="str">
        <x:f>IF(A314="","",IF(U314="","Открыт","Рассчитан"))</x:f>
      </x:c>
      <x:c r="X314" s="98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IF(U315="Выигрыш",J315-1,IF(U315="Поражение",-1,IF(U315="Возврат",0,IF(U315="Полувыигрыш",(J315-1)/2,IF(U315="Полупроигрыш",-0.5,"")))))</x:f>
      </x:c>
      <x:c r="W315" s="80" t="str">
        <x:f>IF(A315="","",IF(U315="","Открыт","Рассчитан"))</x:f>
      </x:c>
      <x:c r="X315" s="98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IF(U316="Выигрыш",J316-1,IF(U316="Поражение",-1,IF(U316="Возврат",0,IF(U316="Полувыигрыш",(J316-1)/2,IF(U316="Полупроигрыш",-0.5,"")))))</x:f>
      </x:c>
      <x:c r="W316" s="80" t="str">
        <x:f>IF(A316="","",IF(U316="","Открыт","Рассчитан"))</x:f>
      </x:c>
      <x:c r="X316" s="98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IF(U317="Выигрыш",J317-1,IF(U317="Поражение",-1,IF(U317="Возврат",0,IF(U317="Полувыигрыш",(J317-1)/2,IF(U317="Полупроигрыш",-0.5,"")))))</x:f>
      </x:c>
      <x:c r="W317" s="80" t="str">
        <x:f>IF(A317="","",IF(U317="","Открыт","Рассчитан"))</x:f>
      </x:c>
      <x:c r="X317" s="98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IF(U318="Выигрыш",J318-1,IF(U318="Поражение",-1,IF(U318="Возврат",0,IF(U318="Полувыигрыш",(J318-1)/2,IF(U318="Полупроигрыш",-0.5,"")))))</x:f>
      </x:c>
      <x:c r="W318" s="80" t="str">
        <x:f>IF(A318="","",IF(U318="","Открыт","Рассчитан"))</x:f>
      </x:c>
      <x:c r="X318" s="98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IF(U319="Выигрыш",J319-1,IF(U319="Поражение",-1,IF(U319="Возврат",0,IF(U319="Полувыигрыш",(J319-1)/2,IF(U319="Полупроигрыш",-0.5,"")))))</x:f>
      </x:c>
      <x:c r="W319" s="80" t="str">
        <x:f>IF(A319="","",IF(U319="","Открыт","Рассчитан"))</x:f>
      </x:c>
      <x:c r="X319" s="98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IF(U320="Выигрыш",J320-1,IF(U320="Поражение",-1,IF(U320="Возврат",0,IF(U320="Полувыигрыш",(J320-1)/2,IF(U320="Полупроигрыш",-0.5,"")))))</x:f>
      </x:c>
      <x:c r="W320" s="80" t="str">
        <x:f>IF(A320="","",IF(U320="","Открыт","Рассчитан"))</x:f>
      </x:c>
      <x:c r="X320" s="98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IF(U321="Выигрыш",J321-1,IF(U321="Поражение",-1,IF(U321="Возврат",0,IF(U321="Полувыигрыш",(J321-1)/2,IF(U321="Полупроигрыш",-0.5,"")))))</x:f>
      </x:c>
      <x:c r="W321" s="80" t="str">
        <x:f>IF(A321="","",IF(U321="","Открыт","Рассчитан"))</x:f>
      </x:c>
      <x:c r="X321" s="98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IF(U322="Выигрыш",J322-1,IF(U322="Поражение",-1,IF(U322="Возврат",0,IF(U322="Полувыигрыш",(J322-1)/2,IF(U322="Полупроигрыш",-0.5,"")))))</x:f>
      </x:c>
      <x:c r="W322" s="80" t="str">
        <x:f>IF(A322="","",IF(U322="","Открыт","Рассчитан"))</x:f>
      </x:c>
      <x:c r="X322" s="98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IF(U323="Выигрыш",J323-1,IF(U323="Поражение",-1,IF(U323="Возврат",0,IF(U323="Полувыигрыш",(J323-1)/2,IF(U323="Полупроигрыш",-0.5,"")))))</x:f>
      </x:c>
      <x:c r="W323" s="80" t="str">
        <x:f>IF(A323="","",IF(U323="","Открыт","Рассчитан"))</x:f>
      </x:c>
      <x:c r="X323" s="98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IF(U324="Выигрыш",J324-1,IF(U324="Поражение",-1,IF(U324="Возврат",0,IF(U324="Полувыигрыш",(J324-1)/2,IF(U324="Полупроигрыш",-0.5,"")))))</x:f>
      </x:c>
      <x:c r="W324" s="80" t="str">
        <x:f>IF(A324="","",IF(U324="","Открыт","Рассчитан"))</x:f>
      </x:c>
      <x:c r="X324" s="98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IF(U325="Выигрыш",J325-1,IF(U325="Поражение",-1,IF(U325="Возврат",0,IF(U325="Полувыигрыш",(J325-1)/2,IF(U325="Полупроигрыш",-0.5,"")))))</x:f>
      </x:c>
      <x:c r="W325" s="80" t="str">
        <x:f>IF(A325="","",IF(U325="","Открыт","Рассчитан"))</x:f>
      </x:c>
      <x:c r="X325" s="98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IF(U326="Выигрыш",J326-1,IF(U326="Поражение",-1,IF(U326="Возврат",0,IF(U326="Полувыигрыш",(J326-1)/2,IF(U326="Полупроигрыш",-0.5,"")))))</x:f>
      </x:c>
      <x:c r="W326" s="80" t="str">
        <x:f>IF(A326="","",IF(U326="","Открыт","Рассчитан"))</x:f>
      </x:c>
      <x:c r="X326" s="98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IF(U327="Выигрыш",J327-1,IF(U327="Поражение",-1,IF(U327="Возврат",0,IF(U327="Полувыигрыш",(J327-1)/2,IF(U327="Полупроигрыш",-0.5,"")))))</x:f>
      </x:c>
      <x:c r="W327" s="80" t="str">
        <x:f>IF(A327="","",IF(U327="","Открыт","Рассчитан"))</x:f>
      </x:c>
      <x:c r="X327" s="98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IF(U328="Выигрыш",J328-1,IF(U328="Поражение",-1,IF(U328="Возврат",0,IF(U328="Полувыигрыш",(J328-1)/2,IF(U328="Полупроигрыш",-0.5,"")))))</x:f>
      </x:c>
      <x:c r="W328" s="80" t="str">
        <x:f>IF(A328="","",IF(U328="","Открыт","Рассчитан"))</x:f>
      </x:c>
      <x:c r="X328" s="98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IF(U329="Выигрыш",J329-1,IF(U329="Поражение",-1,IF(U329="Возврат",0,IF(U329="Полувыигрыш",(J329-1)/2,IF(U329="Полупроигрыш",-0.5,"")))))</x:f>
      </x:c>
      <x:c r="W329" s="80" t="str">
        <x:f>IF(A329="","",IF(U329="","Открыт","Рассчитан"))</x:f>
      </x:c>
      <x:c r="X329" s="98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IF(U330="Выигрыш",J330-1,IF(U330="Поражение",-1,IF(U330="Возврат",0,IF(U330="Полувыигрыш",(J330-1)/2,IF(U330="Полупроигрыш",-0.5,"")))))</x:f>
      </x:c>
      <x:c r="W330" s="80" t="str">
        <x:f>IF(A330="","",IF(U330="","Открыт","Рассчитан"))</x:f>
      </x:c>
      <x:c r="X330" s="98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IF(U331="Выигрыш",J331-1,IF(U331="Поражение",-1,IF(U331="Возврат",0,IF(U331="Полувыигрыш",(J331-1)/2,IF(U331="Полупроигрыш",-0.5,"")))))</x:f>
      </x:c>
      <x:c r="W331" s="80" t="str">
        <x:f>IF(A331="","",IF(U331="","Открыт","Рассчитан"))</x:f>
      </x:c>
      <x:c r="X331" s="98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IF(U332="Выигрыш",J332-1,IF(U332="Поражение",-1,IF(U332="Возврат",0,IF(U332="Полувыигрыш",(J332-1)/2,IF(U332="Полупроигрыш",-0.5,"")))))</x:f>
      </x:c>
      <x:c r="W332" s="80" t="str">
        <x:f>IF(A332="","",IF(U332="","Открыт","Рассчитан"))</x:f>
      </x:c>
      <x:c r="X332" s="98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IF(U333="Выигрыш",J333-1,IF(U333="Поражение",-1,IF(U333="Возврат",0,IF(U333="Полувыигрыш",(J333-1)/2,IF(U333="Полупроигрыш",-0.5,"")))))</x:f>
      </x:c>
      <x:c r="W333" s="80" t="str">
        <x:f>IF(A333="","",IF(U333="","Открыт","Рассчитан"))</x:f>
      </x:c>
      <x:c r="X333" s="98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IF(U334="Выигрыш",J334-1,IF(U334="Поражение",-1,IF(U334="Возврат",0,IF(U334="Полувыигрыш",(J334-1)/2,IF(U334="Полупроигрыш",-0.5,"")))))</x:f>
      </x:c>
      <x:c r="W334" s="80" t="str">
        <x:f>IF(A334="","",IF(U334="","Открыт","Рассчитан"))</x:f>
      </x:c>
      <x:c r="X334" s="98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IF(U335="Выигрыш",J335-1,IF(U335="Поражение",-1,IF(U335="Возврат",0,IF(U335="Полувыигрыш",(J335-1)/2,IF(U335="Полупроигрыш",-0.5,"")))))</x:f>
      </x:c>
      <x:c r="W335" s="80" t="str">
        <x:f>IF(A335="","",IF(U335="","Открыт","Рассчитан"))</x:f>
      </x:c>
      <x:c r="X335" s="98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IF(U336="Выигрыш",J336-1,IF(U336="Поражение",-1,IF(U336="Возврат",0,IF(U336="Полувыигрыш",(J336-1)/2,IF(U336="Полупроигрыш",-0.5,"")))))</x:f>
      </x:c>
      <x:c r="W336" s="80" t="str">
        <x:f>IF(A336="","",IF(U336="","Открыт","Рассчитан"))</x:f>
      </x:c>
      <x:c r="X336" s="98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IF(U337="Выигрыш",J337-1,IF(U337="Поражение",-1,IF(U337="Возврат",0,IF(U337="Полувыигрыш",(J337-1)/2,IF(U337="Полупроигрыш",-0.5,"")))))</x:f>
      </x:c>
      <x:c r="W337" s="80" t="str">
        <x:f>IF(A337="","",IF(U337="","Открыт","Рассчитан"))</x:f>
      </x:c>
      <x:c r="X337" s="98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IF(U338="Выигрыш",J338-1,IF(U338="Поражение",-1,IF(U338="Возврат",0,IF(U338="Полувыигрыш",(J338-1)/2,IF(U338="Полупроигрыш",-0.5,"")))))</x:f>
      </x:c>
      <x:c r="W338" s="80" t="str">
        <x:f>IF(A338="","",IF(U338="","Открыт","Рассчитан"))</x:f>
      </x:c>
      <x:c r="X338" s="98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IF(U339="Выигрыш",J339-1,IF(U339="Поражение",-1,IF(U339="Возврат",0,IF(U339="Полувыигрыш",(J339-1)/2,IF(U339="Полупроигрыш",-0.5,"")))))</x:f>
      </x:c>
      <x:c r="W339" s="80" t="str">
        <x:f>IF(A339="","",IF(U339="","Открыт","Рассчитан"))</x:f>
      </x:c>
      <x:c r="X339" s="98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IF(U340="Выигрыш",J340-1,IF(U340="Поражение",-1,IF(U340="Возврат",0,IF(U340="Полувыигрыш",(J340-1)/2,IF(U340="Полупроигрыш",-0.5,"")))))</x:f>
      </x:c>
      <x:c r="W340" s="80" t="str">
        <x:f>IF(A340="","",IF(U340="","Открыт","Рассчитан"))</x:f>
      </x:c>
      <x:c r="X340" s="98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IF(U341="Выигрыш",J341-1,IF(U341="Поражение",-1,IF(U341="Возврат",0,IF(U341="Полувыигрыш",(J341-1)/2,IF(U341="Полупроигрыш",-0.5,"")))))</x:f>
      </x:c>
      <x:c r="W341" s="80" t="str">
        <x:f>IF(A341="","",IF(U341="","Открыт","Рассчитан"))</x:f>
      </x:c>
      <x:c r="X341" s="98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IF(U342="Выигрыш",J342-1,IF(U342="Поражение",-1,IF(U342="Возврат",0,IF(U342="Полувыигрыш",(J342-1)/2,IF(U342="Полупроигрыш",-0.5,"")))))</x:f>
      </x:c>
      <x:c r="W342" s="80" t="str">
        <x:f>IF(A342="","",IF(U342="","Открыт","Рассчитан"))</x:f>
      </x:c>
      <x:c r="X342" s="98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IF(U343="Выигрыш",J343-1,IF(U343="Поражение",-1,IF(U343="Возврат",0,IF(U343="Полувыигрыш",(J343-1)/2,IF(U343="Полупроигрыш",-0.5,"")))))</x:f>
      </x:c>
      <x:c r="W343" s="80" t="str">
        <x:f>IF(A343="","",IF(U343="","Открыт","Рассчитан"))</x:f>
      </x:c>
      <x:c r="X343" s="98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IF(U344="Выигрыш",J344-1,IF(U344="Поражение",-1,IF(U344="Возврат",0,IF(U344="Полувыигрыш",(J344-1)/2,IF(U344="Полупроигрыш",-0.5,"")))))</x:f>
      </x:c>
      <x:c r="W344" s="80" t="str">
        <x:f>IF(A344="","",IF(U344="","Открыт","Рассчитан"))</x:f>
      </x:c>
      <x:c r="X344" s="98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IF(U345="Выигрыш",J345-1,IF(U345="Поражение",-1,IF(U345="Возврат",0,IF(U345="Полувыигрыш",(J345-1)/2,IF(U345="Полупроигрыш",-0.5,"")))))</x:f>
      </x:c>
      <x:c r="W345" s="80" t="str">
        <x:f>IF(A345="","",IF(U345="","Открыт","Рассчитан"))</x:f>
      </x:c>
      <x:c r="X345" s="98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IF(U346="Выигрыш",J346-1,IF(U346="Поражение",-1,IF(U346="Возврат",0,IF(U346="Полувыигрыш",(J346-1)/2,IF(U346="Полупроигрыш",-0.5,"")))))</x:f>
      </x:c>
      <x:c r="W346" s="80" t="str">
        <x:f>IF(A346="","",IF(U346="","Открыт","Рассчитан"))</x:f>
      </x:c>
      <x:c r="X346" s="98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IF(U347="Выигрыш",J347-1,IF(U347="Поражение",-1,IF(U347="Возврат",0,IF(U347="Полувыигрыш",(J347-1)/2,IF(U347="Полупроигрыш",-0.5,"")))))</x:f>
      </x:c>
      <x:c r="W347" s="80" t="str">
        <x:f>IF(A347="","",IF(U347="","Открыт","Рассчитан"))</x:f>
      </x:c>
      <x:c r="X347" s="98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IF(U348="Выигрыш",J348-1,IF(U348="Поражение",-1,IF(U348="Возврат",0,IF(U348="Полувыигрыш",(J348-1)/2,IF(U348="Полупроигрыш",-0.5,"")))))</x:f>
      </x:c>
      <x:c r="W348" s="80" t="str">
        <x:f>IF(A348="","",IF(U348="","Открыт","Рассчитан"))</x:f>
      </x:c>
      <x:c r="X348" s="98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IF(U349="Выигрыш",J349-1,IF(U349="Поражение",-1,IF(U349="Возврат",0,IF(U349="Полувыигрыш",(J349-1)/2,IF(U349="Полупроигрыш",-0.5,"")))))</x:f>
      </x:c>
      <x:c r="W349" s="80" t="str">
        <x:f>IF(A349="","",IF(U349="","Открыт","Рассчитан"))</x:f>
      </x:c>
      <x:c r="X349" s="98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IF(U350="Выигрыш",J350-1,IF(U350="Поражение",-1,IF(U350="Возврат",0,IF(U350="Полувыигрыш",(J350-1)/2,IF(U350="Полупроигрыш",-0.5,"")))))</x:f>
      </x:c>
      <x:c r="W350" s="80" t="str">
        <x:f>IF(A350="","",IF(U350="","Открыт","Рассчитан"))</x:f>
      </x:c>
      <x:c r="X350" s="98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IF(U351="Выигрыш",J351-1,IF(U351="Поражение",-1,IF(U351="Возврат",0,IF(U351="Полувыигрыш",(J351-1)/2,IF(U351="Полупроигрыш",-0.5,"")))))</x:f>
      </x:c>
      <x:c r="W351" s="80" t="str">
        <x:f>IF(A351="","",IF(U351="","Открыт","Рассчитан"))</x:f>
      </x:c>
      <x:c r="X351" s="98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IF(U352="Выигрыш",J352-1,IF(U352="Поражение",-1,IF(U352="Возврат",0,IF(U352="Полувыигрыш",(J352-1)/2,IF(U352="Полупроигрыш",-0.5,"")))))</x:f>
      </x:c>
      <x:c r="W352" s="80" t="str">
        <x:f>IF(A352="","",IF(U352="","Открыт","Рассчитан"))</x:f>
      </x:c>
      <x:c r="X352" s="98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IF(U353="Выигрыш",J353-1,IF(U353="Поражение",-1,IF(U353="Возврат",0,IF(U353="Полувыигрыш",(J353-1)/2,IF(U353="Полупроигрыш",-0.5,"")))))</x:f>
      </x:c>
      <x:c r="W353" s="80" t="str">
        <x:f>IF(A353="","",IF(U353="","Открыт","Рассчитан"))</x:f>
      </x:c>
      <x:c r="X353" s="98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IF(U354="Выигрыш",J354-1,IF(U354="Поражение",-1,IF(U354="Возврат",0,IF(U354="Полувыигрыш",(J354-1)/2,IF(U354="Полупроигрыш",-0.5,"")))))</x:f>
      </x:c>
      <x:c r="W354" s="80" t="str">
        <x:f>IF(A354="","",IF(U354="","Открыт","Рассчитан"))</x:f>
      </x:c>
      <x:c r="X354" s="98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IF(U355="Выигрыш",J355-1,IF(U355="Поражение",-1,IF(U355="Возврат",0,IF(U355="Полувыигрыш",(J355-1)/2,IF(U355="Полупроигрыш",-0.5,"")))))</x:f>
      </x:c>
      <x:c r="W355" s="80" t="str">
        <x:f>IF(A355="","",IF(U355="","Открыт","Рассчитан"))</x:f>
      </x:c>
      <x:c r="X355" s="98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IF(U356="Выигрыш",J356-1,IF(U356="Поражение",-1,IF(U356="Возврат",0,IF(U356="Полувыигрыш",(J356-1)/2,IF(U356="Полупроигрыш",-0.5,"")))))</x:f>
      </x:c>
      <x:c r="W356" s="80" t="str">
        <x:f>IF(A356="","",IF(U356="","Открыт","Рассчитан"))</x:f>
      </x:c>
      <x:c r="X356" s="98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IF(U357="Выигрыш",J357-1,IF(U357="Поражение",-1,IF(U357="Возврат",0,IF(U357="Полувыигрыш",(J357-1)/2,IF(U357="Полупроигрыш",-0.5,"")))))</x:f>
      </x:c>
      <x:c r="W357" s="80" t="str">
        <x:f>IF(A357="","",IF(U357="","Открыт","Рассчитан"))</x:f>
      </x:c>
      <x:c r="X357" s="98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IF(U358="Выигрыш",J358-1,IF(U358="Поражение",-1,IF(U358="Возврат",0,IF(U358="Полувыигрыш",(J358-1)/2,IF(U358="Полупроигрыш",-0.5,"")))))</x:f>
      </x:c>
      <x:c r="W358" s="80" t="str">
        <x:f>IF(A358="","",IF(U358="","Открыт","Рассчитан"))</x:f>
      </x:c>
      <x:c r="X358" s="98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IF(U359="Выигрыш",J359-1,IF(U359="Поражение",-1,IF(U359="Возврат",0,IF(U359="Полувыигрыш",(J359-1)/2,IF(U359="Полупроигрыш",-0.5,"")))))</x:f>
      </x:c>
      <x:c r="W359" s="80" t="str">
        <x:f>IF(A359="","",IF(U359="","Открыт","Рассчитан"))</x:f>
      </x:c>
      <x:c r="X359" s="98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IF(U360="Выигрыш",J360-1,IF(U360="Поражение",-1,IF(U360="Возврат",0,IF(U360="Полувыигрыш",(J360-1)/2,IF(U360="Полупроигрыш",-0.5,"")))))</x:f>
      </x:c>
      <x:c r="W360" s="80" t="str">
        <x:f>IF(A360="","",IF(U360="","Открыт","Рассчитан"))</x:f>
      </x:c>
      <x:c r="X360" s="98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IF(U361="Выигрыш",J361-1,IF(U361="Поражение",-1,IF(U361="Возврат",0,IF(U361="Полувыигрыш",(J361-1)/2,IF(U361="Полупроигрыш",-0.5,"")))))</x:f>
      </x:c>
      <x:c r="W361" s="80" t="str">
        <x:f>IF(A361="","",IF(U361="","Открыт","Рассчитан"))</x:f>
      </x:c>
      <x:c r="X361" s="98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IF(U362="Выигрыш",J362-1,IF(U362="Поражение",-1,IF(U362="Возврат",0,IF(U362="Полувыигрыш",(J362-1)/2,IF(U362="Полупроигрыш",-0.5,"")))))</x:f>
      </x:c>
      <x:c r="W362" s="80" t="str">
        <x:f>IF(A362="","",IF(U362="","Открыт","Рассчитан"))</x:f>
      </x:c>
      <x:c r="X362" s="98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IF(U363="Выигрыш",J363-1,IF(U363="Поражение",-1,IF(U363="Возврат",0,IF(U363="Полувыигрыш",(J363-1)/2,IF(U363="Полупроигрыш",-0.5,"")))))</x:f>
      </x:c>
      <x:c r="W363" s="80" t="str">
        <x:f>IF(A363="","",IF(U363="","Открыт","Рассчитан"))</x:f>
      </x:c>
      <x:c r="X363" s="98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IF(U364="Выигрыш",J364-1,IF(U364="Поражение",-1,IF(U364="Возврат",0,IF(U364="Полувыигрыш",(J364-1)/2,IF(U364="Полупроигрыш",-0.5,"")))))</x:f>
      </x:c>
      <x:c r="W364" s="80" t="str">
        <x:f>IF(A364="","",IF(U364="","Открыт","Рассчитан"))</x:f>
      </x:c>
      <x:c r="X364" s="98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IF(U365="Выигрыш",J365-1,IF(U365="Поражение",-1,IF(U365="Возврат",0,IF(U365="Полувыигрыш",(J365-1)/2,IF(U365="Полупроигрыш",-0.5,"")))))</x:f>
      </x:c>
      <x:c r="W365" s="80" t="str">
        <x:f>IF(A365="","",IF(U365="","Открыт","Рассчитан"))</x:f>
      </x:c>
      <x:c r="X365" s="98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IF(U366="Выигрыш",J366-1,IF(U366="Поражение",-1,IF(U366="Возврат",0,IF(U366="Полувыигрыш",(J366-1)/2,IF(U366="Полупроигрыш",-0.5,"")))))</x:f>
      </x:c>
      <x:c r="W366" s="80" t="str">
        <x:f>IF(A366="","",IF(U366="","Открыт","Рассчитан"))</x:f>
      </x:c>
      <x:c r="X366" s="98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IF(U367="Выигрыш",J367-1,IF(U367="Поражение",-1,IF(U367="Возврат",0,IF(U367="Полувыигрыш",(J367-1)/2,IF(U367="Полупроигрыш",-0.5,"")))))</x:f>
      </x:c>
      <x:c r="W367" s="80" t="str">
        <x:f>IF(A367="","",IF(U367="","Открыт","Рассчитан"))</x:f>
      </x:c>
      <x:c r="X367" s="98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IF(U368="Выигрыш",J368-1,IF(U368="Поражение",-1,IF(U368="Возврат",0,IF(U368="Полувыигрыш",(J368-1)/2,IF(U368="Полупроигрыш",-0.5,"")))))</x:f>
      </x:c>
      <x:c r="W368" s="80" t="str">
        <x:f>IF(A368="","",IF(U368="","Открыт","Рассчитан"))</x:f>
      </x:c>
      <x:c r="X368" s="98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IF(U369="Выигрыш",J369-1,IF(U369="Поражение",-1,IF(U369="Возврат",0,IF(U369="Полувыигрыш",(J369-1)/2,IF(U369="Полупроигрыш",-0.5,"")))))</x:f>
      </x:c>
      <x:c r="W369" s="80" t="str">
        <x:f>IF(A369="","",IF(U369="","Открыт","Рассчитан"))</x:f>
      </x:c>
      <x:c r="X369" s="98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IF(U370="Выигрыш",J370-1,IF(U370="Поражение",-1,IF(U370="Возврат",0,IF(U370="Полувыигрыш",(J370-1)/2,IF(U370="Полупроигрыш",-0.5,"")))))</x:f>
      </x:c>
      <x:c r="W370" s="80" t="str">
        <x:f>IF(A370="","",IF(U370="","Открыт","Рассчитан"))</x:f>
      </x:c>
      <x:c r="X370" s="98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IF(U371="Выигрыш",J371-1,IF(U371="Поражение",-1,IF(U371="Возврат",0,IF(U371="Полувыигрыш",(J371-1)/2,IF(U371="Полупроигрыш",-0.5,"")))))</x:f>
      </x:c>
      <x:c r="W371" s="80" t="str">
        <x:f>IF(A371="","",IF(U371="","Открыт","Рассчитан"))</x:f>
      </x:c>
      <x:c r="X371" s="98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IF(U372="Выигрыш",J372-1,IF(U372="Поражение",-1,IF(U372="Возврат",0,IF(U372="Полувыигрыш",(J372-1)/2,IF(U372="Полупроигрыш",-0.5,"")))))</x:f>
      </x:c>
      <x:c r="W372" s="80" t="str">
        <x:f>IF(A372="","",IF(U372="","Открыт","Рассчитан"))</x:f>
      </x:c>
      <x:c r="X372" s="98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IF(U373="Выигрыш",J373-1,IF(U373="Поражение",-1,IF(U373="Возврат",0,IF(U373="Полувыигрыш",(J373-1)/2,IF(U373="Полупроигрыш",-0.5,"")))))</x:f>
      </x:c>
      <x:c r="W373" s="80" t="str">
        <x:f>IF(A373="","",IF(U373="","Открыт","Рассчитан"))</x:f>
      </x:c>
      <x:c r="X373" s="98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IF(U374="Выигрыш",J374-1,IF(U374="Поражение",-1,IF(U374="Возврат",0,IF(U374="Полувыигрыш",(J374-1)/2,IF(U374="Полупроигрыш",-0.5,"")))))</x:f>
      </x:c>
      <x:c r="W374" s="80" t="str">
        <x:f>IF(A374="","",IF(U374="","Открыт","Рассчитан"))</x:f>
      </x:c>
      <x:c r="X374" s="98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IF(U375="Выигрыш",J375-1,IF(U375="Поражение",-1,IF(U375="Возврат",0,IF(U375="Полувыигрыш",(J375-1)/2,IF(U375="Полупроигрыш",-0.5,"")))))</x:f>
      </x:c>
      <x:c r="W375" s="80" t="str">
        <x:f>IF(A375="","",IF(U375="","Открыт","Рассчитан"))</x:f>
      </x:c>
      <x:c r="X375" s="98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IF(U376="Выигрыш",J376-1,IF(U376="Поражение",-1,IF(U376="Возврат",0,IF(U376="Полувыигрыш",(J376-1)/2,IF(U376="Полупроигрыш",-0.5,"")))))</x:f>
      </x:c>
      <x:c r="W376" s="80" t="str">
        <x:f>IF(A376="","",IF(U376="","Открыт","Рассчитан"))</x:f>
      </x:c>
      <x:c r="X376" s="98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IF(U377="Выигрыш",J377-1,IF(U377="Поражение",-1,IF(U377="Возврат",0,IF(U377="Полувыигрыш",(J377-1)/2,IF(U377="Полупроигрыш",-0.5,"")))))</x:f>
      </x:c>
      <x:c r="W377" s="80" t="str">
        <x:f>IF(A377="","",IF(U377="","Открыт","Рассчитан"))</x:f>
      </x:c>
      <x:c r="X377" s="98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IF(U378="Выигрыш",J378-1,IF(U378="Поражение",-1,IF(U378="Возврат",0,IF(U378="Полувыигрыш",(J378-1)/2,IF(U378="Полупроигрыш",-0.5,"")))))</x:f>
      </x:c>
      <x:c r="W378" s="80" t="str">
        <x:f>IF(A378="","",IF(U378="","Открыт","Рассчитан"))</x:f>
      </x:c>
      <x:c r="X378" s="98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IF(U379="Выигрыш",J379-1,IF(U379="Поражение",-1,IF(U379="Возврат",0,IF(U379="Полувыигрыш",(J379-1)/2,IF(U379="Полупроигрыш",-0.5,"")))))</x:f>
      </x:c>
      <x:c r="W379" s="80" t="str">
        <x:f>IF(A379="","",IF(U379="","Открыт","Рассчитан"))</x:f>
      </x:c>
      <x:c r="X379" s="98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IF(U380="Выигрыш",J380-1,IF(U380="Поражение",-1,IF(U380="Возврат",0,IF(U380="Полувыигрыш",(J380-1)/2,IF(U380="Полупроигрыш",-0.5,"")))))</x:f>
      </x:c>
      <x:c r="W380" s="80" t="str">
        <x:f>IF(A380="","",IF(U380="","Открыт","Рассчитан"))</x:f>
      </x:c>
      <x:c r="X380" s="98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IF(U381="Выигрыш",J381-1,IF(U381="Поражение",-1,IF(U381="Возврат",0,IF(U381="Полувыигрыш",(J381-1)/2,IF(U381="Полупроигрыш",-0.5,"")))))</x:f>
      </x:c>
      <x:c r="W381" s="80" t="str">
        <x:f>IF(A381="","",IF(U381="","Открыт","Рассчитан"))</x:f>
      </x:c>
      <x:c r="X381" s="98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IF(U382="Выигрыш",J382-1,IF(U382="Поражение",-1,IF(U382="Возврат",0,IF(U382="Полувыигрыш",(J382-1)/2,IF(U382="Полупроигрыш",-0.5,"")))))</x:f>
      </x:c>
      <x:c r="W382" s="80" t="str">
        <x:f>IF(A382="","",IF(U382="","Открыт","Рассчитан"))</x:f>
      </x:c>
      <x:c r="X382" s="98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IF(U383="Выигрыш",J383-1,IF(U383="Поражение",-1,IF(U383="Возврат",0,IF(U383="Полувыигрыш",(J383-1)/2,IF(U383="Полупроигрыш",-0.5,"")))))</x:f>
      </x:c>
      <x:c r="W383" s="80" t="str">
        <x:f>IF(A383="","",IF(U383="","Открыт","Рассчитан"))</x:f>
      </x:c>
      <x:c r="X383" s="98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IF(U384="Выигрыш",J384-1,IF(U384="Поражение",-1,IF(U384="Возврат",0,IF(U384="Полувыигрыш",(J384-1)/2,IF(U384="Полупроигрыш",-0.5,"")))))</x:f>
      </x:c>
      <x:c r="W384" s="80" t="str">
        <x:f>IF(A384="","",IF(U384="","Открыт","Рассчитан"))</x:f>
      </x:c>
      <x:c r="X384" s="98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IF(U385="Выигрыш",J385-1,IF(U385="Поражение",-1,IF(U385="Возврат",0,IF(U385="Полувыигрыш",(J385-1)/2,IF(U385="Полупроигрыш",-0.5,"")))))</x:f>
      </x:c>
      <x:c r="W385" s="80" t="str">
        <x:f>IF(A385="","",IF(U385="","Открыт","Рассчитан"))</x:f>
      </x:c>
      <x:c r="X385" s="98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IF(U386="Выигрыш",J386-1,IF(U386="Поражение",-1,IF(U386="Возврат",0,IF(U386="Полувыигрыш",(J386-1)/2,IF(U386="Полупроигрыш",-0.5,"")))))</x:f>
      </x:c>
      <x:c r="W386" s="80" t="str">
        <x:f>IF(A386="","",IF(U386="","Открыт","Рассчитан"))</x:f>
      </x:c>
      <x:c r="X386" s="98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IF(U387="Выигрыш",J387-1,IF(U387="Поражение",-1,IF(U387="Возврат",0,IF(U387="Полувыигрыш",(J387-1)/2,IF(U387="Полупроигрыш",-0.5,"")))))</x:f>
      </x:c>
      <x:c r="W387" s="80" t="str">
        <x:f>IF(A387="","",IF(U387="","Открыт","Рассчитан"))</x:f>
      </x:c>
      <x:c r="X387" s="98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IF(U388="Выигрыш",J388-1,IF(U388="Поражение",-1,IF(U388="Возврат",0,IF(U388="Полувыигрыш",(J388-1)/2,IF(U388="Полупроигрыш",-0.5,"")))))</x:f>
      </x:c>
      <x:c r="W388" s="80" t="str">
        <x:f>IF(A388="","",IF(U388="","Открыт","Рассчитан"))</x:f>
      </x:c>
      <x:c r="X388" s="98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IF(U389="Выигрыш",J389-1,IF(U389="Поражение",-1,IF(U389="Возврат",0,IF(U389="Полувыигрыш",(J389-1)/2,IF(U389="Полупроигрыш",-0.5,"")))))</x:f>
      </x:c>
      <x:c r="W389" s="80" t="str">
        <x:f>IF(A389="","",IF(U389="","Открыт","Рассчитан"))</x:f>
      </x:c>
      <x:c r="X389" s="98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IF(U390="Выигрыш",J390-1,IF(U390="Поражение",-1,IF(U390="Возврат",0,IF(U390="Полувыигрыш",(J390-1)/2,IF(U390="Полупроигрыш",-0.5,"")))))</x:f>
      </x:c>
      <x:c r="W390" s="80" t="str">
        <x:f>IF(A390="","",IF(U390="","Открыт","Рассчитан"))</x:f>
      </x:c>
      <x:c r="X390" s="98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IF(U391="Выигрыш",J391-1,IF(U391="Поражение",-1,IF(U391="Возврат",0,IF(U391="Полувыигрыш",(J391-1)/2,IF(U391="Полупроигрыш",-0.5,"")))))</x:f>
      </x:c>
      <x:c r="W391" s="80" t="str">
        <x:f>IF(A391="","",IF(U391="","Открыт","Рассчитан"))</x:f>
      </x:c>
      <x:c r="X391" s="98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IF(U392="Выигрыш",J392-1,IF(U392="Поражение",-1,IF(U392="Возврат",0,IF(U392="Полувыигрыш",(J392-1)/2,IF(U392="Полупроигрыш",-0.5,"")))))</x:f>
      </x:c>
      <x:c r="W392" s="80" t="str">
        <x:f>IF(A392="","",IF(U392="","Открыт","Рассчитан"))</x:f>
      </x:c>
      <x:c r="X392" s="98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IF(U393="Выигрыш",J393-1,IF(U393="Поражение",-1,IF(U393="Возврат",0,IF(U393="Полувыигрыш",(J393-1)/2,IF(U393="Полупроигрыш",-0.5,"")))))</x:f>
      </x:c>
      <x:c r="W393" s="80" t="str">
        <x:f>IF(A393="","",IF(U393="","Открыт","Рассчитан"))</x:f>
      </x:c>
      <x:c r="X393" s="98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IF(U394="Выигрыш",J394-1,IF(U394="Поражение",-1,IF(U394="Возврат",0,IF(U394="Полувыигрыш",(J394-1)/2,IF(U394="Полупроигрыш",-0.5,"")))))</x:f>
      </x:c>
      <x:c r="W394" s="80" t="str">
        <x:f>IF(A394="","",IF(U394="","Открыт","Рассчитан"))</x:f>
      </x:c>
      <x:c r="X394" s="98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IF(U395="Выигрыш",J395-1,IF(U395="Поражение",-1,IF(U395="Возврат",0,IF(U395="Полувыигрыш",(J395-1)/2,IF(U395="Полупроигрыш",-0.5,"")))))</x:f>
      </x:c>
      <x:c r="W395" s="80" t="str">
        <x:f>IF(A395="","",IF(U395="","Открыт","Рассчитан"))</x:f>
      </x:c>
      <x:c r="X395" s="98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IF(U396="Выигрыш",J396-1,IF(U396="Поражение",-1,IF(U396="Возврат",0,IF(U396="Полувыигрыш",(J396-1)/2,IF(U396="Полупроигрыш",-0.5,"")))))</x:f>
      </x:c>
      <x:c r="W396" s="80" t="str">
        <x:f>IF(A396="","",IF(U396="","Открыт","Рассчитан"))</x:f>
      </x:c>
      <x:c r="X396" s="98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IF(U397="Выигрыш",J397-1,IF(U397="Поражение",-1,IF(U397="Возврат",0,IF(U397="Полувыигрыш",(J397-1)/2,IF(U397="Полупроигрыш",-0.5,"")))))</x:f>
      </x:c>
      <x:c r="W397" s="80" t="str">
        <x:f>IF(A397="","",IF(U397="","Открыт","Рассчитан"))</x:f>
      </x:c>
      <x:c r="X397" s="98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IF(U398="Выигрыш",J398-1,IF(U398="Поражение",-1,IF(U398="Возврат",0,IF(U398="Полувыигрыш",(J398-1)/2,IF(U398="Полупроигрыш",-0.5,"")))))</x:f>
      </x:c>
      <x:c r="W398" s="80" t="str">
        <x:f>IF(A398="","",IF(U398="","Открыт","Рассчитан"))</x:f>
      </x:c>
      <x:c r="X398" s="98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IF(U399="Выигрыш",J399-1,IF(U399="Поражение",-1,IF(U399="Возврат",0,IF(U399="Полувыигрыш",(J399-1)/2,IF(U399="Полупроигрыш",-0.5,"")))))</x:f>
      </x:c>
      <x:c r="W399" s="80" t="str">
        <x:f>IF(A399="","",IF(U399="","Открыт","Рассчитан"))</x:f>
      </x:c>
      <x:c r="X399" s="98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IF(U400="Выигрыш",J400-1,IF(U400="Поражение",-1,IF(U400="Возврат",0,IF(U400="Полувыигрыш",(J400-1)/2,IF(U400="Полупроигрыш",-0.5,"")))))</x:f>
      </x:c>
      <x:c r="W400" s="80" t="str">
        <x:f>IF(A400="","",IF(U400="","Открыт","Рассчитан"))</x:f>
      </x:c>
      <x:c r="X400" s="98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IF(U401="Выигрыш",J401-1,IF(U401="Поражение",-1,IF(U401="Возврат",0,IF(U401="Полувыигрыш",(J401-1)/2,IF(U401="Полупроигрыш",-0.5,"")))))</x:f>
      </x:c>
      <x:c r="W401" s="80" t="str">
        <x:f>IF(A401="","",IF(U401="","Открыт","Рассчитан"))</x:f>
      </x:c>
      <x:c r="X401" s="98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IF(U402="Выигрыш",J402-1,IF(U402="Поражение",-1,IF(U402="Возврат",0,IF(U402="Полувыигрыш",(J402-1)/2,IF(U402="Полупроигрыш",-0.5,"")))))</x:f>
      </x:c>
      <x:c r="W402" s="80" t="str">
        <x:f>IF(A402="","",IF(U402="","Открыт","Рассчитан"))</x:f>
      </x:c>
      <x:c r="X402" s="98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IF(U403="Выигрыш",J403-1,IF(U403="Поражение",-1,IF(U403="Возврат",0,IF(U403="Полувыигрыш",(J403-1)/2,IF(U403="Полупроигрыш",-0.5,"")))))</x:f>
      </x:c>
      <x:c r="W403" s="80" t="str">
        <x:f>IF(A403="","",IF(U403="","Открыт","Рассчитан"))</x:f>
      </x:c>
      <x:c r="X403" s="98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IF(U404="Выигрыш",J404-1,IF(U404="Поражение",-1,IF(U404="Возврат",0,IF(U404="Полувыигрыш",(J404-1)/2,IF(U404="Полупроигрыш",-0.5,"")))))</x:f>
      </x:c>
      <x:c r="W404" s="80" t="str">
        <x:f>IF(A404="","",IF(U404="","Открыт","Рассчитан"))</x:f>
      </x:c>
      <x:c r="X404" s="98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IF(U405="Выигрыш",J405-1,IF(U405="Поражение",-1,IF(U405="Возврат",0,IF(U405="Полувыигрыш",(J405-1)/2,IF(U405="Полупроигрыш",-0.5,"")))))</x:f>
      </x:c>
      <x:c r="W405" s="80" t="str">
        <x:f>IF(A405="","",IF(U405="","Открыт","Рассчитан"))</x:f>
      </x:c>
      <x:c r="X405" s="98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IF(U406="Выигрыш",J406-1,IF(U406="Поражение",-1,IF(U406="Возврат",0,IF(U406="Полувыигрыш",(J406-1)/2,IF(U406="Полупроигрыш",-0.5,"")))))</x:f>
      </x:c>
      <x:c r="W406" s="80" t="str">
        <x:f>IF(A406="","",IF(U406="","Открыт","Рассчитан"))</x:f>
      </x:c>
      <x:c r="X406" s="98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IF(U407="Выигрыш",J407-1,IF(U407="Поражение",-1,IF(U407="Возврат",0,IF(U407="Полувыигрыш",(J407-1)/2,IF(U407="Полупроигрыш",-0.5,"")))))</x:f>
      </x:c>
      <x:c r="W407" s="80" t="str">
        <x:f>IF(A407="","",IF(U407="","Открыт","Рассчитан"))</x:f>
      </x:c>
      <x:c r="X407" s="98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IF(U408="Выигрыш",J408-1,IF(U408="Поражение",-1,IF(U408="Возврат",0,IF(U408="Полувыигрыш",(J408-1)/2,IF(U408="Полупроигрыш",-0.5,"")))))</x:f>
      </x:c>
      <x:c r="W408" s="80" t="str">
        <x:f>IF(A408="","",IF(U408="","Открыт","Рассчитан"))</x:f>
      </x:c>
      <x:c r="X408" s="98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IF(U409="Выигрыш",J409-1,IF(U409="Поражение",-1,IF(U409="Возврат",0,IF(U409="Полувыигрыш",(J409-1)/2,IF(U409="Полупроигрыш",-0.5,"")))))</x:f>
      </x:c>
      <x:c r="W409" s="80" t="str">
        <x:f>IF(A409="","",IF(U409="","Открыт","Рассчитан"))</x:f>
      </x:c>
      <x:c r="X409" s="98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IF(U410="Выигрыш",J410-1,IF(U410="Поражение",-1,IF(U410="Возврат",0,IF(U410="Полувыигрыш",(J410-1)/2,IF(U410="Полупроигрыш",-0.5,"")))))</x:f>
      </x:c>
      <x:c r="W410" s="80" t="str">
        <x:f>IF(A410="","",IF(U410="","Открыт","Рассчитан"))</x:f>
      </x:c>
      <x:c r="X410" s="98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IF(U411="Выигрыш",J411-1,IF(U411="Поражение",-1,IF(U411="Возврат",0,IF(U411="Полувыигрыш",(J411-1)/2,IF(U411="Полупроигрыш",-0.5,"")))))</x:f>
      </x:c>
      <x:c r="W411" s="80" t="str">
        <x:f>IF(A411="","",IF(U411="","Открыт","Рассчитан"))</x:f>
      </x:c>
      <x:c r="X411" s="98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IF(U412="Выигрыш",J412-1,IF(U412="Поражение",-1,IF(U412="Возврат",0,IF(U412="Полувыигрыш",(J412-1)/2,IF(U412="Полупроигрыш",-0.5,"")))))</x:f>
      </x:c>
      <x:c r="W412" s="80" t="str">
        <x:f>IF(A412="","",IF(U412="","Открыт","Рассчитан"))</x:f>
      </x:c>
      <x:c r="X412" s="98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IF(U413="Выигрыш",J413-1,IF(U413="Поражение",-1,IF(U413="Возврат",0,IF(U413="Полувыигрыш",(J413-1)/2,IF(U413="Полупроигрыш",-0.5,"")))))</x:f>
      </x:c>
      <x:c r="W413" s="80" t="str">
        <x:f>IF(A413="","",IF(U413="","Открыт","Рассчитан"))</x:f>
      </x:c>
      <x:c r="X413" s="98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IF(U414="Выигрыш",J414-1,IF(U414="Поражение",-1,IF(U414="Возврат",0,IF(U414="Полувыигрыш",(J414-1)/2,IF(U414="Полупроигрыш",-0.5,"")))))</x:f>
      </x:c>
      <x:c r="W414" s="80" t="str">
        <x:f>IF(A414="","",IF(U414="","Открыт","Рассчитан"))</x:f>
      </x:c>
      <x:c r="X414" s="98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IF(U415="Выигрыш",J415-1,IF(U415="Поражение",-1,IF(U415="Возврат",0,IF(U415="Полувыигрыш",(J415-1)/2,IF(U415="Полупроигрыш",-0.5,"")))))</x:f>
      </x:c>
      <x:c r="W415" s="80" t="str">
        <x:f>IF(A415="","",IF(U415="","Открыт","Рассчитан"))</x:f>
      </x:c>
      <x:c r="X415" s="98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IF(U416="Выигрыш",J416-1,IF(U416="Поражение",-1,IF(U416="Возврат",0,IF(U416="Полувыигрыш",(J416-1)/2,IF(U416="Полупроигрыш",-0.5,"")))))</x:f>
      </x:c>
      <x:c r="W416" s="80" t="str">
        <x:f>IF(A416="","",IF(U416="","Открыт","Рассчитан"))</x:f>
      </x:c>
      <x:c r="X416" s="98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IF(U417="Выигрыш",J417-1,IF(U417="Поражение",-1,IF(U417="Возврат",0,IF(U417="Полувыигрыш",(J417-1)/2,IF(U417="Полупроигрыш",-0.5,"")))))</x:f>
      </x:c>
      <x:c r="W417" s="80" t="str">
        <x:f>IF(A417="","",IF(U417="","Открыт","Рассчитан"))</x:f>
      </x:c>
      <x:c r="X417" s="98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IF(U418="Выигрыш",J418-1,IF(U418="Поражение",-1,IF(U418="Возврат",0,IF(U418="Полувыигрыш",(J418-1)/2,IF(U418="Полупроигрыш",-0.5,"")))))</x:f>
      </x:c>
      <x:c r="W418" s="80" t="str">
        <x:f>IF(A418="","",IF(U418="","Открыт","Рассчитан"))</x:f>
      </x:c>
      <x:c r="X418" s="98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IF(U419="Выигрыш",J419-1,IF(U419="Поражение",-1,IF(U419="Возврат",0,IF(U419="Полувыигрыш",(J419-1)/2,IF(U419="Полупроигрыш",-0.5,"")))))</x:f>
      </x:c>
      <x:c r="W419" s="80" t="str">
        <x:f>IF(A419="","",IF(U419="","Открыт","Рассчитан"))</x:f>
      </x:c>
      <x:c r="X419" s="98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IF(U420="Выигрыш",J420-1,IF(U420="Поражение",-1,IF(U420="Возврат",0,IF(U420="Полувыигрыш",(J420-1)/2,IF(U420="Полупроигрыш",-0.5,"")))))</x:f>
      </x:c>
      <x:c r="W420" s="80" t="str">
        <x:f>IF(A420="","",IF(U420="","Открыт","Рассчитан"))</x:f>
      </x:c>
      <x:c r="X420" s="98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IF(U421="Выигрыш",J421-1,IF(U421="Поражение",-1,IF(U421="Возврат",0,IF(U421="Полувыигрыш",(J421-1)/2,IF(U421="Полупроигрыш",-0.5,"")))))</x:f>
      </x:c>
      <x:c r="W421" s="80" t="str">
        <x:f>IF(A421="","",IF(U421="","Открыт","Рассчитан"))</x:f>
      </x:c>
      <x:c r="X421" s="98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IF(U422="Выигрыш",J422-1,IF(U422="Поражение",-1,IF(U422="Возврат",0,IF(U422="Полувыигрыш",(J422-1)/2,IF(U422="Полупроигрыш",-0.5,"")))))</x:f>
      </x:c>
      <x:c r="W422" s="80" t="str">
        <x:f>IF(A422="","",IF(U422="","Открыт","Рассчитан"))</x:f>
      </x:c>
      <x:c r="X422" s="98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IF(U423="Выигрыш",J423-1,IF(U423="Поражение",-1,IF(U423="Возврат",0,IF(U423="Полувыигрыш",(J423-1)/2,IF(U423="Полупроигрыш",-0.5,"")))))</x:f>
      </x:c>
      <x:c r="W423" s="80" t="str">
        <x:f>IF(A423="","",IF(U423="","Открыт","Рассчитан"))</x:f>
      </x:c>
      <x:c r="X423" s="98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IF(U424="Выигрыш",J424-1,IF(U424="Поражение",-1,IF(U424="Возврат",0,IF(U424="Полувыигрыш",(J424-1)/2,IF(U424="Полупроигрыш",-0.5,"")))))</x:f>
      </x:c>
      <x:c r="W424" s="80" t="str">
        <x:f>IF(A424="","",IF(U424="","Открыт","Рассчитан"))</x:f>
      </x:c>
      <x:c r="X424" s="98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IF(U425="Выигрыш",J425-1,IF(U425="Поражение",-1,IF(U425="Возврат",0,IF(U425="Полувыигрыш",(J425-1)/2,IF(U425="Полупроигрыш",-0.5,"")))))</x:f>
      </x:c>
      <x:c r="W425" s="80" t="str">
        <x:f>IF(A425="","",IF(U425="","Открыт","Рассчитан"))</x:f>
      </x:c>
      <x:c r="X425" s="98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IF(U426="Выигрыш",J426-1,IF(U426="Поражение",-1,IF(U426="Возврат",0,IF(U426="Полувыигрыш",(J426-1)/2,IF(U426="Полупроигрыш",-0.5,"")))))</x:f>
      </x:c>
      <x:c r="W426" s="80" t="str">
        <x:f>IF(A426="","",IF(U426="","Открыт","Рассчитан"))</x:f>
      </x:c>
      <x:c r="X426" s="98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IF(U427="Выигрыш",J427-1,IF(U427="Поражение",-1,IF(U427="Возврат",0,IF(U427="Полувыигрыш",(J427-1)/2,IF(U427="Полупроигрыш",-0.5,"")))))</x:f>
      </x:c>
      <x:c r="W427" s="80" t="str">
        <x:f>IF(A427="","",IF(U427="","Открыт","Рассчитан"))</x:f>
      </x:c>
      <x:c r="X427" s="98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IF(U428="Выигрыш",J428-1,IF(U428="Поражение",-1,IF(U428="Возврат",0,IF(U428="Полувыигрыш",(J428-1)/2,IF(U428="Полупроигрыш",-0.5,"")))))</x:f>
      </x:c>
      <x:c r="W428" s="80" t="str">
        <x:f>IF(A428="","",IF(U428="","Открыт","Рассчитан"))</x:f>
      </x:c>
      <x:c r="X428" s="98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IF(U429="Выигрыш",J429-1,IF(U429="Поражение",-1,IF(U429="Возврат",0,IF(U429="Полувыигрыш",(J429-1)/2,IF(U429="Полупроигрыш",-0.5,"")))))</x:f>
      </x:c>
      <x:c r="W429" s="80" t="str">
        <x:f>IF(A429="","",IF(U429="","Открыт","Рассчитан"))</x:f>
      </x:c>
      <x:c r="X429" s="98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IF(U430="Выигрыш",J430-1,IF(U430="Поражение",-1,IF(U430="Возврат",0,IF(U430="Полувыигрыш",(J430-1)/2,IF(U430="Полупроигрыш",-0.5,"")))))</x:f>
      </x:c>
      <x:c r="W430" s="80" t="str">
        <x:f>IF(A430="","",IF(U430="","Открыт","Рассчитан"))</x:f>
      </x:c>
      <x:c r="X430" s="98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IF(U431="Выигрыш",J431-1,IF(U431="Поражение",-1,IF(U431="Возврат",0,IF(U431="Полувыигрыш",(J431-1)/2,IF(U431="Полупроигрыш",-0.5,"")))))</x:f>
      </x:c>
      <x:c r="W431" s="80" t="str">
        <x:f>IF(A431="","",IF(U431="","Открыт","Рассчитан"))</x:f>
      </x:c>
      <x:c r="X431" s="98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IF(U432="Выигрыш",J432-1,IF(U432="Поражение",-1,IF(U432="Возврат",0,IF(U432="Полувыигрыш",(J432-1)/2,IF(U432="Полупроигрыш",-0.5,"")))))</x:f>
      </x:c>
      <x:c r="W432" s="80" t="str">
        <x:f>IF(A432="","",IF(U432="","Открыт","Рассчитан"))</x:f>
      </x:c>
      <x:c r="X432" s="98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IF(U433="Выигрыш",J433-1,IF(U433="Поражение",-1,IF(U433="Возврат",0,IF(U433="Полувыигрыш",(J433-1)/2,IF(U433="Полупроигрыш",-0.5,"")))))</x:f>
      </x:c>
      <x:c r="W433" s="80" t="str">
        <x:f>IF(A433="","",IF(U433="","Открыт","Рассчитан"))</x:f>
      </x:c>
      <x:c r="X433" s="98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IF(U434="Выигрыш",J434-1,IF(U434="Поражение",-1,IF(U434="Возврат",0,IF(U434="Полувыигрыш",(J434-1)/2,IF(U434="Полупроигрыш",-0.5,"")))))</x:f>
      </x:c>
      <x:c r="W434" s="80" t="str">
        <x:f>IF(A434="","",IF(U434="","Открыт","Рассчитан"))</x:f>
      </x:c>
      <x:c r="X434" s="98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IF(U435="Выигрыш",J435-1,IF(U435="Поражение",-1,IF(U435="Возврат",0,IF(U435="Полувыигрыш",(J435-1)/2,IF(U435="Полупроигрыш",-0.5,"")))))</x:f>
      </x:c>
      <x:c r="W435" s="80" t="str">
        <x:f>IF(A435="","",IF(U435="","Открыт","Рассчитан"))</x:f>
      </x:c>
      <x:c r="X435" s="98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IF(U436="Выигрыш",J436-1,IF(U436="Поражение",-1,IF(U436="Возврат",0,IF(U436="Полувыигрыш",(J436-1)/2,IF(U436="Полупроигрыш",-0.5,"")))))</x:f>
      </x:c>
      <x:c r="W436" s="80" t="str">
        <x:f>IF(A436="","",IF(U436="","Открыт","Рассчитан"))</x:f>
      </x:c>
      <x:c r="X436" s="98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IF(U437="Выигрыш",J437-1,IF(U437="Поражение",-1,IF(U437="Возврат",0,IF(U437="Полувыигрыш",(J437-1)/2,IF(U437="Полупроигрыш",-0.5,"")))))</x:f>
      </x:c>
      <x:c r="W437" s="80" t="str">
        <x:f>IF(A437="","",IF(U437="","Открыт","Рассчитан"))</x:f>
      </x:c>
      <x:c r="X437" s="98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IF(U438="Выигрыш",J438-1,IF(U438="Поражение",-1,IF(U438="Возврат",0,IF(U438="Полувыигрыш",(J438-1)/2,IF(U438="Полупроигрыш",-0.5,"")))))</x:f>
      </x:c>
      <x:c r="W438" s="80" t="str">
        <x:f>IF(A438="","",IF(U438="","Открыт","Рассчитан"))</x:f>
      </x:c>
      <x:c r="X438" s="98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IF(U439="Выигрыш",J439-1,IF(U439="Поражение",-1,IF(U439="Возврат",0,IF(U439="Полувыигрыш",(J439-1)/2,IF(U439="Полупроигрыш",-0.5,"")))))</x:f>
      </x:c>
      <x:c r="W439" s="80" t="str">
        <x:f>IF(A439="","",IF(U439="","Открыт","Рассчитан"))</x:f>
      </x:c>
      <x:c r="X439" s="98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IF(U440="Выигрыш",J440-1,IF(U440="Поражение",-1,IF(U440="Возврат",0,IF(U440="Полувыигрыш",(J440-1)/2,IF(U440="Полупроигрыш",-0.5,"")))))</x:f>
      </x:c>
      <x:c r="W440" s="80" t="str">
        <x:f>IF(A440="","",IF(U440="","Открыт","Рассчитан"))</x:f>
      </x:c>
      <x:c r="X440" s="98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IF(U441="Выигрыш",J441-1,IF(U441="Поражение",-1,IF(U441="Возврат",0,IF(U441="Полувыигрыш",(J441-1)/2,IF(U441="Полупроигрыш",-0.5,"")))))</x:f>
      </x:c>
      <x:c r="W441" s="80" t="str">
        <x:f>IF(A441="","",IF(U441="","Открыт","Рассчитан"))</x:f>
      </x:c>
      <x:c r="X441" s="98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IF(U442="Выигрыш",J442-1,IF(U442="Поражение",-1,IF(U442="Возврат",0,IF(U442="Полувыигрыш",(J442-1)/2,IF(U442="Полупроигрыш",-0.5,"")))))</x:f>
      </x:c>
      <x:c r="W442" s="80" t="str">
        <x:f>IF(A442="","",IF(U442="","Открыт","Рассчитан"))</x:f>
      </x:c>
      <x:c r="X442" s="98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IF(U443="Выигрыш",J443-1,IF(U443="Поражение",-1,IF(U443="Возврат",0,IF(U443="Полувыигрыш",(J443-1)/2,IF(U443="Полупроигрыш",-0.5,"")))))</x:f>
      </x:c>
      <x:c r="W443" s="80" t="str">
        <x:f>IF(A443="","",IF(U443="","Открыт","Рассчитан"))</x:f>
      </x:c>
      <x:c r="X443" s="98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IF(U444="Выигрыш",J444-1,IF(U444="Поражение",-1,IF(U444="Возврат",0,IF(U444="Полувыигрыш",(J444-1)/2,IF(U444="Полупроигрыш",-0.5,"")))))</x:f>
      </x:c>
      <x:c r="W444" s="80" t="str">
        <x:f>IF(A444="","",IF(U444="","Открыт","Рассчитан"))</x:f>
      </x:c>
      <x:c r="X444" s="98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IF(U445="Выигрыш",J445-1,IF(U445="Поражение",-1,IF(U445="Возврат",0,IF(U445="Полувыигрыш",(J445-1)/2,IF(U445="Полупроигрыш",-0.5,"")))))</x:f>
      </x:c>
      <x:c r="W445" s="80" t="str">
        <x:f>IF(A445="","",IF(U445="","Открыт","Рассчитан"))</x:f>
      </x:c>
      <x:c r="X445" s="98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IF(U446="Выигрыш",J446-1,IF(U446="Поражение",-1,IF(U446="Возврат",0,IF(U446="Полувыигрыш",(J446-1)/2,IF(U446="Полупроигрыш",-0.5,"")))))</x:f>
      </x:c>
      <x:c r="W446" s="80" t="str">
        <x:f>IF(A446="","",IF(U446="","Открыт","Рассчитан"))</x:f>
      </x:c>
      <x:c r="X446" s="98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IF(U447="Выигрыш",J447-1,IF(U447="Поражение",-1,IF(U447="Возврат",0,IF(U447="Полувыигрыш",(J447-1)/2,IF(U447="Полупроигрыш",-0.5,"")))))</x:f>
      </x:c>
      <x:c r="W447" s="80" t="str">
        <x:f>IF(A447="","",IF(U447="","Открыт","Рассчитан"))</x:f>
      </x:c>
      <x:c r="X447" s="98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IF(U448="Выигрыш",J448-1,IF(U448="Поражение",-1,IF(U448="Возврат",0,IF(U448="Полувыигрыш",(J448-1)/2,IF(U448="Полупроигрыш",-0.5,"")))))</x:f>
      </x:c>
      <x:c r="W448" s="80" t="str">
        <x:f>IF(A448="","",IF(U448="","Открыт","Рассчитан"))</x:f>
      </x:c>
      <x:c r="X448" s="98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IF(U449="Выигрыш",J449-1,IF(U449="Поражение",-1,IF(U449="Возврат",0,IF(U449="Полувыигрыш",(J449-1)/2,IF(U449="Полупроигрыш",-0.5,"")))))</x:f>
      </x:c>
      <x:c r="W449" s="80" t="str">
        <x:f>IF(A449="","",IF(U449="","Открыт","Рассчитан"))</x:f>
      </x:c>
      <x:c r="X449" s="98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IF(U450="Выигрыш",J450-1,IF(U450="Поражение",-1,IF(U450="Возврат",0,IF(U450="Полувыигрыш",(J450-1)/2,IF(U450="Полупроигрыш",-0.5,"")))))</x:f>
      </x:c>
      <x:c r="W450" s="80" t="str">
        <x:f>IF(A450="","",IF(U450="","Открыт","Рассчитан"))</x:f>
      </x:c>
      <x:c r="X450" s="98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IF(U451="Выигрыш",J451-1,IF(U451="Поражение",-1,IF(U451="Возврат",0,IF(U451="Полувыигрыш",(J451-1)/2,IF(U451="Полупроигрыш",-0.5,"")))))</x:f>
      </x:c>
      <x:c r="W451" s="80" t="str">
        <x:f>IF(A451="","",IF(U451="","Открыт","Рассчитан"))</x:f>
      </x:c>
      <x:c r="X451" s="98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IF(U452="Выигрыш",J452-1,IF(U452="Поражение",-1,IF(U452="Возврат",0,IF(U452="Полувыигрыш",(J452-1)/2,IF(U452="Полупроигрыш",-0.5,"")))))</x:f>
      </x:c>
      <x:c r="W452" s="80" t="str">
        <x:f>IF(A452="","",IF(U452="","Открыт","Рассчитан"))</x:f>
      </x:c>
      <x:c r="X452" s="98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IF(U453="Выигрыш",J453-1,IF(U453="Поражение",-1,IF(U453="Возврат",0,IF(U453="Полувыигрыш",(J453-1)/2,IF(U453="Полупроигрыш",-0.5,"")))))</x:f>
      </x:c>
      <x:c r="W453" s="80" t="str">
        <x:f>IF(A453="","",IF(U453="","Открыт","Рассчитан"))</x:f>
      </x:c>
      <x:c r="X453" s="98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IF(U454="Выигрыш",J454-1,IF(U454="Поражение",-1,IF(U454="Возврат",0,IF(U454="Полувыигрыш",(J454-1)/2,IF(U454="Полупроигрыш",-0.5,"")))))</x:f>
      </x:c>
      <x:c r="W454" s="80" t="str">
        <x:f>IF(A454="","",IF(U454="","Открыт","Рассчитан"))</x:f>
      </x:c>
      <x:c r="X454" s="98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IF(U455="Выигрыш",J455-1,IF(U455="Поражение",-1,IF(U455="Возврат",0,IF(U455="Полувыигрыш",(J455-1)/2,IF(U455="Полупроигрыш",-0.5,"")))))</x:f>
      </x:c>
      <x:c r="W455" s="80" t="str">
        <x:f>IF(A455="","",IF(U455="","Открыт","Рассчитан"))</x:f>
      </x:c>
      <x:c r="X455" s="98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IF(U456="Выигрыш",J456-1,IF(U456="Поражение",-1,IF(U456="Возврат",0,IF(U456="Полувыигрыш",(J456-1)/2,IF(U456="Полупроигрыш",-0.5,"")))))</x:f>
      </x:c>
      <x:c r="W456" s="80" t="str">
        <x:f>IF(A456="","",IF(U456="","Открыт","Рассчитан"))</x:f>
      </x:c>
      <x:c r="X456" s="98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IF(U457="Выигрыш",J457-1,IF(U457="Поражение",-1,IF(U457="Возврат",0,IF(U457="Полувыигрыш",(J457-1)/2,IF(U457="Полупроигрыш",-0.5,"")))))</x:f>
      </x:c>
      <x:c r="W457" s="80" t="str">
        <x:f>IF(A457="","",IF(U457="","Открыт","Рассчитан"))</x:f>
      </x:c>
      <x:c r="X457" s="98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IF(U458="Выигрыш",J458-1,IF(U458="Поражение",-1,IF(U458="Возврат",0,IF(U458="Полувыигрыш",(J458-1)/2,IF(U458="Полупроигрыш",-0.5,"")))))</x:f>
      </x:c>
      <x:c r="W458" s="80" t="str">
        <x:f>IF(A458="","",IF(U458="","Открыт","Рассчитан"))</x:f>
      </x:c>
      <x:c r="X458" s="98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IF(U459="Выигрыш",J459-1,IF(U459="Поражение",-1,IF(U459="Возврат",0,IF(U459="Полувыигрыш",(J459-1)/2,IF(U459="Полупроигрыш",-0.5,"")))))</x:f>
      </x:c>
      <x:c r="W459" s="80" t="str">
        <x:f>IF(A459="","",IF(U459="","Открыт","Рассчитан"))</x:f>
      </x:c>
      <x:c r="X459" s="98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IF(U460="Выигрыш",J460-1,IF(U460="Поражение",-1,IF(U460="Возврат",0,IF(U460="Полувыигрыш",(J460-1)/2,IF(U460="Полупроигрыш",-0.5,"")))))</x:f>
      </x:c>
      <x:c r="W460" s="80" t="str">
        <x:f>IF(A460="","",IF(U460="","Открыт","Рассчитан"))</x:f>
      </x:c>
      <x:c r="X460" s="98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IF(U461="Выигрыш",J461-1,IF(U461="Поражение",-1,IF(U461="Возврат",0,IF(U461="Полувыигрыш",(J461-1)/2,IF(U461="Полупроигрыш",-0.5,"")))))</x:f>
      </x:c>
      <x:c r="W461" s="80" t="str">
        <x:f>IF(A461="","",IF(U461="","Открыт","Рассчитан"))</x:f>
      </x:c>
      <x:c r="X461" s="98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IF(U462="Выигрыш",J462-1,IF(U462="Поражение",-1,IF(U462="Возврат",0,IF(U462="Полувыигрыш",(J462-1)/2,IF(U462="Полупроигрыш",-0.5,"")))))</x:f>
      </x:c>
      <x:c r="W462" s="80" t="str">
        <x:f>IF(A462="","",IF(U462="","Открыт","Рассчитан"))</x:f>
      </x:c>
      <x:c r="X462" s="98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IF(U463="Выигрыш",J463-1,IF(U463="Поражение",-1,IF(U463="Возврат",0,IF(U463="Полувыигрыш",(J463-1)/2,IF(U463="Полупроигрыш",-0.5,"")))))</x:f>
      </x:c>
      <x:c r="W463" s="80" t="str">
        <x:f>IF(A463="","",IF(U463="","Открыт","Рассчитан"))</x:f>
      </x:c>
      <x:c r="X463" s="98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IF(U464="Выигрыш",J464-1,IF(U464="Поражение",-1,IF(U464="Возврат",0,IF(U464="Полувыигрыш",(J464-1)/2,IF(U464="Полупроигрыш",-0.5,"")))))</x:f>
      </x:c>
      <x:c r="W464" s="80" t="str">
        <x:f>IF(A464="","",IF(U464="","Открыт","Рассчитан"))</x:f>
      </x:c>
      <x:c r="X464" s="98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IF(U465="Выигрыш",J465-1,IF(U465="Поражение",-1,IF(U465="Возврат",0,IF(U465="Полувыигрыш",(J465-1)/2,IF(U465="Полупроигрыш",-0.5,"")))))</x:f>
      </x:c>
      <x:c r="W465" s="80" t="str">
        <x:f>IF(A465="","",IF(U465="","Открыт","Рассчитан"))</x:f>
      </x:c>
      <x:c r="X465" s="98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IF(U466="Выигрыш",J466-1,IF(U466="Поражение",-1,IF(U466="Возврат",0,IF(U466="Полувыигрыш",(J466-1)/2,IF(U466="Полупроигрыш",-0.5,"")))))</x:f>
      </x:c>
      <x:c r="W466" s="80" t="str">
        <x:f>IF(A466="","",IF(U466="","Открыт","Рассчитан"))</x:f>
      </x:c>
      <x:c r="X466" s="98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IF(U467="Выигрыш",J467-1,IF(U467="Поражение",-1,IF(U467="Возврат",0,IF(U467="Полувыигрыш",(J467-1)/2,IF(U467="Полупроигрыш",-0.5,"")))))</x:f>
      </x:c>
      <x:c r="W467" s="80" t="str">
        <x:f>IF(A467="","",IF(U467="","Открыт","Рассчитан"))</x:f>
      </x:c>
      <x:c r="X467" s="98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IF(U468="Выигрыш",J468-1,IF(U468="Поражение",-1,IF(U468="Возврат",0,IF(U468="Полувыигрыш",(J468-1)/2,IF(U468="Полупроигрыш",-0.5,"")))))</x:f>
      </x:c>
      <x:c r="W468" s="80" t="str">
        <x:f>IF(A468="","",IF(U468="","Открыт","Рассчитан"))</x:f>
      </x:c>
      <x:c r="X468" s="98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IF(U469="Выигрыш",J469-1,IF(U469="Поражение",-1,IF(U469="Возврат",0,IF(U469="Полувыигрыш",(J469-1)/2,IF(U469="Полупроигрыш",-0.5,"")))))</x:f>
      </x:c>
      <x:c r="W469" s="80" t="str">
        <x:f>IF(A469="","",IF(U469="","Открыт","Рассчитан"))</x:f>
      </x:c>
      <x:c r="X469" s="98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IF(U470="Выигрыш",J470-1,IF(U470="Поражение",-1,IF(U470="Возврат",0,IF(U470="Полувыигрыш",(J470-1)/2,IF(U470="Полупроигрыш",-0.5,"")))))</x:f>
      </x:c>
      <x:c r="W470" s="80" t="str">
        <x:f>IF(A470="","",IF(U470="","Открыт","Рассчитан"))</x:f>
      </x:c>
      <x:c r="X470" s="98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IF(U471="Выигрыш",J471-1,IF(U471="Поражение",-1,IF(U471="Возврат",0,IF(U471="Полувыигрыш",(J471-1)/2,IF(U471="Полупроигрыш",-0.5,"")))))</x:f>
      </x:c>
      <x:c r="W471" s="80" t="str">
        <x:f>IF(A471="","",IF(U471="","Открыт","Рассчитан"))</x:f>
      </x:c>
      <x:c r="X471" s="98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IF(U472="Выигрыш",J472-1,IF(U472="Поражение",-1,IF(U472="Возврат",0,IF(U472="Полувыигрыш",(J472-1)/2,IF(U472="Полупроигрыш",-0.5,"")))))</x:f>
      </x:c>
      <x:c r="W472" s="80" t="str">
        <x:f>IF(A472="","",IF(U472="","Открыт","Рассчитан"))</x:f>
      </x:c>
      <x:c r="X472" s="98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IF(U473="Выигрыш",J473-1,IF(U473="Поражение",-1,IF(U473="Возврат",0,IF(U473="Полувыигрыш",(J473-1)/2,IF(U473="Полупроигрыш",-0.5,"")))))</x:f>
      </x:c>
      <x:c r="W473" s="80" t="str">
        <x:f>IF(A473="","",IF(U473="","Открыт","Рассчитан"))</x:f>
      </x:c>
      <x:c r="X473" s="98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IF(U474="Выигрыш",J474-1,IF(U474="Поражение",-1,IF(U474="Возврат",0,IF(U474="Полувыигрыш",(J474-1)/2,IF(U474="Полупроигрыш",-0.5,"")))))</x:f>
      </x:c>
      <x:c r="W474" s="80" t="str">
        <x:f>IF(A474="","",IF(U474="","Открыт","Рассчитан"))</x:f>
      </x:c>
      <x:c r="X474" s="98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IF(U475="Выигрыш",J475-1,IF(U475="Поражение",-1,IF(U475="Возврат",0,IF(U475="Полувыигрыш",(J475-1)/2,IF(U475="Полупроигрыш",-0.5,"")))))</x:f>
      </x:c>
      <x:c r="W475" s="80" t="str">
        <x:f>IF(A475="","",IF(U475="","Открыт","Рассчитан"))</x:f>
      </x:c>
      <x:c r="X475" s="98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IF(U476="Выигрыш",J476-1,IF(U476="Поражение",-1,IF(U476="Возврат",0,IF(U476="Полувыигрыш",(J476-1)/2,IF(U476="Полупроигрыш",-0.5,"")))))</x:f>
      </x:c>
      <x:c r="W476" s="80" t="str">
        <x:f>IF(A476="","",IF(U476="","Открыт","Рассчитан"))</x:f>
      </x:c>
      <x:c r="X476" s="98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IF(U477="Выигрыш",J477-1,IF(U477="Поражение",-1,IF(U477="Возврат",0,IF(U477="Полувыигрыш",(J477-1)/2,IF(U477="Полупроигрыш",-0.5,"")))))</x:f>
      </x:c>
      <x:c r="W477" s="80" t="str">
        <x:f>IF(A477="","",IF(U477="","Открыт","Рассчитан"))</x:f>
      </x:c>
      <x:c r="X477" s="98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IF(U478="Выигрыш",J478-1,IF(U478="Поражение",-1,IF(U478="Возврат",0,IF(U478="Полувыигрыш",(J478-1)/2,IF(U478="Полупроигрыш",-0.5,"")))))</x:f>
      </x:c>
      <x:c r="W478" s="80" t="str">
        <x:f>IF(A478="","",IF(U478="","Открыт","Рассчитан"))</x:f>
      </x:c>
      <x:c r="X478" s="98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IF(U479="Выигрыш",J479-1,IF(U479="Поражение",-1,IF(U479="Возврат",0,IF(U479="Полувыигрыш",(J479-1)/2,IF(U479="Полупроигрыш",-0.5,"")))))</x:f>
      </x:c>
      <x:c r="W479" s="80" t="str">
        <x:f>IF(A479="","",IF(U479="","Открыт","Рассчитан"))</x:f>
      </x:c>
      <x:c r="X479" s="98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IF(U480="Выигрыш",J480-1,IF(U480="Поражение",-1,IF(U480="Возврат",0,IF(U480="Полувыигрыш",(J480-1)/2,IF(U480="Полупроигрыш",-0.5,"")))))</x:f>
      </x:c>
      <x:c r="W480" s="80" t="str">
        <x:f>IF(A480="","",IF(U480="","Открыт","Рассчитан"))</x:f>
      </x:c>
      <x:c r="X480" s="98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IF(U481="Выигрыш",J481-1,IF(U481="Поражение",-1,IF(U481="Возврат",0,IF(U481="Полувыигрыш",(J481-1)/2,IF(U481="Полупроигрыш",-0.5,"")))))</x:f>
      </x:c>
      <x:c r="W481" s="80" t="str">
        <x:f>IF(A481="","",IF(U481="","Открыт","Рассчитан"))</x:f>
      </x:c>
      <x:c r="X481" s="98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IF(U482="Выигрыш",J482-1,IF(U482="Поражение",-1,IF(U482="Возврат",0,IF(U482="Полувыигрыш",(J482-1)/2,IF(U482="Полупроигрыш",-0.5,"")))))</x:f>
      </x:c>
      <x:c r="W482" s="80" t="str">
        <x:f>IF(A482="","",IF(U482="","Открыт","Рассчитан"))</x:f>
      </x:c>
      <x:c r="X482" s="98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IF(U483="Выигрыш",J483-1,IF(U483="Поражение",-1,IF(U483="Возврат",0,IF(U483="Полувыигрыш",(J483-1)/2,IF(U483="Полупроигрыш",-0.5,"")))))</x:f>
      </x:c>
      <x:c r="W483" s="80" t="str">
        <x:f>IF(A483="","",IF(U483="","Открыт","Рассчитан"))</x:f>
      </x:c>
      <x:c r="X483" s="98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IF(U484="Выигрыш",J484-1,IF(U484="Поражение",-1,IF(U484="Возврат",0,IF(U484="Полувыигрыш",(J484-1)/2,IF(U484="Полупроигрыш",-0.5,"")))))</x:f>
      </x:c>
      <x:c r="W484" s="80" t="str">
        <x:f>IF(A484="","",IF(U484="","Открыт","Рассчитан"))</x:f>
      </x:c>
      <x:c r="X484" s="98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IF(U485="Выигрыш",J485-1,IF(U485="Поражение",-1,IF(U485="Возврат",0,IF(U485="Полувыигрыш",(J485-1)/2,IF(U485="Полупроигрыш",-0.5,"")))))</x:f>
      </x:c>
      <x:c r="W485" s="80" t="str">
        <x:f>IF(A485="","",IF(U485="","Открыт","Рассчитан"))</x:f>
      </x:c>
      <x:c r="X485" s="98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IF(U486="Выигрыш",J486-1,IF(U486="Поражение",-1,IF(U486="Возврат",0,IF(U486="Полувыигрыш",(J486-1)/2,IF(U486="Полупроигрыш",-0.5,"")))))</x:f>
      </x:c>
      <x:c r="W486" s="80" t="str">
        <x:f>IF(A486="","",IF(U486="","Открыт","Рассчитан"))</x:f>
      </x:c>
      <x:c r="X486" s="98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IF(U487="Выигрыш",J487-1,IF(U487="Поражение",-1,IF(U487="Возврат",0,IF(U487="Полувыигрыш",(J487-1)/2,IF(U487="Полупроигрыш",-0.5,"")))))</x:f>
      </x:c>
      <x:c r="W487" s="80" t="str">
        <x:f>IF(A487="","",IF(U487="","Открыт","Рассчитан"))</x:f>
      </x:c>
      <x:c r="X487" s="98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IF(U488="Выигрыш",J488-1,IF(U488="Поражение",-1,IF(U488="Возврат",0,IF(U488="Полувыигрыш",(J488-1)/2,IF(U488="Полупроигрыш",-0.5,"")))))</x:f>
      </x:c>
      <x:c r="W488" s="80" t="str">
        <x:f>IF(A488="","",IF(U488="","Открыт","Рассчитан"))</x:f>
      </x:c>
      <x:c r="X488" s="98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IF(U489="Выигрыш",J489-1,IF(U489="Поражение",-1,IF(U489="Возврат",0,IF(U489="Полувыигрыш",(J489-1)/2,IF(U489="Полупроигрыш",-0.5,"")))))</x:f>
      </x:c>
      <x:c r="W489" s="80" t="str">
        <x:f>IF(A489="","",IF(U489="","Открыт","Рассчитан"))</x:f>
      </x:c>
      <x:c r="X489" s="98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IF(U490="Выигрыш",J490-1,IF(U490="Поражение",-1,IF(U490="Возврат",0,IF(U490="Полувыигрыш",(J490-1)/2,IF(U490="Полупроигрыш",-0.5,"")))))</x:f>
      </x:c>
      <x:c r="W490" s="80" t="str">
        <x:f>IF(A490="","",IF(U490="","Открыт","Рассчитан"))</x:f>
      </x:c>
      <x:c r="X490" s="98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IF(U491="Выигрыш",J491-1,IF(U491="Поражение",-1,IF(U491="Возврат",0,IF(U491="Полувыигрыш",(J491-1)/2,IF(U491="Полупроигрыш",-0.5,"")))))</x:f>
      </x:c>
      <x:c r="W491" s="80" t="str">
        <x:f>IF(A491="","",IF(U491="","Открыт","Рассчитан"))</x:f>
      </x:c>
      <x:c r="X491" s="98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IF(U492="Выигрыш",J492-1,IF(U492="Поражение",-1,IF(U492="Возврат",0,IF(U492="Полувыигрыш",(J492-1)/2,IF(U492="Полупроигрыш",-0.5,"")))))</x:f>
      </x:c>
      <x:c r="W492" s="80" t="str">
        <x:f>IF(A492="","",IF(U492="","Открыт","Рассчитан"))</x:f>
      </x:c>
      <x:c r="X492" s="98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IF(U493="Выигрыш",J493-1,IF(U493="Поражение",-1,IF(U493="Возврат",0,IF(U493="Полувыигрыш",(J493-1)/2,IF(U493="Полупроигрыш",-0.5,"")))))</x:f>
      </x:c>
      <x:c r="W493" s="80" t="str">
        <x:f>IF(A493="","",IF(U493="","Открыт","Рассчитан"))</x:f>
      </x:c>
      <x:c r="X493" s="98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IF(U494="Выигрыш",J494-1,IF(U494="Поражение",-1,IF(U494="Возврат",0,IF(U494="Полувыигрыш",(J494-1)/2,IF(U494="Полупроигрыш",-0.5,"")))))</x:f>
      </x:c>
      <x:c r="W494" s="80" t="str">
        <x:f>IF(A494="","",IF(U494="","Открыт","Рассчитан"))</x:f>
      </x:c>
      <x:c r="X494" s="98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IF(U495="Выигрыш",J495-1,IF(U495="Поражение",-1,IF(U495="Возврат",0,IF(U495="Полувыигрыш",(J495-1)/2,IF(U495="Полупроигрыш",-0.5,"")))))</x:f>
      </x:c>
      <x:c r="W495" s="80" t="str">
        <x:f>IF(A495="","",IF(U495="","Открыт","Рассчитан"))</x:f>
      </x:c>
      <x:c r="X495" s="98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IF(U496="Выигрыш",J496-1,IF(U496="Поражение",-1,IF(U496="Возврат",0,IF(U496="Полувыигрыш",(J496-1)/2,IF(U496="Полупроигрыш",-0.5,"")))))</x:f>
      </x:c>
      <x:c r="W496" s="80" t="str">
        <x:f>IF(A496="","",IF(U496="","Открыт","Рассчитан"))</x:f>
      </x:c>
      <x:c r="X496" s="98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IF(U497="Выигрыш",J497-1,IF(U497="Поражение",-1,IF(U497="Возврат",0,IF(U497="Полувыигрыш",(J497-1)/2,IF(U497="Полупроигрыш",-0.5,"")))))</x:f>
      </x:c>
      <x:c r="W497" s="80" t="str">
        <x:f>IF(A497="","",IF(U497="","Открыт","Рассчитан"))</x:f>
      </x:c>
      <x:c r="X497" s="98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IF(U498="Выигрыш",J498-1,IF(U498="Поражение",-1,IF(U498="Возврат",0,IF(U498="Полувыигрыш",(J498-1)/2,IF(U498="Полупроигрыш",-0.5,"")))))</x:f>
      </x:c>
      <x:c r="W498" s="80" t="str">
        <x:f>IF(A498="","",IF(U498="","Открыт","Рассчитан"))</x:f>
      </x:c>
      <x:c r="X498" s="98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IF(U499="Выигрыш",J499-1,IF(U499="Поражение",-1,IF(U499="Возврат",0,IF(U499="Полувыигрыш",(J499-1)/2,IF(U499="Полупроигрыш",-0.5,"")))))</x:f>
      </x:c>
      <x:c r="W499" s="80" t="str">
        <x:f>IF(A499="","",IF(U499="","Открыт","Рассчитан"))</x:f>
      </x:c>
      <x:c r="X499" s="98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IF(U500="Выигрыш",J500-1,IF(U500="Поражение",-1,IF(U500="Возврат",0,IF(U500="Полувыигрыш",(J500-1)/2,IF(U500="Полупроигрыш",-0.5,"")))))</x:f>
      </x:c>
      <x:c r="W500" s="80" t="str">
        <x:f>IF(A500="","",IF(U500="","Открыт","Рассчитан"))</x:f>
      </x:c>
      <x:c r="X500" s="98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IF(U501="Выигрыш",J501-1,IF(U501="Поражение",-1,IF(U501="Возврат",0,IF(U501="Полувыигрыш",(J501-1)/2,IF(U501="Полупроигрыш",-0.5,"")))))</x:f>
      </x:c>
      <x:c r="W501" s="80" t="str">
        <x:f>IF(A501="","",IF(U501="","Открыт","Рассчитан"))</x:f>
      </x:c>
      <x:c r="X501" s="98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IF(U502="Выигрыш",J502-1,IF(U502="Поражение",-1,IF(U502="Возврат",0,IF(U502="Полувыигрыш",(J502-1)/2,IF(U502="Полупроигрыш",-0.5,"")))))</x:f>
      </x:c>
      <x:c r="W502" s="80" t="str">
        <x:f>IF(A502="","",IF(U502="","Открыт","Рассчитан"))</x:f>
      </x:c>
      <x:c r="X502" s="98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IF(U503="Выигрыш",J503-1,IF(U503="Поражение",-1,IF(U503="Возврат",0,IF(U503="Полувыигрыш",(J503-1)/2,IF(U503="Полупроигрыш",-0.5,"")))))</x:f>
      </x:c>
      <x:c r="W503" s="80" t="str">
        <x:f>IF(A503="","",IF(U503="","Открыт","Рассчитан"))</x:f>
      </x:c>
      <x:c r="X503" s="98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IF(U504="Выигрыш",J504-1,IF(U504="Поражение",-1,IF(U504="Возврат",0,IF(U504="Полувыигрыш",(J504-1)/2,IF(U504="Полупроигрыш",-0.5,"")))))</x:f>
      </x:c>
      <x:c r="W504" s="80" t="str">
        <x:f>IF(A504="","",IF(U504="","Открыт","Рассчитан"))</x:f>
      </x:c>
      <x:c r="X504" s="98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IF(U505="Выигрыш",J505-1,IF(U505="Поражение",-1,IF(U505="Возврат",0,IF(U505="Полувыигрыш",(J505-1)/2,IF(U505="Полупроигрыш",-0.5,"")))))</x:f>
      </x:c>
      <x:c r="W505" s="81" t="str">
        <x:f>IF(A505="","",IF(U505="","Открыт","Рассчитан"))</x:f>
      </x:c>
      <x:c r="X505" s="102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2">
    <x:dataValidation type="list" sqref="U6:U505">
      <x:formula1>"Выигрыш,Поражение,Возврат,Полувыигрыш,Полупроигрыш"</x:formula1>
    </x:dataValidation>
    <x:dataValidation type="list" sqref="Q6:Q505">
      <x:formula1>"ПОДХОДИТ В LIVE"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В реестр попадают только матчи с решением ПОДХОДИТ В LIVE. Наблюдение и пропуск остаются в ответе чата, но не входят в статистику выбранных исходов.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исход равен одной виртуальной единице. Реальные суммы и реальные действия отсутствуют.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Начальная версия: ТБ live v1 от 13.10.2026.</x:v>
      </x:c>
    </x:row>
  </x:sheetData>
  <x:mergeCells>
    <x:mergeCell ref="A2:F2"/>
  </x:mergeCells>
  <x:pageMargins left="0.7" right="0.7" top="0.75" bottom="0.75" header="0.3" footer="0.3"/>
</x:worksheet>
</file>