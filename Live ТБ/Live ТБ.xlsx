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449fb5f1741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f6c95df203d0488c"/>
    <x:sheet xmlns:r="http://schemas.openxmlformats.org/officeDocument/2006/relationships" name="Реестр" sheetId="2" r:id="R556ee96ca0e44904"/>
    <x:sheet xmlns:r="http://schemas.openxmlformats.org/officeDocument/2006/relationships" name="Правила" sheetId="3" r:id="Re4c30f588df34a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599df2d5e4dd9" /><Relationship Type="http://schemas.openxmlformats.org/officeDocument/2006/relationships/theme" Target="/xl/theme/theme1.xml" Id="Re8761e94ec894ee1" /><Relationship Type="http://schemas.openxmlformats.org/officeDocument/2006/relationships/sharedStrings" Target="/xl/sharedStrings.xml" Id="R15c0e74ef43f4e89" /><Relationship Type="http://schemas.openxmlformats.org/officeDocument/2006/relationships/worksheet" Target="/xl/worksheets/sheet1.xml" Id="Rf6c95df203d0488c" /><Relationship Type="http://schemas.openxmlformats.org/officeDocument/2006/relationships/worksheet" Target="/xl/worksheets/sheet2.xml" Id="R556ee96ca0e44904" /><Relationship Type="http://schemas.openxmlformats.org/officeDocument/2006/relationships/worksheet" Target="/xl/worksheets/sheet3.xml" Id="Re4c30f588df34a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7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7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1.864285714285714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18:08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/>
      <x:c r="B13" s="80"/>
      <x:c r="C13" s="83"/>
      <x:c r="D13" s="80"/>
      <x:c r="E13" s="80"/>
      <x:c r="F13" s="86"/>
      <x:c r="G13" s="80"/>
      <x:c r="H13" s="95"/>
      <x:c r="I13" s="95"/>
      <x:c r="J13" s="96"/>
      <x:c r="K13" s="97"/>
      <x:c r="L13" s="98"/>
      <x:c r="M13" s="98"/>
      <x:c r="N13" s="98"/>
      <x:c r="O13" s="98"/>
      <x:c r="P13" s="98"/>
      <x:c r="Q13" s="80"/>
      <x:c r="R13" s="80"/>
      <x:c r="S13" s="80"/>
      <x:c r="T13" s="80"/>
      <x:c r="U13" s="80"/>
      <x:c r="V13" s="89" t="str">
        <x:f>IF(U13="Выигрыш",J13-1,IF(U13="Поражение",-1,IF(U13="Возврат",0,IF(U13="Полувыигрыш",(J13-1)/2,IF(U13="Полупроигрыш",-0.5,"")))))</x:f>
      </x:c>
      <x:c r="W13" s="80" t="str">
        <x:f>IF(A13="","",IF(U13="","Открыт","Рассчитан"))</x:f>
      </x:c>
      <x:c r="X13" s="98"/>
    </x:row>
    <x:row r="14">
      <x:c r="A14" s="80"/>
      <x:c r="B14" s="80"/>
      <x:c r="C14" s="83"/>
      <x:c r="D14" s="80"/>
      <x:c r="E14" s="80"/>
      <x:c r="F14" s="86"/>
      <x:c r="G14" s="80"/>
      <x:c r="H14" s="95"/>
      <x:c r="I14" s="95"/>
      <x:c r="J14" s="96"/>
      <x:c r="K14" s="97"/>
      <x:c r="L14" s="98"/>
      <x:c r="M14" s="98"/>
      <x:c r="N14" s="98"/>
      <x:c r="O14" s="98"/>
      <x:c r="P14" s="98"/>
      <x:c r="Q14" s="80"/>
      <x:c r="R14" s="80"/>
      <x:c r="S14" s="80"/>
      <x:c r="T14" s="80"/>
      <x:c r="U14" s="80"/>
      <x:c r="V14" s="89" t="str">
        <x:f>IF(U14="Выигрыш",J14-1,IF(U14="Поражение",-1,IF(U14="Возврат",0,IF(U14="Полувыигрыш",(J14-1)/2,IF(U14="Полупроигрыш",-0.5,"")))))</x:f>
      </x:c>
      <x:c r="W14" s="80" t="str">
        <x:f>IF(A14="","",IF(U14="","Открыт","Рассчитан"))</x:f>
      </x:c>
      <x:c r="X14" s="98"/>
    </x:row>
    <x:row r="15">
      <x:c r="A15" s="80"/>
      <x:c r="B15" s="80"/>
      <x:c r="C15" s="83"/>
      <x:c r="D15" s="80"/>
      <x:c r="E15" s="80"/>
      <x:c r="F15" s="86"/>
      <x:c r="G15" s="80"/>
      <x:c r="H15" s="95"/>
      <x:c r="I15" s="95"/>
      <x:c r="J15" s="96"/>
      <x:c r="K15" s="97"/>
      <x:c r="L15" s="98"/>
      <x:c r="M15" s="98"/>
      <x:c r="N15" s="98"/>
      <x:c r="O15" s="98"/>
      <x:c r="P15" s="98"/>
      <x:c r="Q15" s="80"/>
      <x:c r="R15" s="80"/>
      <x:c r="S15" s="80"/>
      <x:c r="T15" s="80"/>
      <x:c r="U15" s="80"/>
      <x:c r="V15" s="89" t="str">
        <x:f>IF(U15="Выигрыш",J15-1,IF(U15="Поражение",-1,IF(U15="Возврат",0,IF(U15="Полувыигрыш",(J15-1)/2,IF(U15="Полупроигрыш",-0.5,"")))))</x:f>
      </x:c>
      <x:c r="W15" s="80" t="str">
        <x:f>IF(A15="","",IF(U15="","Открыт","Рассчитан"))</x:f>
      </x:c>
      <x:c r="X15" s="98"/>
    </x:row>
    <x:row r="16">
      <x:c r="A16" s="80"/>
      <x:c r="B16" s="80"/>
      <x:c r="C16" s="83"/>
      <x:c r="D16" s="80"/>
      <x:c r="E16" s="80"/>
      <x:c r="F16" s="86"/>
      <x:c r="G16" s="80"/>
      <x:c r="H16" s="95"/>
      <x:c r="I16" s="95"/>
      <x:c r="J16" s="96"/>
      <x:c r="K16" s="97"/>
      <x:c r="L16" s="98"/>
      <x:c r="M16" s="98"/>
      <x:c r="N16" s="98"/>
      <x:c r="O16" s="98"/>
      <x:c r="P16" s="98"/>
      <x:c r="Q16" s="80"/>
      <x:c r="R16" s="80"/>
      <x:c r="S16" s="80"/>
      <x:c r="T16" s="80"/>
      <x:c r="U16" s="80"/>
      <x:c r="V16" s="89" t="str">
        <x:f>IF(U16="Выигрыш",J16-1,IF(U16="Поражение",-1,IF(U16="Возврат",0,IF(U16="Полувыигрыш",(J16-1)/2,IF(U16="Полупроигрыш",-0.5,"")))))</x:f>
      </x:c>
      <x:c r="W16" s="80" t="str">
        <x:f>IF(A16="","",IF(U16="","Открыт","Рассчитан"))</x:f>
      </x:c>
      <x:c r="X16" s="98"/>
    </x:row>
    <x:row r="17">
      <x:c r="A17" s="80"/>
      <x:c r="B17" s="80"/>
      <x:c r="C17" s="83"/>
      <x:c r="D17" s="80"/>
      <x:c r="E17" s="80"/>
      <x:c r="F17" s="86"/>
      <x:c r="G17" s="80"/>
      <x:c r="H17" s="95"/>
      <x:c r="I17" s="95"/>
      <x:c r="J17" s="96"/>
      <x:c r="K17" s="97"/>
      <x:c r="L17" s="98"/>
      <x:c r="M17" s="98"/>
      <x:c r="N17" s="98"/>
      <x:c r="O17" s="98"/>
      <x:c r="P17" s="98"/>
      <x:c r="Q17" s="80"/>
      <x:c r="R17" s="80"/>
      <x:c r="S17" s="80"/>
      <x:c r="T17" s="80"/>
      <x:c r="U17" s="80"/>
      <x:c r="V17" s="89" t="str">
        <x:f>IF(U17="Выигрыш",J17-1,IF(U17="Поражение",-1,IF(U17="Возврат",0,IF(U17="Полувыигрыш",(J17-1)/2,IF(U17="Полупроигрыш",-0.5,"")))))</x:f>
      </x:c>
      <x:c r="W17" s="80" t="str">
        <x:f>IF(A17="","",IF(U17="","Открыт","Рассчитан"))</x:f>
      </x:c>
      <x:c r="X17" s="98"/>
    </x:row>
    <x:row r="18">
      <x:c r="A18" s="80"/>
      <x:c r="B18" s="80"/>
      <x:c r="C18" s="83"/>
      <x:c r="D18" s="80"/>
      <x:c r="E18" s="80"/>
      <x:c r="F18" s="86"/>
      <x:c r="G18" s="80"/>
      <x:c r="H18" s="95"/>
      <x:c r="I18" s="95"/>
      <x:c r="J18" s="96"/>
      <x:c r="K18" s="97"/>
      <x:c r="L18" s="98"/>
      <x:c r="M18" s="98"/>
      <x:c r="N18" s="98"/>
      <x:c r="O18" s="98"/>
      <x:c r="P18" s="98"/>
      <x:c r="Q18" s="80"/>
      <x:c r="R18" s="80"/>
      <x:c r="S18" s="80"/>
      <x:c r="T18" s="80"/>
      <x:c r="U18" s="80"/>
      <x:c r="V18" s="89" t="str">
        <x:f>IF(U18="Выигрыш",J18-1,IF(U18="Поражение",-1,IF(U18="Возврат",0,IF(U18="Полувыигрыш",(J18-1)/2,IF(U18="Полупроигрыш",-0.5,"")))))</x:f>
      </x:c>
      <x:c r="W18" s="80" t="str">
        <x:f>IF(A18="","",IF(U18="","Открыт","Рассчитан"))</x:f>
      </x:c>
      <x:c r="X18" s="98"/>
    </x:row>
    <x:row r="19">
      <x:c r="A19" s="80"/>
      <x:c r="B19" s="80"/>
      <x:c r="C19" s="83"/>
      <x:c r="D19" s="80"/>
      <x:c r="E19" s="80"/>
      <x:c r="F19" s="86"/>
      <x:c r="G19" s="80"/>
      <x:c r="H19" s="95"/>
      <x:c r="I19" s="95"/>
      <x:c r="J19" s="96"/>
      <x:c r="K19" s="97"/>
      <x:c r="L19" s="98"/>
      <x:c r="M19" s="98"/>
      <x:c r="N19" s="98"/>
      <x:c r="O19" s="98"/>
      <x:c r="P19" s="98"/>
      <x:c r="Q19" s="80"/>
      <x:c r="R19" s="80"/>
      <x:c r="S19" s="80"/>
      <x:c r="T19" s="80"/>
      <x:c r="U19" s="80"/>
      <x:c r="V19" s="89" t="str">
        <x:f>IF(U19="Выигрыш",J19-1,IF(U19="Поражение",-1,IF(U19="Возврат",0,IF(U19="Полувыигрыш",(J19-1)/2,IF(U19="Полупроигрыш",-0.5,"")))))</x:f>
      </x:c>
      <x:c r="W19" s="80" t="str">
        <x:f>IF(A19="","",IF(U19="","Открыт","Рассчитан"))</x:f>
      </x:c>
      <x:c r="X19" s="98"/>
    </x:row>
    <x:row r="20">
      <x:c r="A20" s="80"/>
      <x:c r="B20" s="80"/>
      <x:c r="C20" s="83"/>
      <x:c r="D20" s="80"/>
      <x:c r="E20" s="80"/>
      <x:c r="F20" s="86"/>
      <x:c r="G20" s="80"/>
      <x:c r="H20" s="95"/>
      <x:c r="I20" s="95"/>
      <x:c r="J20" s="96"/>
      <x:c r="K20" s="97"/>
      <x:c r="L20" s="98"/>
      <x:c r="M20" s="98"/>
      <x:c r="N20" s="98"/>
      <x:c r="O20" s="98"/>
      <x:c r="P20" s="98"/>
      <x:c r="Q20" s="80"/>
      <x:c r="R20" s="80"/>
      <x:c r="S20" s="80"/>
      <x:c r="T20" s="80"/>
      <x:c r="U20" s="80"/>
      <x:c r="V20" s="89" t="str">
        <x:f>IF(U20="Выигрыш",J20-1,IF(U20="Поражение",-1,IF(U20="Возврат",0,IF(U20="Полувыигрыш",(J20-1)/2,IF(U20="Полупроигрыш",-0.5,"")))))</x:f>
      </x:c>
      <x:c r="W20" s="80" t="str">
        <x:f>IF(A20="","",IF(U20="","Открыт","Рассчитан"))</x:f>
      </x:c>
      <x:c r="X20" s="98"/>
    </x:row>
    <x:row r="21">
      <x:c r="A21" s="80"/>
      <x:c r="B21" s="80"/>
      <x:c r="C21" s="83"/>
      <x:c r="D21" s="80"/>
      <x:c r="E21" s="80"/>
      <x:c r="F21" s="86"/>
      <x:c r="G21" s="80"/>
      <x:c r="H21" s="95"/>
      <x:c r="I21" s="95"/>
      <x:c r="J21" s="96"/>
      <x:c r="K21" s="97"/>
      <x:c r="L21" s="98"/>
      <x:c r="M21" s="98"/>
      <x:c r="N21" s="98"/>
      <x:c r="O21" s="98"/>
      <x:c r="P21" s="98"/>
      <x:c r="Q21" s="80"/>
      <x:c r="R21" s="80"/>
      <x:c r="S21" s="80"/>
      <x:c r="T21" s="80"/>
      <x:c r="U21" s="80"/>
      <x:c r="V21" s="89" t="str">
        <x:f>IF(U21="Выигрыш",J21-1,IF(U21="Поражение",-1,IF(U21="Возврат",0,IF(U21="Полувыигрыш",(J21-1)/2,IF(U21="Полупроигрыш",-0.5,"")))))</x:f>
      </x:c>
      <x:c r="W21" s="80" t="str">
        <x:f>IF(A21="","",IF(U21="","Открыт","Рассчитан"))</x:f>
      </x:c>
      <x:c r="X21" s="98"/>
    </x:row>
    <x:row r="22">
      <x:c r="A22" s="80"/>
      <x:c r="B22" s="80"/>
      <x:c r="C22" s="83"/>
      <x:c r="D22" s="80"/>
      <x:c r="E22" s="80"/>
      <x:c r="F22" s="86"/>
      <x:c r="G22" s="80"/>
      <x:c r="H22" s="95"/>
      <x:c r="I22" s="95"/>
      <x:c r="J22" s="96"/>
      <x:c r="K22" s="97"/>
      <x:c r="L22" s="98"/>
      <x:c r="M22" s="98"/>
      <x:c r="N22" s="98"/>
      <x:c r="O22" s="98"/>
      <x:c r="P22" s="98"/>
      <x:c r="Q22" s="80"/>
      <x:c r="R22" s="80"/>
      <x:c r="S22" s="80"/>
      <x:c r="T22" s="80"/>
      <x:c r="U22" s="80"/>
      <x:c r="V22" s="89" t="str">
        <x:f>IF(U22="Выигрыш",J22-1,IF(U22="Поражение",-1,IF(U22="Возврат",0,IF(U22="Полувыигрыш",(J22-1)/2,IF(U22="Полупроигрыш",-0.5,"")))))</x:f>
      </x:c>
      <x:c r="W22" s="80" t="str">
        <x:f>IF(A22="","",IF(U22="","Открыт","Рассчитан"))</x:f>
      </x:c>
      <x:c r="X22" s="98"/>
    </x:row>
    <x:row r="23">
      <x:c r="A23" s="80"/>
      <x:c r="B23" s="80"/>
      <x:c r="C23" s="83"/>
      <x:c r="D23" s="80"/>
      <x:c r="E23" s="80"/>
      <x:c r="F23" s="86"/>
      <x:c r="G23" s="80"/>
      <x:c r="H23" s="95"/>
      <x:c r="I23" s="95"/>
      <x:c r="J23" s="96"/>
      <x:c r="K23" s="97"/>
      <x:c r="L23" s="98"/>
      <x:c r="M23" s="98"/>
      <x:c r="N23" s="98"/>
      <x:c r="O23" s="98"/>
      <x:c r="P23" s="98"/>
      <x:c r="Q23" s="80"/>
      <x:c r="R23" s="80"/>
      <x:c r="S23" s="80"/>
      <x:c r="T23" s="80"/>
      <x:c r="U23" s="80"/>
      <x:c r="V23" s="89" t="str">
        <x:f>IF(U23="Выигрыш",J23-1,IF(U23="Поражение",-1,IF(U23="Возврат",0,IF(U23="Полувыигрыш",(J23-1)/2,IF(U23="Полупроигрыш",-0.5,"")))))</x:f>
      </x:c>
      <x:c r="W23" s="80" t="str">
        <x:f>IF(A23="","",IF(U23="","Открыт","Рассчитан"))</x:f>
      </x:c>
      <x:c r="X23" s="98"/>
    </x:row>
    <x:row r="24">
      <x:c r="A24" s="80"/>
      <x:c r="B24" s="80"/>
      <x:c r="C24" s="83"/>
      <x:c r="D24" s="80"/>
      <x:c r="E24" s="80"/>
      <x:c r="F24" s="86"/>
      <x:c r="G24" s="80"/>
      <x:c r="H24" s="95"/>
      <x:c r="I24" s="95"/>
      <x:c r="J24" s="96"/>
      <x:c r="K24" s="97"/>
      <x:c r="L24" s="98"/>
      <x:c r="M24" s="98"/>
      <x:c r="N24" s="98"/>
      <x:c r="O24" s="98"/>
      <x:c r="P24" s="98"/>
      <x:c r="Q24" s="80"/>
      <x:c r="R24" s="80"/>
      <x:c r="S24" s="80"/>
      <x:c r="T24" s="80"/>
      <x:c r="U24" s="80"/>
      <x:c r="V24" s="89" t="str">
        <x:f>IF(U24="Выигрыш",J24-1,IF(U24="Поражение",-1,IF(U24="Возврат",0,IF(U24="Полувыигрыш",(J24-1)/2,IF(U24="Полупроигрыш",-0.5,"")))))</x:f>
      </x:c>
      <x:c r="W24" s="80" t="str">
        <x:f>IF(A24="","",IF(U24="","Открыт","Рассчитан"))</x:f>
      </x:c>
      <x:c r="X24" s="98"/>
    </x:row>
    <x:row r="25">
      <x:c r="A25" s="80"/>
      <x:c r="B25" s="80"/>
      <x:c r="C25" s="83"/>
      <x:c r="D25" s="80"/>
      <x:c r="E25" s="80"/>
      <x:c r="F25" s="86"/>
      <x:c r="G25" s="80"/>
      <x:c r="H25" s="95"/>
      <x:c r="I25" s="95"/>
      <x:c r="J25" s="96"/>
      <x:c r="K25" s="97"/>
      <x:c r="L25" s="98"/>
      <x:c r="M25" s="98"/>
      <x:c r="N25" s="98"/>
      <x:c r="O25" s="98"/>
      <x:c r="P25" s="98"/>
      <x:c r="Q25" s="80"/>
      <x:c r="R25" s="80"/>
      <x:c r="S25" s="80"/>
      <x:c r="T25" s="80"/>
      <x:c r="U25" s="80"/>
      <x:c r="V25" s="89" t="str">
        <x:f>IF(U25="Выигрыш",J25-1,IF(U25="Поражение",-1,IF(U25="Возврат",0,IF(U25="Полувыигрыш",(J25-1)/2,IF(U25="Полупроигрыш",-0.5,"")))))</x:f>
      </x:c>
      <x:c r="W25" s="80" t="str">
        <x:f>IF(A25="","",IF(U25="","Открыт","Рассчитан"))</x:f>
      </x:c>
      <x:c r="X25" s="98"/>
    </x:row>
    <x:row r="26">
      <x:c r="A26" s="80"/>
      <x:c r="B26" s="80"/>
      <x:c r="C26" s="83"/>
      <x:c r="D26" s="80"/>
      <x:c r="E26" s="80"/>
      <x:c r="F26" s="86"/>
      <x:c r="G26" s="80"/>
      <x:c r="H26" s="95"/>
      <x:c r="I26" s="95"/>
      <x:c r="J26" s="96"/>
      <x:c r="K26" s="97"/>
      <x:c r="L26" s="98"/>
      <x:c r="M26" s="98"/>
      <x:c r="N26" s="98"/>
      <x:c r="O26" s="98"/>
      <x:c r="P26" s="98"/>
      <x:c r="Q26" s="80"/>
      <x:c r="R26" s="80"/>
      <x:c r="S26" s="80"/>
      <x:c r="T26" s="80"/>
      <x:c r="U26" s="80"/>
      <x:c r="V26" s="89" t="str">
        <x:f>IF(U26="Выигрыш",J26-1,IF(U26="Поражение",-1,IF(U26="Возврат",0,IF(U26="Полувыигрыш",(J26-1)/2,IF(U26="Полупроигрыш",-0.5,"")))))</x:f>
      </x:c>
      <x:c r="W26" s="80" t="str">
        <x:f>IF(A26="","",IF(U26="","Открыт","Рассчитан"))</x:f>
      </x:c>
      <x:c r="X26" s="98"/>
    </x:row>
    <x:row r="27">
      <x:c r="A27" s="80"/>
      <x:c r="B27" s="80"/>
      <x:c r="C27" s="83"/>
      <x:c r="D27" s="80"/>
      <x:c r="E27" s="80"/>
      <x:c r="F27" s="86"/>
      <x:c r="G27" s="80"/>
      <x:c r="H27" s="95"/>
      <x:c r="I27" s="95"/>
      <x:c r="J27" s="96"/>
      <x:c r="K27" s="97"/>
      <x:c r="L27" s="98"/>
      <x:c r="M27" s="98"/>
      <x:c r="N27" s="98"/>
      <x:c r="O27" s="98"/>
      <x:c r="P27" s="98"/>
      <x:c r="Q27" s="80"/>
      <x:c r="R27" s="80"/>
      <x:c r="S27" s="80"/>
      <x:c r="T27" s="80"/>
      <x:c r="U27" s="80"/>
      <x:c r="V27" s="89" t="str">
        <x:f>IF(U27="Выигрыш",J27-1,IF(U27="Поражение",-1,IF(U27="Возврат",0,IF(U27="Полувыигрыш",(J27-1)/2,IF(U27="Полупроигрыш",-0.5,"")))))</x:f>
      </x:c>
      <x:c r="W27" s="80" t="str">
        <x:f>IF(A27="","",IF(U27="","Открыт","Рассчитан"))</x:f>
      </x:c>
      <x:c r="X27" s="98"/>
    </x:row>
    <x:row r="28">
      <x:c r="A28" s="80"/>
      <x:c r="B28" s="80"/>
      <x:c r="C28" s="83"/>
      <x:c r="D28" s="80"/>
      <x:c r="E28" s="80"/>
      <x:c r="F28" s="86"/>
      <x:c r="G28" s="80"/>
      <x:c r="H28" s="95"/>
      <x:c r="I28" s="95"/>
      <x:c r="J28" s="96"/>
      <x:c r="K28" s="97"/>
      <x:c r="L28" s="98"/>
      <x:c r="M28" s="98"/>
      <x:c r="N28" s="98"/>
      <x:c r="O28" s="98"/>
      <x:c r="P28" s="98"/>
      <x:c r="Q28" s="80"/>
      <x:c r="R28" s="80"/>
      <x:c r="S28" s="80"/>
      <x:c r="T28" s="80"/>
      <x:c r="U28" s="80"/>
      <x:c r="V28" s="89" t="str">
        <x:f>IF(U28="Выигрыш",J28-1,IF(U28="Поражение",-1,IF(U28="Возврат",0,IF(U28="Полувыигрыш",(J28-1)/2,IF(U28="Полупроигрыш",-0.5,"")))))</x:f>
      </x:c>
      <x:c r="W28" s="80" t="str">
        <x:f>IF(A28="","",IF(U28="","Открыт","Рассчитан"))</x:f>
      </x:c>
      <x:c r="X28" s="98"/>
    </x:row>
    <x:row r="29">
      <x:c r="A29" s="80"/>
      <x:c r="B29" s="80"/>
      <x:c r="C29" s="83"/>
      <x:c r="D29" s="80"/>
      <x:c r="E29" s="80"/>
      <x:c r="F29" s="86"/>
      <x:c r="G29" s="80"/>
      <x:c r="H29" s="95"/>
      <x:c r="I29" s="95"/>
      <x:c r="J29" s="96"/>
      <x:c r="K29" s="97"/>
      <x:c r="L29" s="98"/>
      <x:c r="M29" s="98"/>
      <x:c r="N29" s="98"/>
      <x:c r="O29" s="98"/>
      <x:c r="P29" s="98"/>
      <x:c r="Q29" s="80"/>
      <x:c r="R29" s="80"/>
      <x:c r="S29" s="80"/>
      <x:c r="T29" s="80"/>
      <x:c r="U29" s="80"/>
      <x:c r="V29" s="89" t="str">
        <x:f>IF(U29="Выигрыш",J29-1,IF(U29="Поражение",-1,IF(U29="Возврат",0,IF(U29="Полувыигрыш",(J29-1)/2,IF(U29="Полупроигрыш",-0.5,"")))))</x:f>
      </x:c>
      <x:c r="W29" s="80" t="str">
        <x:f>IF(A29="","",IF(U29="","Открыт","Рассчитан"))</x:f>
      </x:c>
      <x:c r="X29" s="98"/>
    </x:row>
    <x:row r="30">
      <x:c r="A30" s="80"/>
      <x:c r="B30" s="80"/>
      <x:c r="C30" s="83"/>
      <x:c r="D30" s="80"/>
      <x:c r="E30" s="80"/>
      <x:c r="F30" s="86"/>
      <x:c r="G30" s="80"/>
      <x:c r="H30" s="95"/>
      <x:c r="I30" s="95"/>
      <x:c r="J30" s="96"/>
      <x:c r="K30" s="97"/>
      <x:c r="L30" s="98"/>
      <x:c r="M30" s="98"/>
      <x:c r="N30" s="98"/>
      <x:c r="O30" s="98"/>
      <x:c r="P30" s="98"/>
      <x:c r="Q30" s="80"/>
      <x:c r="R30" s="80"/>
      <x:c r="S30" s="80"/>
      <x:c r="T30" s="80"/>
      <x:c r="U30" s="80"/>
      <x:c r="V30" s="89" t="str">
        <x:f>IF(U30="Выигрыш",J30-1,IF(U30="Поражение",-1,IF(U30="Возврат",0,IF(U30="Полувыигрыш",(J30-1)/2,IF(U30="Полупроигрыш",-0.5,"")))))</x:f>
      </x:c>
      <x:c r="W30" s="80" t="str">
        <x:f>IF(A30="","",IF(U30="","Открыт","Рассчитан"))</x:f>
      </x:c>
      <x:c r="X30" s="98"/>
    </x:row>
    <x:row r="31">
      <x:c r="A31" s="80"/>
      <x:c r="B31" s="80"/>
      <x:c r="C31" s="83"/>
      <x:c r="D31" s="80"/>
      <x:c r="E31" s="80"/>
      <x:c r="F31" s="86"/>
      <x:c r="G31" s="80"/>
      <x:c r="H31" s="95"/>
      <x:c r="I31" s="95"/>
      <x:c r="J31" s="96"/>
      <x:c r="K31" s="97"/>
      <x:c r="L31" s="98"/>
      <x:c r="M31" s="98"/>
      <x:c r="N31" s="98"/>
      <x:c r="O31" s="98"/>
      <x:c r="P31" s="98"/>
      <x:c r="Q31" s="80"/>
      <x:c r="R31" s="80"/>
      <x:c r="S31" s="80"/>
      <x:c r="T31" s="80"/>
      <x:c r="U31" s="80"/>
      <x:c r="V31" s="89" t="str">
        <x:f>IF(U31="Выигрыш",J31-1,IF(U31="Поражение",-1,IF(U31="Возврат",0,IF(U31="Полувыигрыш",(J31-1)/2,IF(U31="Полупроигрыш",-0.5,"")))))</x:f>
      </x:c>
      <x:c r="W31" s="80" t="str">
        <x:f>IF(A31="","",IF(U31="","Открыт","Рассчитан"))</x:f>
      </x:c>
      <x:c r="X31" s="98"/>
    </x:row>
    <x:row r="32">
      <x:c r="A32" s="80"/>
      <x:c r="B32" s="80"/>
      <x:c r="C32" s="83"/>
      <x:c r="D32" s="80"/>
      <x:c r="E32" s="80"/>
      <x:c r="F32" s="86"/>
      <x:c r="G32" s="80"/>
      <x:c r="H32" s="95"/>
      <x:c r="I32" s="95"/>
      <x:c r="J32" s="96"/>
      <x:c r="K32" s="97"/>
      <x:c r="L32" s="98"/>
      <x:c r="M32" s="98"/>
      <x:c r="N32" s="98"/>
      <x:c r="O32" s="98"/>
      <x:c r="P32" s="98"/>
      <x:c r="Q32" s="80"/>
      <x:c r="R32" s="80"/>
      <x:c r="S32" s="80"/>
      <x:c r="T32" s="80"/>
      <x:c r="U32" s="80"/>
      <x:c r="V32" s="89" t="str">
        <x:f>IF(U32="Выигрыш",J32-1,IF(U32="Поражение",-1,IF(U32="Возврат",0,IF(U32="Полувыигрыш",(J32-1)/2,IF(U32="Полупроигрыш",-0.5,"")))))</x:f>
      </x:c>
      <x:c r="W32" s="80" t="str">
        <x:f>IF(A32="","",IF(U32="","Открыт","Рассчитан"))</x:f>
      </x:c>
      <x:c r="X32" s="98"/>
    </x:row>
    <x:row r="33">
      <x:c r="A33" s="80"/>
      <x:c r="B33" s="80"/>
      <x:c r="C33" s="83"/>
      <x:c r="D33" s="80"/>
      <x:c r="E33" s="80"/>
      <x:c r="F33" s="86"/>
      <x:c r="G33" s="80"/>
      <x:c r="H33" s="95"/>
      <x:c r="I33" s="95"/>
      <x:c r="J33" s="96"/>
      <x:c r="K33" s="97"/>
      <x:c r="L33" s="98"/>
      <x:c r="M33" s="98"/>
      <x:c r="N33" s="98"/>
      <x:c r="O33" s="98"/>
      <x:c r="P33" s="98"/>
      <x:c r="Q33" s="80"/>
      <x:c r="R33" s="80"/>
      <x:c r="S33" s="80"/>
      <x:c r="T33" s="80"/>
      <x:c r="U33" s="80"/>
      <x:c r="V33" s="89" t="str">
        <x:f>IF(U33="Выигрыш",J33-1,IF(U33="Поражение",-1,IF(U33="Возврат",0,IF(U33="Полувыигрыш",(J33-1)/2,IF(U33="Полупроигрыш",-0.5,"")))))</x:f>
      </x:c>
      <x:c r="W33" s="80" t="str">
        <x:f>IF(A33="","",IF(U33="","Открыт","Рассчитан"))</x:f>
      </x:c>
      <x:c r="X33" s="98"/>
    </x:row>
    <x:row r="34">
      <x:c r="A34" s="80"/>
      <x:c r="B34" s="80"/>
      <x:c r="C34" s="83"/>
      <x:c r="D34" s="80"/>
      <x:c r="E34" s="80"/>
      <x:c r="F34" s="86"/>
      <x:c r="G34" s="80"/>
      <x:c r="H34" s="95"/>
      <x:c r="I34" s="95"/>
      <x:c r="J34" s="96"/>
      <x:c r="K34" s="97"/>
      <x:c r="L34" s="98"/>
      <x:c r="M34" s="98"/>
      <x:c r="N34" s="98"/>
      <x:c r="O34" s="98"/>
      <x:c r="P34" s="98"/>
      <x:c r="Q34" s="80"/>
      <x:c r="R34" s="80"/>
      <x:c r="S34" s="80"/>
      <x:c r="T34" s="80"/>
      <x:c r="U34" s="80"/>
      <x:c r="V34" s="89" t="str">
        <x:f>IF(U34="Выигрыш",J34-1,IF(U34="Поражение",-1,IF(U34="Возврат",0,IF(U34="Полувыигрыш",(J34-1)/2,IF(U34="Полупроигрыш",-0.5,"")))))</x:f>
      </x:c>
      <x:c r="W34" s="80" t="str">
        <x:f>IF(A34="","",IF(U34="","Открыт","Рассчитан"))</x:f>
      </x:c>
      <x:c r="X34" s="98"/>
    </x:row>
    <x:row r="35">
      <x:c r="A35" s="80"/>
      <x:c r="B35" s="80"/>
      <x:c r="C35" s="83"/>
      <x:c r="D35" s="80"/>
      <x:c r="E35" s="80"/>
      <x:c r="F35" s="86"/>
      <x:c r="G35" s="80"/>
      <x:c r="H35" s="95"/>
      <x:c r="I35" s="95"/>
      <x:c r="J35" s="96"/>
      <x:c r="K35" s="97"/>
      <x:c r="L35" s="98"/>
      <x:c r="M35" s="98"/>
      <x:c r="N35" s="98"/>
      <x:c r="O35" s="98"/>
      <x:c r="P35" s="98"/>
      <x:c r="Q35" s="80"/>
      <x:c r="R35" s="80"/>
      <x:c r="S35" s="80"/>
      <x:c r="T35" s="80"/>
      <x:c r="U35" s="80"/>
      <x:c r="V35" s="89" t="str">
        <x:f>IF(U35="Выигрыш",J35-1,IF(U35="Поражение",-1,IF(U35="Возврат",0,IF(U35="Полувыигрыш",(J35-1)/2,IF(U35="Полупроигрыш",-0.5,"")))))</x:f>
      </x:c>
      <x:c r="W35" s="80" t="str">
        <x:f>IF(A35="","",IF(U35="","Открыт","Рассчитан"))</x:f>
      </x:c>
      <x:c r="X35" s="98"/>
    </x:row>
    <x:row r="36">
      <x:c r="A36" s="80"/>
      <x:c r="B36" s="80"/>
      <x:c r="C36" s="83"/>
      <x:c r="D36" s="80"/>
      <x:c r="E36" s="80"/>
      <x:c r="F36" s="86"/>
      <x:c r="G36" s="80"/>
      <x:c r="H36" s="95"/>
      <x:c r="I36" s="95"/>
      <x:c r="J36" s="96"/>
      <x:c r="K36" s="97"/>
      <x:c r="L36" s="98"/>
      <x:c r="M36" s="98"/>
      <x:c r="N36" s="98"/>
      <x:c r="O36" s="98"/>
      <x:c r="P36" s="98"/>
      <x:c r="Q36" s="80"/>
      <x:c r="R36" s="80"/>
      <x:c r="S36" s="80"/>
      <x:c r="T36" s="80"/>
      <x:c r="U36" s="80"/>
      <x:c r="V36" s="89" t="str">
        <x:f>IF(U36="Выигрыш",J36-1,IF(U36="Поражение",-1,IF(U36="Возврат",0,IF(U36="Полувыигрыш",(J36-1)/2,IF(U36="Полупроигрыш",-0.5,"")))))</x:f>
      </x:c>
      <x:c r="W36" s="80" t="str">
        <x:f>IF(A36="","",IF(U36="","Открыт","Рассчитан"))</x:f>
      </x:c>
      <x:c r="X36" s="98"/>
    </x:row>
    <x:row r="37">
      <x:c r="A37" s="80"/>
      <x:c r="B37" s="80"/>
      <x:c r="C37" s="83"/>
      <x:c r="D37" s="80"/>
      <x:c r="E37" s="80"/>
      <x:c r="F37" s="86"/>
      <x:c r="G37" s="80"/>
      <x:c r="H37" s="95"/>
      <x:c r="I37" s="95"/>
      <x:c r="J37" s="96"/>
      <x:c r="K37" s="97"/>
      <x:c r="L37" s="98"/>
      <x:c r="M37" s="98"/>
      <x:c r="N37" s="98"/>
      <x:c r="O37" s="98"/>
      <x:c r="P37" s="98"/>
      <x:c r="Q37" s="80"/>
      <x:c r="R37" s="80"/>
      <x:c r="S37" s="80"/>
      <x:c r="T37" s="80"/>
      <x:c r="U37" s="80"/>
      <x:c r="V37" s="89" t="str">
        <x:f>IF(U37="Выигрыш",J37-1,IF(U37="Поражение",-1,IF(U37="Возврат",0,IF(U37="Полувыигрыш",(J37-1)/2,IF(U37="Полупроигрыш",-0.5,"")))))</x:f>
      </x:c>
      <x:c r="W37" s="80" t="str">
        <x:f>IF(A37="","",IF(U37="","Открыт","Рассчитан"))</x:f>
      </x:c>
      <x:c r="X37" s="98"/>
    </x:row>
    <x:row r="38">
      <x:c r="A38" s="80"/>
      <x:c r="B38" s="80"/>
      <x:c r="C38" s="83"/>
      <x:c r="D38" s="80"/>
      <x:c r="E38" s="80"/>
      <x:c r="F38" s="86"/>
      <x:c r="G38" s="80"/>
      <x:c r="H38" s="95"/>
      <x:c r="I38" s="95"/>
      <x:c r="J38" s="96"/>
      <x:c r="K38" s="97"/>
      <x:c r="L38" s="98"/>
      <x:c r="M38" s="98"/>
      <x:c r="N38" s="98"/>
      <x:c r="O38" s="98"/>
      <x:c r="P38" s="98"/>
      <x:c r="Q38" s="80"/>
      <x:c r="R38" s="80"/>
      <x:c r="S38" s="80"/>
      <x:c r="T38" s="80"/>
      <x:c r="U38" s="80"/>
      <x:c r="V38" s="89" t="str">
        <x:f>IF(U38="Выигрыш",J38-1,IF(U38="Поражение",-1,IF(U38="Возврат",0,IF(U38="Полувыигрыш",(J38-1)/2,IF(U38="Полупроигрыш",-0.5,"")))))</x:f>
      </x:c>
      <x:c r="W38" s="80" t="str">
        <x:f>IF(A38="","",IF(U38="","Открыт","Рассчитан"))</x:f>
      </x:c>
      <x:c r="X38" s="98"/>
    </x:row>
    <x:row r="39">
      <x:c r="A39" s="80"/>
      <x:c r="B39" s="80"/>
      <x:c r="C39" s="83"/>
      <x:c r="D39" s="80"/>
      <x:c r="E39" s="80"/>
      <x:c r="F39" s="86"/>
      <x:c r="G39" s="80"/>
      <x:c r="H39" s="95"/>
      <x:c r="I39" s="95"/>
      <x:c r="J39" s="96"/>
      <x:c r="K39" s="97"/>
      <x:c r="L39" s="98"/>
      <x:c r="M39" s="98"/>
      <x:c r="N39" s="98"/>
      <x:c r="O39" s="98"/>
      <x:c r="P39" s="98"/>
      <x:c r="Q39" s="80"/>
      <x:c r="R39" s="80"/>
      <x:c r="S39" s="80"/>
      <x:c r="T39" s="80"/>
      <x:c r="U39" s="80"/>
      <x:c r="V39" s="89" t="str">
        <x:f>IF(U39="Выигрыш",J39-1,IF(U39="Поражение",-1,IF(U39="Возврат",0,IF(U39="Полувыигрыш",(J39-1)/2,IF(U39="Полупроигрыш",-0.5,"")))))</x:f>
      </x:c>
      <x:c r="W39" s="80" t="str">
        <x:f>IF(A39="","",IF(U39="","Открыт","Рассчитан"))</x:f>
      </x:c>
      <x:c r="X39" s="98"/>
    </x:row>
    <x:row r="40">
      <x:c r="A40" s="80"/>
      <x:c r="B40" s="80"/>
      <x:c r="C40" s="83"/>
      <x:c r="D40" s="80"/>
      <x:c r="E40" s="80"/>
      <x:c r="F40" s="86"/>
      <x:c r="G40" s="80"/>
      <x:c r="H40" s="95"/>
      <x:c r="I40" s="95"/>
      <x:c r="J40" s="96"/>
      <x:c r="K40" s="97"/>
      <x:c r="L40" s="98"/>
      <x:c r="M40" s="98"/>
      <x:c r="N40" s="98"/>
      <x:c r="O40" s="98"/>
      <x:c r="P40" s="98"/>
      <x:c r="Q40" s="80"/>
      <x:c r="R40" s="80"/>
      <x:c r="S40" s="80"/>
      <x:c r="T40" s="80"/>
      <x:c r="U40" s="80"/>
      <x:c r="V40" s="89" t="str">
        <x:f>IF(U40="Выигрыш",J40-1,IF(U40="Поражение",-1,IF(U40="Возврат",0,IF(U40="Полувыигрыш",(J40-1)/2,IF(U40="Полупроигрыш",-0.5,"")))))</x:f>
      </x:c>
      <x:c r="W40" s="80" t="str">
        <x:f>IF(A40="","",IF(U40="","Открыт","Рассчитан"))</x:f>
      </x:c>
      <x:c r="X40" s="98"/>
    </x:row>
    <x:row r="41">
      <x:c r="A41" s="80"/>
      <x:c r="B41" s="80"/>
      <x:c r="C41" s="83"/>
      <x:c r="D41" s="80"/>
      <x:c r="E41" s="80"/>
      <x:c r="F41" s="86"/>
      <x:c r="G41" s="80"/>
      <x:c r="H41" s="95"/>
      <x:c r="I41" s="95"/>
      <x:c r="J41" s="96"/>
      <x:c r="K41" s="97"/>
      <x:c r="L41" s="98"/>
      <x:c r="M41" s="98"/>
      <x:c r="N41" s="98"/>
      <x:c r="O41" s="98"/>
      <x:c r="P41" s="98"/>
      <x:c r="Q41" s="80"/>
      <x:c r="R41" s="80"/>
      <x:c r="S41" s="80"/>
      <x:c r="T41" s="80"/>
      <x:c r="U41" s="80"/>
      <x:c r="V41" s="89" t="str">
        <x:f>IF(U41="Выигрыш",J41-1,IF(U41="Поражение",-1,IF(U41="Возврат",0,IF(U41="Полувыигрыш",(J41-1)/2,IF(U41="Полупроигрыш",-0.5,"")))))</x:f>
      </x:c>
      <x:c r="W41" s="80" t="str">
        <x:f>IF(A41="","",IF(U41="","Открыт","Рассчитан"))</x:f>
      </x:c>
      <x:c r="X41" s="98"/>
    </x:row>
    <x:row r="42">
      <x:c r="A42" s="80"/>
      <x:c r="B42" s="80"/>
      <x:c r="C42" s="83"/>
      <x:c r="D42" s="80"/>
      <x:c r="E42" s="80"/>
      <x:c r="F42" s="86"/>
      <x:c r="G42" s="80"/>
      <x:c r="H42" s="95"/>
      <x:c r="I42" s="95"/>
      <x:c r="J42" s="96"/>
      <x:c r="K42" s="97"/>
      <x:c r="L42" s="98"/>
      <x:c r="M42" s="98"/>
      <x:c r="N42" s="98"/>
      <x:c r="O42" s="98"/>
      <x:c r="P42" s="98"/>
      <x:c r="Q42" s="80"/>
      <x:c r="R42" s="80"/>
      <x:c r="S42" s="80"/>
      <x:c r="T42" s="80"/>
      <x:c r="U42" s="80"/>
      <x:c r="V42" s="89" t="str">
        <x:f>IF(U42="Выигрыш",J42-1,IF(U42="Поражение",-1,IF(U42="Возврат",0,IF(U42="Полувыигрыш",(J42-1)/2,IF(U42="Полупроигрыш",-0.5,"")))))</x:f>
      </x:c>
      <x:c r="W42" s="80" t="str">
        <x:f>IF(A42="","",IF(U42="","Открыт","Рассчитан"))</x:f>
      </x:c>
      <x:c r="X42" s="98"/>
    </x:row>
    <x:row r="43">
      <x:c r="A43" s="80"/>
      <x:c r="B43" s="80"/>
      <x:c r="C43" s="83"/>
      <x:c r="D43" s="80"/>
      <x:c r="E43" s="80"/>
      <x:c r="F43" s="86"/>
      <x:c r="G43" s="80"/>
      <x:c r="H43" s="95"/>
      <x:c r="I43" s="95"/>
      <x:c r="J43" s="96"/>
      <x:c r="K43" s="97"/>
      <x:c r="L43" s="98"/>
      <x:c r="M43" s="98"/>
      <x:c r="N43" s="98"/>
      <x:c r="O43" s="98"/>
      <x:c r="P43" s="98"/>
      <x:c r="Q43" s="80"/>
      <x:c r="R43" s="80"/>
      <x:c r="S43" s="80"/>
      <x:c r="T43" s="80"/>
      <x:c r="U43" s="80"/>
      <x:c r="V43" s="89" t="str">
        <x:f>IF(U43="Выигрыш",J43-1,IF(U43="Поражение",-1,IF(U43="Возврат",0,IF(U43="Полувыигрыш",(J43-1)/2,IF(U43="Полупроигрыш",-0.5,"")))))</x:f>
      </x:c>
      <x:c r="W43" s="80" t="str">
        <x:f>IF(A43="","",IF(U43="","Открыт","Рассчитан"))</x:f>
      </x:c>
      <x:c r="X43" s="98"/>
    </x:row>
    <x:row r="44">
      <x:c r="A44" s="80"/>
      <x:c r="B44" s="80"/>
      <x:c r="C44" s="83"/>
      <x:c r="D44" s="80"/>
      <x:c r="E44" s="80"/>
      <x:c r="F44" s="86"/>
      <x:c r="G44" s="80"/>
      <x:c r="H44" s="95"/>
      <x:c r="I44" s="95"/>
      <x:c r="J44" s="96"/>
      <x:c r="K44" s="97"/>
      <x:c r="L44" s="98"/>
      <x:c r="M44" s="98"/>
      <x:c r="N44" s="98"/>
      <x:c r="O44" s="98"/>
      <x:c r="P44" s="98"/>
      <x:c r="Q44" s="80"/>
      <x:c r="R44" s="80"/>
      <x:c r="S44" s="80"/>
      <x:c r="T44" s="80"/>
      <x:c r="U44" s="80"/>
      <x:c r="V44" s="89" t="str">
        <x:f>IF(U44="Выигрыш",J44-1,IF(U44="Поражение",-1,IF(U44="Возврат",0,IF(U44="Полувыигрыш",(J44-1)/2,IF(U44="Полупроигрыш",-0.5,"")))))</x:f>
      </x:c>
      <x:c r="W44" s="80" t="str">
        <x:f>IF(A44="","",IF(U44="","Открыт","Рассчитан"))</x:f>
      </x:c>
      <x:c r="X44" s="98"/>
    </x:row>
    <x:row r="45">
      <x:c r="A45" s="80"/>
      <x:c r="B45" s="80"/>
      <x:c r="C45" s="83"/>
      <x:c r="D45" s="80"/>
      <x:c r="E45" s="80"/>
      <x:c r="F45" s="86"/>
      <x:c r="G45" s="80"/>
      <x:c r="H45" s="95"/>
      <x:c r="I45" s="95"/>
      <x:c r="J45" s="96"/>
      <x:c r="K45" s="97"/>
      <x:c r="L45" s="98"/>
      <x:c r="M45" s="98"/>
      <x:c r="N45" s="98"/>
      <x:c r="O45" s="98"/>
      <x:c r="P45" s="98"/>
      <x:c r="Q45" s="80"/>
      <x:c r="R45" s="80"/>
      <x:c r="S45" s="80"/>
      <x:c r="T45" s="80"/>
      <x:c r="U45" s="80"/>
      <x:c r="V45" s="89" t="str">
        <x:f>IF(U45="Выигрыш",J45-1,IF(U45="Поражение",-1,IF(U45="Возврат",0,IF(U45="Полувыигрыш",(J45-1)/2,IF(U45="Полупроигрыш",-0.5,"")))))</x:f>
      </x:c>
      <x:c r="W45" s="80" t="str">
        <x:f>IF(A45="","",IF(U45="","Открыт","Рассчитан"))</x:f>
      </x:c>
      <x:c r="X45" s="98"/>
    </x:row>
    <x:row r="46">
      <x:c r="A46" s="80"/>
      <x:c r="B46" s="80"/>
      <x:c r="C46" s="83"/>
      <x:c r="D46" s="80"/>
      <x:c r="E46" s="80"/>
      <x:c r="F46" s="86"/>
      <x:c r="G46" s="80"/>
      <x:c r="H46" s="95"/>
      <x:c r="I46" s="95"/>
      <x:c r="J46" s="96"/>
      <x:c r="K46" s="97"/>
      <x:c r="L46" s="98"/>
      <x:c r="M46" s="98"/>
      <x:c r="N46" s="98"/>
      <x:c r="O46" s="98"/>
      <x:c r="P46" s="98"/>
      <x:c r="Q46" s="80"/>
      <x:c r="R46" s="80"/>
      <x:c r="S46" s="80"/>
      <x:c r="T46" s="80"/>
      <x:c r="U46" s="80"/>
      <x:c r="V46" s="89" t="str">
        <x:f>IF(U46="Выигрыш",J46-1,IF(U46="Поражение",-1,IF(U46="Возврат",0,IF(U46="Полувыигрыш",(J46-1)/2,IF(U46="Полупроигрыш",-0.5,"")))))</x:f>
      </x:c>
      <x:c r="W46" s="80" t="str">
        <x:f>IF(A46="","",IF(U46="","Открыт","Рассчитан"))</x:f>
      </x:c>
      <x:c r="X46" s="98"/>
    </x:row>
    <x:row r="47">
      <x:c r="A47" s="80"/>
      <x:c r="B47" s="80"/>
      <x:c r="C47" s="83"/>
      <x:c r="D47" s="80"/>
      <x:c r="E47" s="80"/>
      <x:c r="F47" s="86"/>
      <x:c r="G47" s="80"/>
      <x:c r="H47" s="95"/>
      <x:c r="I47" s="95"/>
      <x:c r="J47" s="96"/>
      <x:c r="K47" s="97"/>
      <x:c r="L47" s="98"/>
      <x:c r="M47" s="98"/>
      <x:c r="N47" s="98"/>
      <x:c r="O47" s="98"/>
      <x:c r="P47" s="98"/>
      <x:c r="Q47" s="80"/>
      <x:c r="R47" s="80"/>
      <x:c r="S47" s="80"/>
      <x:c r="T47" s="80"/>
      <x:c r="U47" s="80"/>
      <x:c r="V47" s="89" t="str">
        <x:f>IF(U47="Выигрыш",J47-1,IF(U47="Поражение",-1,IF(U47="Возврат",0,IF(U47="Полувыигрыш",(J47-1)/2,IF(U47="Полупроигрыш",-0.5,"")))))</x:f>
      </x:c>
      <x:c r="W47" s="80" t="str">
        <x:f>IF(A47="","",IF(U47="","Открыт","Рассчитан"))</x:f>
      </x:c>
      <x:c r="X47" s="98"/>
    </x:row>
    <x:row r="48">
      <x:c r="A48" s="80"/>
      <x:c r="B48" s="80"/>
      <x:c r="C48" s="83"/>
      <x:c r="D48" s="80"/>
      <x:c r="E48" s="80"/>
      <x:c r="F48" s="86"/>
      <x:c r="G48" s="80"/>
      <x:c r="H48" s="95"/>
      <x:c r="I48" s="95"/>
      <x:c r="J48" s="96"/>
      <x:c r="K48" s="97"/>
      <x:c r="L48" s="98"/>
      <x:c r="M48" s="98"/>
      <x:c r="N48" s="98"/>
      <x:c r="O48" s="98"/>
      <x:c r="P48" s="98"/>
      <x:c r="Q48" s="80"/>
      <x:c r="R48" s="80"/>
      <x:c r="S48" s="80"/>
      <x:c r="T48" s="80"/>
      <x:c r="U48" s="80"/>
      <x:c r="V48" s="89" t="str">
        <x:f>IF(U48="Выигрыш",J48-1,IF(U48="Поражение",-1,IF(U48="Возврат",0,IF(U48="Полувыигрыш",(J48-1)/2,IF(U48="Полупроигрыш",-0.5,"")))))</x:f>
      </x:c>
      <x:c r="W48" s="80" t="str">
        <x:f>IF(A48="","",IF(U48="","Открыт","Рассчитан"))</x:f>
      </x:c>
      <x:c r="X48" s="98"/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