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5c715ccd942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ce3d3746c41242ae"/>
    <x:sheet xmlns:r="http://schemas.openxmlformats.org/officeDocument/2006/relationships" name="Реестр" sheetId="2" r:id="R82a51537fe724d02"/>
    <x:sheet xmlns:r="http://schemas.openxmlformats.org/officeDocument/2006/relationships" name="Правила" sheetId="3" r:id="R20180f2a27624b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264390e24e47c5" /><Relationship Type="http://schemas.openxmlformats.org/officeDocument/2006/relationships/theme" Target="/xl/theme/theme1.xml" Id="Rad5faa81ba4f438b" /><Relationship Type="http://schemas.openxmlformats.org/officeDocument/2006/relationships/sharedStrings" Target="/xl/sharedStrings.xml" Id="R80cf1dd621f44cba" /><Relationship Type="http://schemas.openxmlformats.org/officeDocument/2006/relationships/worksheet" Target="/xl/worksheets/sheet1.xml" Id="Rce3d3746c41242ae" /><Relationship Type="http://schemas.openxmlformats.org/officeDocument/2006/relationships/worksheet" Target="/xl/worksheets/sheet2.xml" Id="R82a51537fe724d02" /><Relationship Type="http://schemas.openxmlformats.org/officeDocument/2006/relationships/worksheet" Target="/xl/worksheets/sheet3.xml" Id="R20180f2a27624b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43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43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1.8959302325581397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21:50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/>
      <x:c r="U8" s="80"/>
      <x:c r="V8" s="89" t="str">
        <x:f>IF(U8="","",IF(U8="Плюс",J8-1,IF(U8="Минус",-1,IF(U8="Возврат",0,IF(U8="Полуплюс",(J8-1)/2,IF(U8="Полуминус",-0.5,""))))))</x:f>
      </x:c>
      <x:c r="W8" s="80" t="str">
        <x:f>IF(A8="","",IF(U8="","Открыт","Рассчитан"))</x:f>
        <x:v>Открыт</x:v>
      </x:c>
      <x:c r="X8" s="98" t="str">
        <x:v>Основной кандидат текущего запуска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/>
      <x:c r="U9" s="80"/>
      <x:c r="V9" s="89" t="str">
        <x:f>IF(U9="","",IF(U9="Плюс",J9-1,IF(U9="Минус",-1,IF(U9="Возврат",0,IF(U9="Полуплюс",(J9-1)/2,IF(U9="Полуминус",-0.5,""))))))</x:f>
      </x:c>
      <x:c r="W9" s="80" t="str">
        <x:f>IF(A9="","",IF(U9="","Открыт","Рассчитан"))</x:f>
        <x:v>Открыт</x:v>
      </x:c>
      <x:c r="X9" s="98" t="str">
        <x:v>Агрессивный кандидат по открытому сценарию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/>
      <x:c r="U10" s="80"/>
      <x:c r="V10" s="89" t="str">
        <x:f>IF(U10="","",IF(U10="Плюс",J10-1,IF(U10="Минус",-1,IF(U10="Возврат",0,IF(U10="Полуплюс",(J10-1)/2,IF(U10="Полуминус",-0.5,""))))))</x:f>
      </x:c>
      <x:c r="W10" s="80" t="str">
        <x:f>IF(A10="","",IF(U10="","Открыт","Рассчитан"))</x:f>
        <x:v>Открыт</x:v>
      </x:c>
      <x:c r="X10" s="98" t="str">
        <x:v>Линия с возвратом при одном дополнительном голе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/>
      <x:c r="U11" s="80"/>
      <x:c r="V11" s="89" t="str">
        <x:f>IF(U11="","",IF(U11="Плюс",J11-1,IF(U11="Минус",-1,IF(U11="Возврат",0,IF(U11="Полуплюс",(J11-1)/2,IF(U11="Полуминус",-0.5,""))))))</x:f>
      </x:c>
      <x:c r="W11" s="80" t="str">
        <x:f>IF(A11="","",IF(U11="","Открыт","Рассчитан"))</x:f>
        <x:v>Открыт</x:v>
      </x:c>
      <x:c r="X11" s="98" t="str">
        <x:v>Высокая дисперсия из-за реализации выше xG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/>
      <x:c r="U12" s="80"/>
      <x:c r="V12" s="89" t="str">
        <x:f>IF(U12="","",IF(U12="Плюс",J12-1,IF(U12="Минус",-1,IF(U12="Возврат",0,IF(U12="Полуплюс",(J12-1)/2,IF(U12="Полуминус",-0.5,""))))))</x:f>
      </x:c>
      <x:c r="W12" s="80" t="str">
        <x:f>IF(A12="","",IF(U12="","Открыт","Рассчитан"))</x:f>
        <x:v>Открыт</x:v>
      </x:c>
      <x:c r="X12" s="98" t="str">
        <x:v>Защитная азиатская линия: второй гол даёт полуплюс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/>
      <x:c r="U13" s="80"/>
      <x:c r="V13" s="89" t="str">
        <x:f>IF(U13="","",IF(U13="Плюс",J13-1,IF(U13="Минус",-1,IF(U13="Возврат",0,IF(U13="Полуплюс",(J13-1)/2,IF(U13="Полуминус",-0.5,""))))))</x:f>
      </x:c>
      <x:c r="W13" s="80" t="str">
        <x:f>IF(A13="","",IF(U13="","Открыт","Рассчитан"))</x:f>
        <x:v>Открыт</x:v>
      </x:c>
      <x:c r="X13" s="98" t="str">
        <x:v>Главный кандидат: фаворит в большинстве и резко нарастил давление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/>
      <x:c r="U14" s="80"/>
      <x:c r="V14" s="89" t="str">
        <x:f>IF(U14="","",IF(U14="Плюс",J14-1,IF(U14="Минус",-1,IF(U14="Возврат",0,IF(U14="Полуплюс",(J14-1)/2,IF(U14="Полуминус",-0.5,""))))))</x:f>
      </x:c>
      <x:c r="W14" s="80" t="str">
        <x:f>IF(A14="","",IF(U14="","Открыт","Рассчитан"))</x:f>
        <x:v>Открыт</x:v>
      </x:c>
      <x:c r="X14" s="98" t="str">
        <x:v>Сильная атакующая динамика, но очень высокая линия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/>
      <x:c r="U15" s="80"/>
      <x:c r="V15" s="89" t="str">
        <x:f>IF(U15="","",IF(U15="Плюс",J15-1,IF(U15="Минус",-1,IF(U15="Возврат",0,IF(U15="Полуплюс",(J15-1)/2,IF(U15="Полуминус",-0.5,""))))))</x:f>
      </x:c>
      <x:c r="W15" s="80" t="str">
        <x:f>IF(A15="","",IF(U15="","Открыт","Рассчитан"))</x:f>
        <x:v>Открыт</x:v>
      </x:c>
      <x:c r="X15" s="98" t="str">
        <x:v>Кандидат по удалению и территориальному превосходству фаворита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/>
      <x:c r="U16" s="80"/>
      <x:c r="V16" s="89" t="str">
        <x:f>IF(U16="","",IF(U16="Плюс",J16-1,IF(U16="Минус",-1,IF(U16="Возврат",0,IF(U16="Полуплюс",(J16-1)/2,IF(U16="Полуминус",-0.5,""))))))</x:f>
      </x:c>
      <x:c r="W16" s="80" t="str">
        <x:f>IF(A16="","",IF(U16="","Открыт","Рассчитан"))</x:f>
        <x:v>Открыт</x:v>
      </x:c>
      <x:c r="X16" s="98" t="str">
        <x:v>Продолжение открытого матча после свежего гола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/>
      <x:c r="U17" s="80"/>
      <x:c r="V17" s="89" t="str">
        <x:f>IF(U17="","",IF(U17="Плюс",J17-1,IF(U17="Минус",-1,IF(U17="Возврат",0,IF(U17="Полуплюс",(J17-1)/2,IF(U17="Полуминус",-0.5,""))))))</x:f>
      </x:c>
      <x:c r="W17" s="80" t="str">
        <x:f>IF(A17="","",IF(U17="","Открыт","Рассчитан"))</x:f>
        <x:v>Открыт</x:v>
      </x:c>
      <x:c r="X17" s="98" t="str">
        <x:v>Финляндия подтверждает статус фаворита качеством моментов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/>
      <x:c r="U18" s="80"/>
      <x:c r="V18" s="89" t="str">
        <x:f>IF(U18="","",IF(U18="Плюс",J18-1,IF(U18="Минус",-1,IF(U18="Возврат",0,IF(U18="Полуплюс",(J18-1)/2,IF(U18="Полуминус",-0.5,""))))))</x:f>
      </x:c>
      <x:c r="W18" s="80" t="str">
        <x:f>IF(A18="","",IF(U18="","Открыт","Рассчитан"))</x:f>
        <x:v>Открыт</x:v>
      </x:c>
      <x:c r="X18" s="98" t="str">
        <x:v>Низкая линия при пяти ударах в створ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/>
      <x:c r="U19" s="80"/>
      <x:c r="V19" s="89" t="str">
        <x:f>IF(U19="","",IF(U19="Плюс",J19-1,IF(U19="Минус",-1,IF(U19="Возврат",0,IF(U19="Полуплюс",(J19-1)/2,IF(U19="Полуминус",-0.5,""))))))</x:f>
      </x:c>
      <x:c r="W19" s="80" t="str">
        <x:f>IF(A19="","",IF(U19="","Открыт","Рассчитан"))</x:f>
        <x:v>Открыт</x:v>
      </x:c>
      <x:c r="X19" s="98" t="str">
        <x:v>Умеренный кандидат после свежего ответного гола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/>
      <x:c r="U20" s="80"/>
      <x:c r="V20" s="89" t="str">
        <x:f>IF(U20="","",IF(U20="Плюс",J20-1,IF(U20="Минус",-1,IF(U20="Возврат",0,IF(U20="Полуплюс",(J20-1)/2,IF(U20="Полуминус",-0.5,""))))))</x:f>
      </x:c>
      <x:c r="W20" s="80" t="str">
        <x:f>IF(A20="","",IF(U20="","Открыт","Рассчитан"))</x:f>
        <x:v>Открыт</x:v>
      </x:c>
      <x:c r="X20" s="98" t="str">
        <x:v>Сильное давление фаворита при низкой линии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/>
      <x:c r="U21" s="80"/>
      <x:c r="V21" s="89" t="str">
        <x:f>IF(U21="","",IF(U21="Плюс",J21-1,IF(U21="Минус",-1,IF(U21="Возврат",0,IF(U21="Полуплюс",(J21-1)/2,IF(U21="Полуминус",-0.5,""))))))</x:f>
      </x:c>
      <x:c r="W21" s="80" t="str">
        <x:f>IF(A21="","",IF(U21="","Открыт","Рассчитан"))</x:f>
        <x:v>Открыт</x:v>
      </x:c>
      <x:c r="X21" s="98" t="str">
        <x:v>Новый юношеский кандидат текущего снимка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/>
      <x:c r="U22" s="80"/>
      <x:c r="V22" s="89" t="str">
        <x:f>IF(U22="","",IF(U22="Плюс",J22-1,IF(U22="Минус",-1,IF(U22="Возврат",0,IF(U22="Полуплюс",(J22-1)/2,IF(U22="Полуминус",-0.5,""))))))</x:f>
      </x:c>
      <x:c r="W22" s="80" t="str">
        <x:f>IF(A22="","",IF(U22="","Открыт","Рассчитан"))</x:f>
        <x:v>Открыт</x:v>
      </x:c>
      <x:c r="X22" s="98" t="str">
        <x:v>Быстрый live-отбор 21:27 МСК; при ровно двух дополнительных голах ТБ 2,25 даёт полуминус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/>
      <x:c r="U23" s="80"/>
      <x:c r="V23" s="89" t="str">
        <x:f>IF(U23="","",IF(U23="Плюс",J23-1,IF(U23="Минус",-1,IF(U23="Возврат",0,IF(U23="Полуплюс",(J23-1)/2,IF(U23="Полуминус",-0.5,""))))))</x:f>
      </x:c>
      <x:c r="W23" s="80" t="str">
        <x:f>IF(A23="","",IF(U23="","Открыт","Рассчитан"))</x:f>
        <x:v>Открыт</x:v>
      </x:c>
      <x:c r="X23" s="98" t="str">
        <x:v>Быстрый live-отбор 21:27 МСК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/>
      <x:c r="U24" s="80"/>
      <x:c r="V24" s="89" t="str">
        <x:f>IF(U24="","",IF(U24="Плюс",J24-1,IF(U24="Минус",-1,IF(U24="Возврат",0,IF(U24="Полуплюс",(J24-1)/2,IF(U24="Полуминус",-0.5,""))))))</x:f>
      </x:c>
      <x:c r="W24" s="80" t="str">
        <x:f>IF(A24="","",IF(U24="","Открыт","Рассчитан"))</x:f>
        <x:v>Открыт</x:v>
      </x:c>
      <x:c r="X24" s="98" t="str">
        <x:v>Быстрый live-отбор 21:27 МСК; повышенный риск после пяти ранних голов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/>
      <x:c r="U25" s="80"/>
      <x:c r="V25" s="89" t="str">
        <x:f>IF(U25="","",IF(U25="Плюс",J25-1,IF(U25="Минус",-1,IF(U25="Возврат",0,IF(U25="Полуплюс",(J25-1)/2,IF(U25="Полуминус",-0.5,""))))))</x:f>
      </x:c>
      <x:c r="W25" s="80" t="str">
        <x:f>IF(A25="","",IF(U25="","Открыт","Рассчитан"))</x:f>
        <x:v>Открыт</x:v>
      </x:c>
      <x:c r="X25" s="98" t="str">
        <x:v>Быстрый live-отбор 21:27 МСК; два дополнительных гола дают полувыигрыш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/>
      <x:c r="U26" s="80"/>
      <x:c r="V26" s="89" t="str">
        <x:f>IF(U26="","",IF(U26="Плюс",J26-1,IF(U26="Минус",-1,IF(U26="Возврат",0,IF(U26="Полуплюс",(J26-1)/2,IF(U26="Полуминус",-0.5,""))))))</x:f>
      </x:c>
      <x:c r="W26" s="80" t="str">
        <x:f>IF(A26="","",IF(U26="","Открыт","Рассчитан"))</x:f>
        <x:v>Открыт</x:v>
      </x:c>
      <x:c r="X26" s="98" t="str">
        <x:v>Лучший текущий сценарий снимка; быстрый live-отбор 21:27 МСК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/>
      <x:c r="U27" s="80"/>
      <x:c r="V27" s="89" t="str">
        <x:f>IF(U27="","",IF(U27="Плюс",J27-1,IF(U27="Минус",-1,IF(U27="Возврат",0,IF(U27="Полуплюс",(J27-1)/2,IF(U27="Полуминус",-0.5,""))))))</x:f>
      </x:c>
      <x:c r="W27" s="80" t="str">
        <x:f>IF(A27="","",IF(U27="","Открыт","Рассчитан"))</x:f>
        <x:v>Открыт</x:v>
      </x:c>
      <x:c r="X27" s="98" t="str">
        <x:v>Быстрый live-отбор 21:37 МСК; один из трёх лучших кандидатов снимка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/>
      <x:c r="U28" s="80"/>
      <x:c r="V28" s="89" t="str">
        <x:f>IF(U28="","",IF(U28="Плюс",J28-1,IF(U28="Минус",-1,IF(U28="Возврат",0,IF(U28="Полуплюс",(J28-1)/2,IF(U28="Полуминус",-0.5,""))))))</x:f>
      </x:c>
      <x:c r="W28" s="80" t="str">
        <x:f>IF(A28="","",IF(U28="","Открыт","Рассчитан"))</x:f>
        <x:v>Открыт</x:v>
      </x:c>
      <x:c r="X28" s="98" t="str">
        <x:v>Быстрый live-отбор 21:37 МСК; один из трёх лучших кандидатов снимка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/>
      <x:c r="U29" s="80"/>
      <x:c r="V29" s="89" t="str">
        <x:f>IF(U29="","",IF(U29="Плюс",J29-1,IF(U29="Минус",-1,IF(U29="Возврат",0,IF(U29="Полуплюс",(J29-1)/2,IF(U29="Полуминус",-0.5,""))))))</x:f>
      </x:c>
      <x:c r="W29" s="80" t="str">
        <x:f>IF(A29="","",IF(U29="","Открыт","Рассчитан"))</x:f>
        <x:v>Открыт</x:v>
      </x:c>
      <x:c r="X29" s="98" t="str">
        <x:v>Быстрый live-отбор 21:37 МСК; риск высокой линии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/>
      <x:c r="U30" s="80"/>
      <x:c r="V30" s="89" t="str">
        <x:f>IF(U30="","",IF(U30="Плюс",J30-1,IF(U30="Минус",-1,IF(U30="Возврат",0,IF(U30="Полуплюс",(J30-1)/2,IF(U30="Полуминус",-0.5,""))))))</x:f>
      </x:c>
      <x:c r="W30" s="80" t="str">
        <x:f>IF(A30="","",IF(U30="","Открыт","Рассчитан"))</x:f>
        <x:v>Открыт</x:v>
      </x:c>
      <x:c r="X30" s="98" t="str">
        <x:v>Быстрый live-отбор 21:37 МСК; риск высокой линии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/>
      <x:c r="U31" s="80"/>
      <x:c r="V31" s="89" t="str">
        <x:f>IF(U31="","",IF(U31="Плюс",J31-1,IF(U31="Минус",-1,IF(U31="Возврат",0,IF(U31="Полуплюс",(J31-1)/2,IF(U31="Полуминус",-0.5,""))))))</x:f>
      </x:c>
      <x:c r="W31" s="80" t="str">
        <x:f>IF(A31="","",IF(U31="","Открыт","Рассчитан"))</x:f>
        <x:v>Открыт</x:v>
      </x:c>
      <x:c r="X31" s="98" t="str">
        <x:v>Быстрый live-отбор 21:37 МСК; один из трёх лучших кандидатов снимка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/>
      <x:c r="U32" s="80"/>
      <x:c r="V32" s="89" t="str">
        <x:f>IF(U32="","",IF(U32="Плюс",J32-1,IF(U32="Минус",-1,IF(U32="Возврат",0,IF(U32="Полуплюс",(J32-1)/2,IF(U32="Полуминус",-0.5,""))))))</x:f>
      </x:c>
      <x:c r="W32" s="80" t="str">
        <x:f>IF(A32="","",IF(U32="","Открыт","Рассчитан"))</x:f>
        <x:v>Открыт</x:v>
      </x:c>
      <x:c r="X32" s="98" t="str">
        <x:v>Быстрый live-отбор 21:37 МСК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/>
      <x:c r="U33" s="80"/>
      <x:c r="V33" s="89" t="str">
        <x:f>IF(U33="","",IF(U33="Плюс",J33-1,IF(U33="Минус",-1,IF(U33="Возврат",0,IF(U33="Полуплюс",(J33-1)/2,IF(U33="Полуминус",-0.5,""))))))</x:f>
      </x:c>
      <x:c r="W33" s="80" t="str">
        <x:f>IF(A33="","",IF(U33="","Открыт","Рассчитан"))</x:f>
        <x:v>Открыт</x:v>
      </x:c>
      <x:c r="X33" s="98" t="str">
        <x:v>Быстрый live-отбор 21:37 МСК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/>
      <x:c r="U34" s="80"/>
      <x:c r="V34" s="89" t="str">
        <x:f>IF(U34="","",IF(U34="Плюс",J34-1,IF(U34="Минус",-1,IF(U34="Возврат",0,IF(U34="Полуплюс",(J34-1)/2,IF(U34="Полуминус",-0.5,""))))))</x:f>
      </x:c>
      <x:c r="W34" s="80" t="str">
        <x:f>IF(A34="","",IF(U34="","Открыт","Рассчитан"))</x:f>
        <x:v>Открыт</x:v>
      </x:c>
      <x:c r="X34" s="98" t="str">
        <x:v>Быстрый live-отбор 21:37 МСК; низкая точность ударов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/>
      <x:c r="U35" s="80"/>
      <x:c r="V35" s="89" t="str">
        <x:f>IF(U35="","",IF(U35="Плюс",J35-1,IF(U35="Минус",-1,IF(U35="Возврат",0,IF(U35="Полуплюс",(J35-1)/2,IF(U35="Полуминус",-0.5,""))))))</x:f>
      </x:c>
      <x:c r="W35" s="80" t="str">
        <x:f>IF(A35="","",IF(U35="","Открыт","Рассчитан"))</x:f>
        <x:v>Открыт</x:v>
      </x:c>
      <x:c r="X35" s="98" t="str">
        <x:v>Быстрый live-отбор 21:37 МСК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/>
      <x:c r="U36" s="80"/>
      <x:c r="V36" s="89" t="str">
        <x:f>IF(U36="","",IF(U36="Плюс",J36-1,IF(U36="Минус",-1,IF(U36="Возврат",0,IF(U36="Полуплюс",(J36-1)/2,IF(U36="Полуминус",-0.5,""))))))</x:f>
      </x:c>
      <x:c r="W36" s="80" t="str">
        <x:f>IF(A36="","",IF(U36="","Открыт","Рассчитан"))</x:f>
        <x:v>Открыт</x:v>
      </x:c>
      <x:c r="X36" s="98" t="str">
        <x:v>Быстрый live-отбор 21:37 МСК; односторонний сценарий</x:v>
      </x:c>
    </x:row>
    <x:row r="37">
      <x:c r="A37" s="80" t="n">
        <x:v>32</x:v>
      </x:c>
      <x:c r="B37" s="80" t="str">
        <x:v>13288669</x:v>
      </x:c>
      <x:c r="C37" s="83" t="str">
        <x:v>13.10.2026 21:50</x:v>
      </x:c>
      <x:c r="D37" s="80" t="str">
        <x:v>Польша - IV лига</x:v>
      </x:c>
      <x:c r="E37" s="80" t="str">
        <x:v>Полония Лазиска-Гурне - Пшемша-Севеж</x:v>
      </x:c>
      <x:c r="F37" s="86" t="n">
        <x:v>55</x:v>
      </x:c>
      <x:c r="G37" s="80" t="str">
        <x:v>0:0</x:v>
      </x:c>
      <x:c r="H37" s="95" t="str">
        <x:v>Высокая плотность ударов в створ при низкой линии</x:v>
      </x:c>
      <x:c r="I37" s="95" t="str">
        <x:v>ТБ 1,25 всего матча</x:v>
      </x:c>
      <x:c r="J37" s="96" t="n">
        <x:v>1.875</x:v>
      </x:c>
      <x:c r="K37" s="97" t="n">
        <x:v>2</x:v>
      </x:c>
      <x:c r="L37" s="98" t="str">
        <x:v>Удары 5:11; в створ 3:6; опасные атаки 41:35; угловые 3:2; владение 45:55</x:v>
      </x:c>
      <x:c r="M37" s="98" t="str">
        <x:v>Один свежий снимок; раздельная динамика за 10–15 минут недоступна</x:v>
      </x:c>
      <x:c r="N37" s="98" t="str">
        <x:v>Девять ударов в створ при нулевом счёте; низкая линия</x:v>
      </x:c>
      <x:c r="O37" s="98" t="str">
        <x:v>Осталось около 35 минут; один гол даёт полупроигрыш</x:v>
      </x:c>
      <x:c r="P37" s="98" t="str">
        <x:v>Средняя</x:v>
      </x:c>
      <x:c r="Q37" s="80" t="str">
        <x:v>ПОДХОДИТ В LIVE</x:v>
      </x:c>
      <x:c r="R37" s="80" t="str">
        <x:v>ТБ live v1 от 13.10.2026</x:v>
      </x:c>
      <x:c r="S37" s="80" t="str">
        <x:v>BetsAPI / Bet365</x:v>
      </x:c>
      <x:c r="T37" s="80"/>
      <x:c r="U37" s="80"/>
      <x:c r="V37" s="89" t="str">
        <x:f>IF(U37="","",IF(U37="Плюс",J37-1,IF(U37="Минус",-1,IF(U37="Возврат",0,IF(U37="Полуплюс",(J37-1)/2,IF(U37="Полуминус",-0.5,""))))))</x:f>
      </x:c>
      <x:c r="W37" s="80" t="str">
        <x:f>IF(A37="","",IF(U37="","Открыт","Рассчитан"))</x:f>
        <x:v>Открыт</x:v>
      </x:c>
      <x:c r="X37" s="98" t="str">
        <x:v>Быстрый live-отбор 21:50 МСК; лучший кандидат снимка по плотности ударов в створ</x:v>
      </x:c>
    </x:row>
    <x:row r="38">
      <x:c r="A38" s="80" t="n">
        <x:v>33</x:v>
      </x:c>
      <x:c r="B38" s="80" t="str">
        <x:v>12407699</x:v>
      </x:c>
      <x:c r="C38" s="83" t="str">
        <x:v>13.10.2026 21:50</x:v>
      </x:c>
      <x:c r="D38" s="80" t="str">
        <x:v>Англия - Трофей Английской лиги</x:v>
      </x:c>
      <x:c r="E38" s="80" t="str">
        <x:v>Челтнем - Тоттенхэм U21</x:v>
      </x:c>
      <x:c r="F38" s="86" t="n">
        <x:v>45</x:v>
      </x:c>
      <x:c r="G38" s="80" t="str">
        <x:v>1:0</x:v>
      </x:c>
      <x:c r="H38" s="95" t="str">
        <x:v>Тоттенхэм U21 уступает и должен раскрываться после перерыва</x:v>
      </x:c>
      <x:c r="I38" s="95" t="str">
        <x:v>ТБ 3 всего матча</x:v>
      </x:c>
      <x:c r="J38" s="96" t="n">
        <x:v>1.85</x:v>
      </x:c>
      <x:c r="K38" s="97" t="n">
        <x:v>3</x:v>
      </x:c>
      <x:c r="L38" s="98" t="str">
        <x:v>Удары 7:4; в створ 3:1; опасные атаки 26:20; угловые 4:4; владение 45:55; xG 1,27:0,68</x:v>
      </x:c>
      <x:c r="M38" s="98" t="str">
        <x:v>Один свежий снимок; раздельная динамика за 10–15 минут недоступна</x:v>
      </x:c>
      <x:c r="N38" s="98" t="str">
        <x:v>Суммарный xG 1,95; одиннадцать ударов и восемь угловых</x:v>
      </x:c>
      <x:c r="O38" s="98" t="str">
        <x:v>У гостей только один удар в створ; два новых гола дают лишь возврат</x:v>
      </x:c>
      <x:c r="P38" s="98" t="str">
        <x:v>Высокая</x:v>
      </x:c>
      <x:c r="Q38" s="80" t="str">
        <x:v>ПОДХОДИТ В LIVE</x:v>
      </x:c>
      <x:c r="R38" s="80" t="str">
        <x:v>ТБ live v1 от 13.10.2026</x:v>
      </x:c>
      <x:c r="S38" s="80" t="str">
        <x:v>BetsAPI / Bet365</x:v>
      </x:c>
      <x:c r="T38" s="80"/>
      <x:c r="U38" s="80"/>
      <x:c r="V38" s="89" t="str">
        <x:f>IF(U38="","",IF(U38="Плюс",J38-1,IF(U38="Минус",-1,IF(U38="Возврат",0,IF(U38="Полуплюс",(J38-1)/2,IF(U38="Полуминус",-0.5,""))))))</x:f>
      </x:c>
      <x:c r="W38" s="80" t="str">
        <x:f>IF(A38="","",IF(U38="","Открыт","Рассчитан"))</x:f>
        <x:v>Открыт</x:v>
      </x:c>
      <x:c r="X38" s="98" t="str">
        <x:v>Быстрый live-отбор 21:50 МСК</x:v>
      </x:c>
    </x:row>
    <x:row r="39">
      <x:c r="A39" s="80" t="n">
        <x:v>34</x:v>
      </x:c>
      <x:c r="B39" s="80" t="str">
        <x:v>12457698</x:v>
      </x:c>
      <x:c r="C39" s="83" t="str">
        <x:v>13.10.2026 21:50</x:v>
      </x:c>
      <x:c r="D39" s="80" t="str">
        <x:v>Азия - Лига чемпионов АФК</x:v>
      </x:c>
      <x:c r="E39" s="80" t="str">
        <x:v>Аль-Иттихад Джидда - Шабаб Аль-Ахли</x:v>
      </x:c>
      <x:c r="F39" s="86" t="n">
        <x:v>35</x:v>
      </x:c>
      <x:c r="G39" s="80" t="str">
        <x:v>0:2</x:v>
      </x:c>
      <x:c r="H39" s="95" t="str">
        <x:v>Аль-Иттихад проигрывает два мяча и продолжает территориальное давление</x:v>
      </x:c>
      <x:c r="I39" s="95" t="str">
        <x:v>ТБ 4,25 всего матча</x:v>
      </x:c>
      <x:c r="J39" s="96" t="n">
        <x:v>2.025</x:v>
      </x:c>
      <x:c r="K39" s="97" t="n">
        <x:v>3</x:v>
      </x:c>
      <x:c r="L39" s="98" t="str">
        <x:v>Удары 8:5; в створ 4:2; опасные атаки 25:6; угловые 3:0; владение 68:32; xG 0,25:1,19</x:v>
      </x:c>
      <x:c r="M39" s="98" t="str">
        <x:v>Один свежий снимок; раздельная динамика за 10–15 минут недоступна</x:v>
      </x:c>
      <x:c r="N39" s="98" t="str">
        <x:v>Тринадцать ударов и шесть в створ; проигрывающая команда владеет инициативой</x:v>
      </x:c>
      <x:c r="O39" s="98" t="str">
        <x:v>xG хозяев только 0,25; два дополнительных гола дают полупроигрыш</x:v>
      </x:c>
      <x:c r="P39" s="98" t="str">
        <x:v>Высокая</x:v>
      </x:c>
      <x:c r="Q39" s="80" t="str">
        <x:v>ПОДХОДИТ В LIVE</x:v>
      </x:c>
      <x:c r="R39" s="80" t="str">
        <x:v>ТБ live v1 от 13.10.2026</x:v>
      </x:c>
      <x:c r="S39" s="80" t="str">
        <x:v>BetsAPI / Bet365</x:v>
      </x:c>
      <x:c r="T39" s="80"/>
      <x:c r="U39" s="80"/>
      <x:c r="V39" s="89" t="str">
        <x:f>IF(U39="","",IF(U39="Плюс",J39-1,IF(U39="Минус",-1,IF(U39="Возврат",0,IF(U39="Полуплюс",(J39-1)/2,IF(U39="Полуминус",-0.5,""))))))</x:f>
      </x:c>
      <x:c r="W39" s="80" t="str">
        <x:f>IF(A39="","",IF(U39="","Открыт","Рассчитан"))</x:f>
        <x:v>Открыт</x:v>
      </x:c>
      <x:c r="X39" s="98" t="str">
        <x:v>Быстрый live-отбор 21:50 МСК</x:v>
      </x:c>
    </x:row>
    <x:row r="40">
      <x:c r="A40" s="80" t="n">
        <x:v>35</x:v>
      </x:c>
      <x:c r="B40" s="80" t="str">
        <x:v>13285299</x:v>
      </x:c>
      <x:c r="C40" s="83" t="str">
        <x:v>13.10.2026 21:50</x:v>
      </x:c>
      <x:c r="D40" s="80" t="str">
        <x:v>Аргентина - Лига резервов</x:v>
      </x:c>
      <x:c r="E40" s="80" t="str">
        <x:v>Док-Суд резерв - Дефенсорес Унидос резерв</x:v>
      </x:c>
      <x:c r="F40" s="86" t="n">
        <x:v>45</x:v>
      </x:c>
      <x:c r="G40" s="80" t="str">
        <x:v>2:1</x:v>
      </x:c>
      <x:c r="H40" s="95" t="str">
        <x:v>Конкурентный счёт и сохраняющееся преимущество хозяев по активности</x:v>
      </x:c>
      <x:c r="I40" s="95" t="str">
        <x:v>ТБ 4,5 всего матча</x:v>
      </x:c>
      <x:c r="J40" s="96" t="n">
        <x:v>1.9</x:v>
      </x:c>
      <x:c r="K40" s="97" t="n">
        <x:v>2</x:v>
      </x:c>
      <x:c r="L40" s="98" t="str">
        <x:v>Удары 7:3; в створ 4:2; опасные атаки 43:26; угловые 0:1; владение 52:48</x:v>
      </x:c>
      <x:c r="M40" s="98" t="str">
        <x:v>Один свежий снимок; раздельная динамика за 10–15 минут недоступна</x:v>
      </x:c>
      <x:c r="N40" s="98" t="str">
        <x:v>Три гола и шесть ударов в створ за первый тайм</x:v>
      </x:c>
      <x:c r="O40" s="98" t="str">
        <x:v>Только один угловой; гости создают заметно меньше</x:v>
      </x:c>
      <x:c r="P40" s="98" t="str">
        <x:v>Средняя</x:v>
      </x:c>
      <x:c r="Q40" s="80" t="str">
        <x:v>ПОДХОДИТ В LIVE</x:v>
      </x:c>
      <x:c r="R40" s="80" t="str">
        <x:v>ТБ live v1 от 13.10.2026</x:v>
      </x:c>
      <x:c r="S40" s="80" t="str">
        <x:v>BetsAPI / Bet365</x:v>
      </x:c>
      <x:c r="T40" s="80"/>
      <x:c r="U40" s="80"/>
      <x:c r="V40" s="89" t="str">
        <x:f>IF(U40="","",IF(U40="Плюс",J40-1,IF(U40="Минус",-1,IF(U40="Возврат",0,IF(U40="Полуплюс",(J40-1)/2,IF(U40="Полуминус",-0.5,""))))))</x:f>
      </x:c>
      <x:c r="W40" s="80" t="str">
        <x:f>IF(A40="","",IF(U40="","Открыт","Рассчитан"))</x:f>
        <x:v>Открыт</x:v>
      </x:c>
      <x:c r="X40" s="98" t="str">
        <x:v>Быстрый live-отбор 21:50 МСК</x:v>
      </x:c>
    </x:row>
    <x:row r="41">
      <x:c r="A41" s="80" t="n">
        <x:v>36</x:v>
      </x:c>
      <x:c r="B41" s="80" t="str">
        <x:v>12319680</x:v>
      </x:c>
      <x:c r="C41" s="83" t="str">
        <x:v>13.10.2026 21:50</x:v>
      </x:c>
      <x:c r="D41" s="80" t="str">
        <x:v>ЮАР - Премьер-лига</x:v>
      </x:c>
      <x:c r="E41" s="80" t="str">
        <x:v>Кайзер Чифс - Стелленбос</x:v>
      </x:c>
      <x:c r="F41" s="86" t="n">
        <x:v>60</x:v>
      </x:c>
      <x:c r="G41" s="80" t="str">
        <x:v>1:1</x:v>
      </x:c>
      <x:c r="H41" s="95" t="str">
        <x:v>Ничья при территориальном преимуществе Кайзер Чифс и активности обеих команд</x:v>
      </x:c>
      <x:c r="I41" s="95" t="str">
        <x:v>ТБ 2,75 всего матча</x:v>
      </x:c>
      <x:c r="J41" s="96" t="n">
        <x:v>1.95</x:v>
      </x:c>
      <x:c r="K41" s="97" t="n">
        <x:v>2</x:v>
      </x:c>
      <x:c r="L41" s="98" t="str">
        <x:v>Удары 5:5; в створ 1:1; опасные атаки 42:30; угловые 3:3; владение 66:34; xG 0,67:0,55</x:v>
      </x:c>
      <x:c r="M41" s="98" t="str">
        <x:v>Один свежий снимок; раздельная динамика за 10–15 минут недоступна</x:v>
      </x:c>
      <x:c r="N41" s="98" t="str">
        <x:v>Суммарный xG 1,22; обе команды забили; один гол даёт полувыигрыш</x:v>
      </x:c>
      <x:c r="O41" s="98" t="str">
        <x:v>Только два удара в створ; верхняя граница рабочего окна</x:v>
      </x:c>
      <x:c r="P41" s="98" t="str">
        <x:v>Высокая</x:v>
      </x:c>
      <x:c r="Q41" s="80" t="str">
        <x:v>ПОДХОДИТ В LIVE</x:v>
      </x:c>
      <x:c r="R41" s="80" t="str">
        <x:v>ТБ live v1 от 13.10.2026</x:v>
      </x:c>
      <x:c r="S41" s="80" t="str">
        <x:v>BetsAPI / Bet365</x:v>
      </x:c>
      <x:c r="T41" s="80"/>
      <x:c r="U41" s="80"/>
      <x:c r="V41" s="89" t="str">
        <x:f>IF(U41="","",IF(U41="Плюс",J41-1,IF(U41="Минус",-1,IF(U41="Возврат",0,IF(U41="Полуплюс",(J41-1)/2,IF(U41="Полуминус",-0.5,""))))))</x:f>
      </x:c>
      <x:c r="W41" s="80" t="str">
        <x:f>IF(A41="","",IF(U41="","Открыт","Рассчитан"))</x:f>
        <x:v>Открыт</x:v>
      </x:c>
      <x:c r="X41" s="98" t="str">
        <x:v>Быстрый live-отбор 21:50 МСК; повышенный временной риск</x:v>
      </x:c>
    </x:row>
    <x:row r="42">
      <x:c r="A42" s="80" t="n">
        <x:v>37</x:v>
      </x:c>
      <x:c r="B42" s="80" t="str">
        <x:v>13217858</x:v>
      </x:c>
      <x:c r="C42" s="83" t="str">
        <x:v>13.10.2026 21:50</x:v>
      </x:c>
      <x:c r="D42" s="80" t="str">
        <x:v>Аргентина - Лига профессиональных резервов</x:v>
      </x:c>
      <x:c r="E42" s="80" t="str">
        <x:v>Атлетико Рафаэла резерв - Эстудиантес Рио-Куарто резерв</x:v>
      </x:c>
      <x:c r="F42" s="86" t="n">
        <x:v>30</x:v>
      </x:c>
      <x:c r="G42" s="80" t="str">
        <x:v>0:0</x:v>
      </x:c>
      <x:c r="H42" s="95" t="str">
        <x:v>Равная активная игра при низкой линии тотала</x:v>
      </x:c>
      <x:c r="I42" s="95" t="str">
        <x:v>ТБ 1,5 всего матча</x:v>
      </x:c>
      <x:c r="J42" s="96" t="n">
        <x:v>1.9</x:v>
      </x:c>
      <x:c r="K42" s="97" t="n">
        <x:v>2</x:v>
      </x:c>
      <x:c r="L42" s="98" t="str">
        <x:v>Удары 4:5; в створ 1:2; опасные атаки 21:33; угловые 1:2; владение 54:46</x:v>
      </x:c>
      <x:c r="M42" s="98" t="str">
        <x:v>Один свежий снимок; раздельная динамика за 10–15 минут недоступна</x:v>
      </x:c>
      <x:c r="N42" s="98" t="str">
        <x:v>Девять ударов, три в створ и около часа игрового времени</x:v>
      </x:c>
      <x:c r="O42" s="98" t="str">
        <x:v>Нет явного доминирующего источника моментов; xG недоступен</x:v>
      </x:c>
      <x:c r="P42" s="98" t="str">
        <x:v>Средняя</x:v>
      </x:c>
      <x:c r="Q42" s="80" t="str">
        <x:v>ПОДХОДИТ В LIVE</x:v>
      </x:c>
      <x:c r="R42" s="80" t="str">
        <x:v>ТБ live v1 от 13.10.2026</x:v>
      </x:c>
      <x:c r="S42" s="80" t="str">
        <x:v>BetsAPI / Bet365</x:v>
      </x:c>
      <x:c r="T42" s="80"/>
      <x:c r="U42" s="80"/>
      <x:c r="V42" s="89" t="str">
        <x:f>IF(U42="","",IF(U42="Плюс",J42-1,IF(U42="Минус",-1,IF(U42="Возврат",0,IF(U42="Полуплюс",(J42-1)/2,IF(U42="Полуминус",-0.5,""))))))</x:f>
      </x:c>
      <x:c r="W42" s="80" t="str">
        <x:f>IF(A42="","",IF(U42="","Открыт","Рассчитан"))</x:f>
        <x:v>Открыт</x:v>
      </x:c>
      <x:c r="X42" s="98" t="str">
        <x:v>Быстрый live-отбор 21:50 МСК</x:v>
      </x:c>
    </x:row>
    <x:row r="43">
      <x:c r="A43" s="80" t="n">
        <x:v>38</x:v>
      </x:c>
      <x:c r="B43" s="80" t="str">
        <x:v>13285298</x:v>
      </x:c>
      <x:c r="C43" s="83" t="str">
        <x:v>13.10.2026 21:50</x:v>
      </x:c>
      <x:c r="D43" s="80" t="str">
        <x:v>Аргентина - Лига резервов</x:v>
      </x:c>
      <x:c r="E43" s="80" t="str">
        <x:v>Кильмес резерв - Депортиво Арменио резерв</x:v>
      </x:c>
      <x:c r="F43" s="86" t="n">
        <x:v>40</x:v>
      </x:c>
      <x:c r="G43" s="80" t="str">
        <x:v>1:0</x:v>
      </x:c>
      <x:c r="H43" s="95" t="str">
        <x:v>Гости уступают, владеют мячом и должны менять игру</x:v>
      </x:c>
      <x:c r="I43" s="95" t="str">
        <x:v>ТБ 2,5 всего матча</x:v>
      </x:c>
      <x:c r="J43" s="96" t="n">
        <x:v>2</x:v>
      </x:c>
      <x:c r="K43" s="97" t="n">
        <x:v>2</x:v>
      </x:c>
      <x:c r="L43" s="98" t="str">
        <x:v>Удары 5:1; в створ 2:1; опасные атаки 33:26; угловые 3:1; владение 47:53; пенальти 1:0</x:v>
      </x:c>
      <x:c r="M43" s="98" t="str">
        <x:v>Один свежий снимок; раздельная динамика за 10–15 минут недоступна</x:v>
      </x:c>
      <x:c r="N43" s="98" t="str">
        <x:v>Проигрывающая команда сохраняет владение; конкурентный счёт</x:v>
      </x:c>
      <x:c r="O43" s="98" t="str">
        <x:v>Только шесть ударов; первый гол забит с пенальти; xG недоступен</x:v>
      </x:c>
      <x:c r="P43" s="98" t="str">
        <x:v>Средняя</x:v>
      </x:c>
      <x:c r="Q43" s="80" t="str">
        <x:v>ПОДХОДИТ В LIVE</x:v>
      </x:c>
      <x:c r="R43" s="80" t="str">
        <x:v>ТБ live v1 от 13.10.2026</x:v>
      </x:c>
      <x:c r="S43" s="80" t="str">
        <x:v>BetsAPI / Bet365</x:v>
      </x:c>
      <x:c r="T43" s="80"/>
      <x:c r="U43" s="80"/>
      <x:c r="V43" s="89" t="str">
        <x:f>IF(U43="","",IF(U43="Плюс",J43-1,IF(U43="Минус",-1,IF(U43="Возврат",0,IF(U43="Полуплюс",(J43-1)/2,IF(U43="Полуминус",-0.5,""))))))</x:f>
      </x:c>
      <x:c r="W43" s="80" t="str">
        <x:f>IF(A43="","",IF(U43="","Открыт","Рассчитан"))</x:f>
        <x:v>Открыт</x:v>
      </x:c>
      <x:c r="X43" s="98" t="str">
        <x:v>Быстрый live-отбор 21:50 МСК; пограничный кандидат</x:v>
      </x:c>
    </x:row>
    <x:row r="44">
      <x:c r="A44" s="80" t="n">
        <x:v>39</x:v>
      </x:c>
      <x:c r="B44" s="80" t="str">
        <x:v>12062985</x:v>
      </x:c>
      <x:c r="C44" s="83" t="str">
        <x:v>13.10.2026 21:50</x:v>
      </x:c>
      <x:c r="D44" s="80" t="str">
        <x:v>Женщины - квалификация чемпионата мира</x:v>
      </x:c>
      <x:c r="E44" s="80" t="str">
        <x:v>Португалия - Северная Ирландия</x:v>
      </x:c>
      <x:c r="F44" s="86" t="n">
        <x:v>35</x:v>
      </x:c>
      <x:c r="G44" s="80" t="str">
        <x:v>0:1</x:v>
      </x:c>
      <x:c r="H44" s="95" t="str">
        <x:v>Явный фаворит неожиданно уступает и вынужден усиливать давление</x:v>
      </x:c>
      <x:c r="I44" s="95" t="str">
        <x:v>ТБ 3 всего матча</x:v>
      </x:c>
      <x:c r="J44" s="96" t="n">
        <x:v>1.8</x:v>
      </x:c>
      <x:c r="K44" s="97" t="n">
        <x:v>3</x:v>
      </x:c>
      <x:c r="L44" s="98" t="str">
        <x:v>Удары 5:3; в створ 1:2; опасные атаки 19:8; угловые 3:1; владение 81:19; xG 0,48:0,23</x:v>
      </x:c>
      <x:c r="M44" s="98" t="str">
        <x:v>Один свежий снимок; раздельная динамика за 10–15 минут недоступна</x:v>
      </x:c>
      <x:c r="N44" s="98" t="str">
        <x:v>Огромное владение Португалии; более 55 минут игрового времени</x:v>
      </x:c>
      <x:c r="O44" s="98" t="str">
        <x:v>Суммарный xG только 0,71; два новых гола дают лишь возврат</x:v>
      </x:c>
      <x:c r="P44" s="98" t="str">
        <x:v>Высокая</x:v>
      </x:c>
      <x:c r="Q44" s="80" t="str">
        <x:v>ПОДХОДИТ В LIVE</x:v>
      </x:c>
      <x:c r="R44" s="80" t="str">
        <x:v>ТБ live v1 от 13.10.2026</x:v>
      </x:c>
      <x:c r="S44" s="80" t="str">
        <x:v>BetsAPI / Bet365</x:v>
      </x:c>
      <x:c r="T44" s="80"/>
      <x:c r="U44" s="80"/>
      <x:c r="V44" s="89" t="str">
        <x:f>IF(U44="","",IF(U44="Плюс",J44-1,IF(U44="Минус",-1,IF(U44="Возврат",0,IF(U44="Полуплюс",(J44-1)/2,IF(U44="Полуминус",-0.5,""))))))</x:f>
      </x:c>
      <x:c r="W44" s="80" t="str">
        <x:f>IF(A44="","",IF(U44="","Открыт","Рассчитан"))</x:f>
        <x:v>Открыт</x:v>
      </x:c>
      <x:c r="X44" s="98" t="str">
        <x:v>Быстрый live-отбор 21:50 МСК</x:v>
      </x:c>
    </x:row>
    <x:row r="45">
      <x:c r="A45" s="80" t="n">
        <x:v>40</x:v>
      </x:c>
      <x:c r="B45" s="80" t="str">
        <x:v>13217800</x:v>
      </x:c>
      <x:c r="C45" s="83" t="str">
        <x:v>13.10.2026 21:50</x:v>
      </x:c>
      <x:c r="D45" s="80" t="str">
        <x:v>Аргентина - Лига профессиональных резервов</x:v>
      </x:c>
      <x:c r="E45" s="80" t="str">
        <x:v>Индепендьенте резерв - Уракан резерв</x:v>
      </x:c>
      <x:c r="F45" s="86" t="n">
        <x:v>45</x:v>
      </x:c>
      <x:c r="G45" s="80" t="str">
        <x:v>2:0</x:v>
      </x:c>
      <x:c r="H45" s="95" t="str">
        <x:v>Уракан должен раскрываться после перерыва при двухголовом отставании</x:v>
      </x:c>
      <x:c r="I45" s="95" t="str">
        <x:v>ТБ 3,5 всего матча</x:v>
      </x:c>
      <x:c r="J45" s="96" t="n">
        <x:v>2</x:v>
      </x:c>
      <x:c r="K45" s="97" t="n">
        <x:v>2</x:v>
      </x:c>
      <x:c r="L45" s="98" t="str">
        <x:v>Удары 4:3; в створ 3:1; опасные атаки 16:12; угловые 4:4; владение 55:45; пенальти 1:0</x:v>
      </x:c>
      <x:c r="M45" s="98" t="str">
        <x:v>Один свежий снимок; раздельная динамика за 10–15 минут недоступна</x:v>
      </x:c>
      <x:c r="N45" s="98" t="str">
        <x:v>Восемь угловых и четыре удара в створ; впереди второй тайм</x:v>
      </x:c>
      <x:c r="O45" s="98" t="str">
        <x:v>Общий темп ударов невысок; один гол забит с пенальти</x:v>
      </x:c>
      <x:c r="P45" s="98" t="str">
        <x:v>Средняя</x:v>
      </x:c>
      <x:c r="Q45" s="80" t="str">
        <x:v>ПОДХОДИТ В LIVE</x:v>
      </x:c>
      <x:c r="R45" s="80" t="str">
        <x:v>ТБ live v1 от 13.10.2026</x:v>
      </x:c>
      <x:c r="S45" s="80" t="str">
        <x:v>BetsAPI / Bet365</x:v>
      </x:c>
      <x:c r="T45" s="80"/>
      <x:c r="U45" s="80"/>
      <x:c r="V45" s="89" t="str">
        <x:f>IF(U45="","",IF(U45="Плюс",J45-1,IF(U45="Минус",-1,IF(U45="Возврат",0,IF(U45="Полуплюс",(J45-1)/2,IF(U45="Полуминус",-0.5,""))))))</x:f>
      </x:c>
      <x:c r="W45" s="80" t="str">
        <x:f>IF(A45="","",IF(U45="","Открыт","Рассчитан"))</x:f>
        <x:v>Открыт</x:v>
      </x:c>
      <x:c r="X45" s="98" t="str">
        <x:v>Быстрый live-отбор 21:50 МСК; пограничный кандидат</x:v>
      </x:c>
    </x:row>
    <x:row r="46">
      <x:c r="A46" s="80" t="n">
        <x:v>41</x:v>
      </x:c>
      <x:c r="B46" s="80" t="str">
        <x:v>12407276</x:v>
      </x:c>
      <x:c r="C46" s="83" t="str">
        <x:v>13.10.2026 21:50</x:v>
      </x:c>
      <x:c r="D46" s="80" t="str">
        <x:v>Англия - Трофей Английской лиги</x:v>
      </x:c>
      <x:c r="E46" s="80" t="str">
        <x:v>Рединг - Челси U21</x:v>
      </x:c>
      <x:c r="F46" s="86" t="n">
        <x:v>45</x:v>
      </x:c>
      <x:c r="G46" s="80" t="str">
        <x:v>0:2</x:v>
      </x:c>
      <x:c r="H46" s="95" t="str">
        <x:v>Рединг должен отыгрываться, а Челси U21 получает пространство для атак</x:v>
      </x:c>
      <x:c r="I46" s="95" t="str">
        <x:v>ТБ 4 всего матча</x:v>
      </x:c>
      <x:c r="J46" s="96" t="n">
        <x:v>1.8</x:v>
      </x:c>
      <x:c r="K46" s="97" t="n">
        <x:v>3</x:v>
      </x:c>
      <x:c r="L46" s="98" t="str">
        <x:v>Удары 8:5; в створ 3:2; опасные атаки 20:20; угловые 4:2; владение 49:51; xG 0,46:1,28</x:v>
      </x:c>
      <x:c r="M46" s="98" t="str">
        <x:v>Один свежий снимок; раздельная динамика за 10–15 минут недоступна</x:v>
      </x:c>
      <x:c r="N46" s="98" t="str">
        <x:v>Тринадцать ударов, пять в створ и суммарный xG 1,74</x:v>
      </x:c>
      <x:c r="O46" s="98" t="str">
        <x:v>Для полного выигрыша нужны ещё три гола; два дают возврат</x:v>
      </x:c>
      <x:c r="P46" s="98" t="str">
        <x:v>Высокая</x:v>
      </x:c>
      <x:c r="Q46" s="80" t="str">
        <x:v>ПОДХОДИТ В LIVE</x:v>
      </x:c>
      <x:c r="R46" s="80" t="str">
        <x:v>ТБ live v1 от 13.10.2026</x:v>
      </x:c>
      <x:c r="S46" s="80" t="str">
        <x:v>BetsAPI / Bet365</x:v>
      </x:c>
      <x:c r="T46" s="80"/>
      <x:c r="U46" s="80"/>
      <x:c r="V46" s="89" t="str">
        <x:f>IF(U46="","",IF(U46="Плюс",J46-1,IF(U46="Минус",-1,IF(U46="Возврат",0,IF(U46="Полуплюс",(J46-1)/2,IF(U46="Полуминус",-0.5,""))))))</x:f>
      </x:c>
      <x:c r="W46" s="80" t="str">
        <x:f>IF(A46="","",IF(U46="","Открыт","Рассчитан"))</x:f>
        <x:v>Открыт</x:v>
      </x:c>
      <x:c r="X46" s="98" t="str">
        <x:v>Быстрый live-отбор 21:50 МСК</x:v>
      </x:c>
    </x:row>
    <x:row r="47">
      <x:c r="A47" s="80" t="n">
        <x:v>42</x:v>
      </x:c>
      <x:c r="B47" s="80" t="str">
        <x:v>12403134</x:v>
      </x:c>
      <x:c r="C47" s="83" t="str">
        <x:v>13.10.2026 21:50</x:v>
      </x:c>
      <x:c r="D47" s="80" t="str">
        <x:v>Англия - Кубок Национальной лиги</x:v>
      </x:c>
      <x:c r="E47" s="80" t="str">
        <x:v>Сканторп - Дерби U21</x:v>
      </x:c>
      <x:c r="F47" s="86" t="n">
        <x:v>45</x:v>
      </x:c>
      <x:c r="G47" s="80" t="str">
        <x:v>2:0</x:v>
      </x:c>
      <x:c r="H47" s="95" t="str">
        <x:v>Дерби U21 должен раскрываться, Сканторп сохраняет территориальное преимущество</x:v>
      </x:c>
      <x:c r="I47" s="95" t="str">
        <x:v>ТБ 3,75 всего матча</x:v>
      </x:c>
      <x:c r="J47" s="96" t="n">
        <x:v>1.925</x:v>
      </x:c>
      <x:c r="K47" s="97" t="n">
        <x:v>3</x:v>
      </x:c>
      <x:c r="L47" s="98" t="str">
        <x:v>Удары 6:3; в створ 3:2; опасные атаки 26:10; угловые 5:0; владение 50:50</x:v>
      </x:c>
      <x:c r="M47" s="98" t="str">
        <x:v>Один свежий снимок; раздельная динамика за 10–15 минут недоступна</x:v>
      </x:c>
      <x:c r="N47" s="98" t="str">
        <x:v>Пять ударов в створ и пять угловых; впереди второй тайм</x:v>
      </x:c>
      <x:c r="O47" s="98" t="str">
        <x:v>Активность гостей невысока; два новых гола дают только полувыигрыш</x:v>
      </x:c>
      <x:c r="P47" s="98" t="str">
        <x:v>Средняя</x:v>
      </x:c>
      <x:c r="Q47" s="80" t="str">
        <x:v>ПОДХОДИТ В LIVE</x:v>
      </x:c>
      <x:c r="R47" s="80" t="str">
        <x:v>ТБ live v1 от 13.10.2026</x:v>
      </x:c>
      <x:c r="S47" s="80" t="str">
        <x:v>BetsAPI / Bet365</x:v>
      </x:c>
      <x:c r="T47" s="80"/>
      <x:c r="U47" s="80"/>
      <x:c r="V47" s="89" t="str">
        <x:f>IF(U47="","",IF(U47="Плюс",J47-1,IF(U47="Минус",-1,IF(U47="Возврат",0,IF(U47="Полуплюс",(J47-1)/2,IF(U47="Полуминус",-0.5,""))))))</x:f>
      </x:c>
      <x:c r="W47" s="80" t="str">
        <x:f>IF(A47="","",IF(U47="","Открыт","Рассчитан"))</x:f>
        <x:v>Открыт</x:v>
      </x:c>
      <x:c r="X47" s="98" t="str">
        <x:v>Быстрый live-отбор 21:50 МСК</x:v>
      </x:c>
    </x:row>
    <x:row r="48">
      <x:c r="A48" s="80" t="n">
        <x:v>43</x:v>
      </x:c>
      <x:c r="B48" s="80" t="str">
        <x:v>12411994</x:v>
      </x:c>
      <x:c r="C48" s="83" t="str">
        <x:v>13.10.2026 21:50</x:v>
      </x:c>
      <x:c r="D48" s="80" t="str">
        <x:v>Англия - Кубок Премьер-лиги U21</x:v>
      </x:c>
      <x:c r="E48" s="80" t="str">
        <x:v>Бромли U21 - Ковентри U21</x:v>
      </x:c>
      <x:c r="F48" s="86" t="n">
        <x:v>45</x:v>
      </x:c>
      <x:c r="G48" s="80" t="str">
        <x:v>1:0</x:v>
      </x:c>
      <x:c r="H48" s="95" t="str">
        <x:v>Ковентри уступает, но превосходит соперника по владению и активности</x:v>
      </x:c>
      <x:c r="I48" s="95" t="str">
        <x:v>ТБ 2,75 всего матча</x:v>
      </x:c>
      <x:c r="J48" s="96" t="n">
        <x:v>1.975</x:v>
      </x:c>
      <x:c r="K48" s="97" t="n">
        <x:v>3</x:v>
      </x:c>
      <x:c r="L48" s="98" t="str">
        <x:v>Удары 2:6; в створ 1:2; опасные атаки 18:30; угловые 2:2; владение 41:59</x:v>
      </x:c>
      <x:c r="M48" s="98" t="str">
        <x:v>Один свежий снимок; раздельная динамика за 10–15 минут недоступна</x:v>
      </x:c>
      <x:c r="N48" s="98" t="str">
        <x:v>Проигрывающая команда ведёт по ударам и опасным атакам; молодёжный турнир</x:v>
      </x:c>
      <x:c r="O48" s="98" t="str">
        <x:v>Только три удара в створ; два новых гола дают лишь полувыигрыш</x:v>
      </x:c>
      <x:c r="P48" s="98" t="str">
        <x:v>Средняя</x:v>
      </x:c>
      <x:c r="Q48" s="80" t="str">
        <x:v>ПОДХОДИТ В LIVE</x:v>
      </x:c>
      <x:c r="R48" s="80" t="str">
        <x:v>ТБ live v1 от 13.10.2026</x:v>
      </x:c>
      <x:c r="S48" s="80" t="str">
        <x:v>BetsAPI / Bet365</x:v>
      </x:c>
      <x:c r="T48" s="80"/>
      <x:c r="U48" s="80"/>
      <x:c r="V48" s="89" t="str">
        <x:f>IF(U48="","",IF(U48="Плюс",J48-1,IF(U48="Минус",-1,IF(U48="Возврат",0,IF(U48="Полуплюс",(J48-1)/2,IF(U48="Полуминус",-0.5,""))))))</x:f>
      </x:c>
      <x:c r="W48" s="80" t="str">
        <x:f>IF(A48="","",IF(U48="","Открыт","Рассчитан"))</x:f>
        <x:v>Открыт</x:v>
      </x:c>
      <x:c r="X48" s="98" t="str">
        <x:v>Быстрый live-отбор 21:50 МСК</x:v>
      </x:c>
    </x:row>
    <x:row r="49">
      <x:c r="A49" s="80"/>
      <x:c r="B49" s="80"/>
      <x:c r="C49" s="83"/>
      <x:c r="D49" s="80"/>
      <x:c r="E49" s="80"/>
      <x:c r="F49" s="86"/>
      <x:c r="G49" s="80"/>
      <x:c r="H49" s="95"/>
      <x:c r="I49" s="95"/>
      <x:c r="J49" s="96"/>
      <x:c r="K49" s="97"/>
      <x:c r="L49" s="98"/>
      <x:c r="M49" s="98"/>
      <x:c r="N49" s="98"/>
      <x:c r="O49" s="98"/>
      <x:c r="P49" s="98"/>
      <x:c r="Q49" s="80"/>
      <x:c r="R49" s="80"/>
      <x:c r="S49" s="80"/>
      <x:c r="T49" s="80"/>
      <x:c r="U49" s="80"/>
      <x:c r="V49" s="89" t="str">
        <x:f>IF(U49="Выигрыш",J49-1,IF(U49="Поражение",-1,IF(U49="Возврат",0,IF(U49="Полувыигрыш",(J49-1)/2,IF(U49="Полупроигрыш",-0.5,"")))))</x:f>
      </x:c>
      <x:c r="W49" s="80" t="str">
        <x:f>IF(A49="","",IF(U49="","Открыт","Рассчитан"))</x:f>
      </x:c>
      <x:c r="X49" s="98"/>
    </x:row>
    <x:row r="50">
      <x:c r="A50" s="80"/>
      <x:c r="B50" s="80"/>
      <x:c r="C50" s="83"/>
      <x:c r="D50" s="80"/>
      <x:c r="E50" s="80"/>
      <x:c r="F50" s="86"/>
      <x:c r="G50" s="80"/>
      <x:c r="H50" s="95"/>
      <x:c r="I50" s="95"/>
      <x:c r="J50" s="96"/>
      <x:c r="K50" s="97"/>
      <x:c r="L50" s="98"/>
      <x:c r="M50" s="98"/>
      <x:c r="N50" s="98"/>
      <x:c r="O50" s="98"/>
      <x:c r="P50" s="98"/>
      <x:c r="Q50" s="80"/>
      <x:c r="R50" s="80"/>
      <x:c r="S50" s="80"/>
      <x:c r="T50" s="80"/>
      <x:c r="U50" s="80"/>
      <x:c r="V50" s="89" t="str">
        <x:f>IF(U50="Выигрыш",J50-1,IF(U50="Поражение",-1,IF(U50="Возврат",0,IF(U50="Полувыигрыш",(J50-1)/2,IF(U50="Полупроигрыш",-0.5,"")))))</x:f>
      </x:c>
      <x:c r="W50" s="80" t="str">
        <x:f>IF(A50="","",IF(U50="","Открыт","Рассчитан"))</x:f>
      </x:c>
      <x:c r="X50" s="98"/>
    </x:row>
    <x:row r="51">
      <x:c r="A51" s="80"/>
      <x:c r="B51" s="80"/>
      <x:c r="C51" s="83"/>
      <x:c r="D51" s="80"/>
      <x:c r="E51" s="80"/>
      <x:c r="F51" s="86"/>
      <x:c r="G51" s="80"/>
      <x:c r="H51" s="95"/>
      <x:c r="I51" s="95"/>
      <x:c r="J51" s="96"/>
      <x:c r="K51" s="97"/>
      <x:c r="L51" s="98"/>
      <x:c r="M51" s="98"/>
      <x:c r="N51" s="98"/>
      <x:c r="O51" s="98"/>
      <x:c r="P51" s="98"/>
      <x:c r="Q51" s="80"/>
      <x:c r="R51" s="80"/>
      <x:c r="S51" s="80"/>
      <x:c r="T51" s="80"/>
      <x:c r="U51" s="80"/>
      <x:c r="V51" s="89" t="str">
        <x:f>IF(U51="Выигрыш",J51-1,IF(U51="Поражение",-1,IF(U51="Возврат",0,IF(U51="Полувыигрыш",(J51-1)/2,IF(U51="Полупроигрыш",-0.5,"")))))</x:f>
      </x:c>
      <x:c r="W51" s="80" t="str">
        <x:f>IF(A51="","",IF(U51="","Открыт","Рассчитан"))</x:f>
      </x:c>
      <x:c r="X51" s="98"/>
    </x:row>
    <x:row r="52">
      <x:c r="A52" s="80"/>
      <x:c r="B52" s="80"/>
      <x:c r="C52" s="83"/>
      <x:c r="D52" s="80"/>
      <x:c r="E52" s="80"/>
      <x:c r="F52" s="86"/>
      <x:c r="G52" s="80"/>
      <x:c r="H52" s="95"/>
      <x:c r="I52" s="95"/>
      <x:c r="J52" s="96"/>
      <x:c r="K52" s="97"/>
      <x:c r="L52" s="98"/>
      <x:c r="M52" s="98"/>
      <x:c r="N52" s="98"/>
      <x:c r="O52" s="98"/>
      <x:c r="P52" s="98"/>
      <x:c r="Q52" s="80"/>
      <x:c r="R52" s="80"/>
      <x:c r="S52" s="80"/>
      <x:c r="T52" s="80"/>
      <x:c r="U52" s="80"/>
      <x:c r="V52" s="89" t="str">
        <x:f>IF(U52="Выигрыш",J52-1,IF(U52="Поражение",-1,IF(U52="Возврат",0,IF(U52="Полувыигрыш",(J52-1)/2,IF(U52="Полупроигрыш",-0.5,"")))))</x:f>
      </x:c>
      <x:c r="W52" s="80" t="str">
        <x:f>IF(A52="","",IF(U52="","Открыт","Рассчитан"))</x:f>
      </x:c>
      <x:c r="X52" s="98"/>
    </x:row>
    <x:row r="53">
      <x:c r="A53" s="80"/>
      <x:c r="B53" s="80"/>
      <x:c r="C53" s="83"/>
      <x:c r="D53" s="80"/>
      <x:c r="E53" s="80"/>
      <x:c r="F53" s="86"/>
      <x:c r="G53" s="80"/>
      <x:c r="H53" s="95"/>
      <x:c r="I53" s="95"/>
      <x:c r="J53" s="96"/>
      <x:c r="K53" s="97"/>
      <x:c r="L53" s="98"/>
      <x:c r="M53" s="98"/>
      <x:c r="N53" s="98"/>
      <x:c r="O53" s="98"/>
      <x:c r="P53" s="98"/>
      <x:c r="Q53" s="80"/>
      <x:c r="R53" s="80"/>
      <x:c r="S53" s="80"/>
      <x:c r="T53" s="80"/>
      <x:c r="U53" s="80"/>
      <x:c r="V53" s="89" t="str">
        <x:f>IF(U53="Выигрыш",J53-1,IF(U53="Поражение",-1,IF(U53="Возврат",0,IF(U53="Полувыигрыш",(J53-1)/2,IF(U53="Полупроигрыш",-0.5,"")))))</x:f>
      </x:c>
      <x:c r="W53" s="80" t="str">
        <x:f>IF(A53="","",IF(U53="","Открыт","Рассчитан"))</x:f>
      </x:c>
      <x:c r="X53" s="98"/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