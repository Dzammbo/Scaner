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dc48ea638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3a1c350e3f942d5"/>
    <x:sheet xmlns:r="http://schemas.openxmlformats.org/officeDocument/2006/relationships" name="Все варианты" sheetId="2" r:id="Rf8d12ef75f0f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%"/>
    <x:numFmt numFmtId="203" formatCode="dd.mm.yyyy hh:mm"/>
  </x:numFmts>
  <x:fonts count="8">
    <x:font>
      <x:sz val="11"/>
      <x:name val="Carlito"/>
    </x:font>
    <x:font>
      <x:sz val="11"/>
      <x:color rgb="FF1F1F1F"/>
      <x:name val="Times New Roman"/>
    </x:font>
    <x:font>
      <x:b/>
      <x:sz val="15"/>
      <x:color rgb="FF1F1F1F"/>
      <x:name val="Times New Roman"/>
    </x:font>
    <x:font>
      <x:i/>
      <x:sz val="11"/>
      <x:color rgb="FF666666"/>
      <x:name val="Times New Roman"/>
    </x:font>
    <x:font>
      <x:b/>
      <x:sz val="12"/>
      <x:color rgb="FF1F1F1F"/>
      <x:name val="Times New Roman"/>
    </x:font>
    <x:font>
      <x:i/>
      <x:sz val="11"/>
      <x:color rgb="FF7F6000"/>
      <x:name val="Times New Roman"/>
    </x:font>
    <x:font>
      <x:b/>
      <x:sz val="11"/>
      <x:color rgb="FFFFFFFF"/>
      <x:name val="Times New Roman"/>
    </x:font>
    <x:font>
      <x:b/>
      <x:sz val="11"/>
      <x:color rgb="FF1F1F1F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1F4E78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 style="thin">
        <x:color rgb="FFE7E6E6"/>
      </x:top>
      <x:bottom style="thin">
        <x:color rgb="FFE7E6E6"/>
      </x:bottom>
      <x:diagonal/>
    </x:border>
    <x:border>
      <x:left/>
      <x:right/>
      <x:top style="thin">
        <x:color rgb="FFE7E6E6"/>
      </x:top>
      <x:bottom/>
      <x:diagonal/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7" fillId="0" borderId="7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7" fillId="0" borderId="7" xfId="0" applyNumberFormat="1" applyFont="1" applyFill="1" applyBorder="1"/>
    <x:xf numFmtId="200" fontId="1" fillId="0" borderId="0" xfId="0" applyNumberFormat="1" applyFont="1" applyFill="1" applyBorder="1"/>
    <x:xf numFmtId="200" fontId="6" fillId="3" borderId="3" xfId="0" applyNumberFormat="1" applyFont="1" applyFill="1" applyBorder="1" applyAlignment="1">
      <x:alignment horizontal="center" vertical="center" wrapText="1"/>
    </x:xf>
    <x:xf numFmtId="200" fontId="1" fillId="0" borderId="7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201" fontId="7" fillId="0" borderId="7" xfId="0" applyNumberFormat="1" applyFont="1" applyFill="1" applyBorder="1"/>
    <x:xf numFmtId="202" fontId="1" fillId="0" borderId="5" xfId="0" applyNumberFormat="1" applyFont="1" applyFill="1" applyBorder="1"/>
    <x:xf numFmtId="202" fontId="1" fillId="0" borderId="6" xfId="0" applyNumberFormat="1" applyFont="1" applyFill="1" applyBorder="1"/>
    <x:xf numFmtId="202" fontId="7" fillId="0" borderId="7" xfId="0" applyNumberFormat="1" applyFont="1" applyFill="1" applyBorder="1"/>
    <x:xf numFmtId="201" fontId="1" fillId="0" borderId="7" xfId="0" applyNumberFormat="1" applyFont="1" applyFill="1" applyBorder="1"/>
    <x:xf numFmtId="202" fontId="1" fillId="0" borderId="7" xfId="0" applyNumberFormat="1" applyFont="1" applyFill="1" applyBorder="1"/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0" fontId="7" fillId="0" borderId="7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202" fontId="7" fillId="0" borderId="7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6" fillId="3" borderId="8" xfId="0" applyNumberFormat="1" applyFont="1" applyFill="1" applyBorder="1"/>
    <x:xf numFmtId="0" fontId="6" fillId="3" borderId="8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horizontal="center" wrapText="1"/>
    </x:xf>
    <x:xf numFmtId="0" fontId="6" fillId="3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3" fontId="1" fillId="0" borderId="9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3" fontId="1" fillId="0" borderId="11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8e8783b1b442c" /><Relationship Type="http://schemas.openxmlformats.org/officeDocument/2006/relationships/theme" Target="/xl/theme/theme1.xml" Id="R4dcd72edf2a24cb1" /><Relationship Type="http://schemas.openxmlformats.org/officeDocument/2006/relationships/sharedStrings" Target="/xl/sharedStrings.xml" Id="Rfc3f576293014a89" /><Relationship Type="http://schemas.openxmlformats.org/officeDocument/2006/relationships/worksheet" Target="/xl/worksheets/sheet1.xml" Id="R03a1c350e3f942d5" /><Relationship Type="http://schemas.openxmlformats.org/officeDocument/2006/relationships/worksheet" Target="/xl/worksheets/sheet2.xml" Id="Rf8d12ef75f0f4eda" /></Relationships>
</file>

<file path=xl/tables/table1.xml><?xml version="1.0" encoding="utf-8"?>
<x:table xmlns:x="http://schemas.openxmlformats.org/spreadsheetml/2006/main" id="1" name="PredlozheniyaTB" displayName="PredlozheniyaTB" ref="A5:S60" headerRowCount="1" totalsRowCount="0" totalsRowShown="0">
  <x:tableColumns count="19">
    <x:tableColumn id="1" name="№"/>
    <x:tableColumn id="2" name="Дата и время МСК"/>
    <x:tableColumn id="3" name="Режим"/>
    <x:tableColumn id="4" name="Этап правил"/>
    <x:tableColumn id="5" name="Проход"/>
    <x:tableColumn id="6" name="ID события"/>
    <x:tableColumn id="7" name="Турнир"/>
    <x:tableColumn id="8" name="Матч"/>
    <x:tableColumn id="9" name="Минута"/>
    <x:tableColumn id="10" name="Счёт при выборе"/>
    <x:tableColumn id="11" name="Рынок"/>
    <x:tableColumn id="12" name="Линия"/>
    <x:tableColumn id="13" name="Коэффициент"/>
    <x:tableColumn id="14" name="Финальный счёт"/>
    <x:tableColumn id="15" name="Голы всего"/>
    <x:tableColumn id="16" name="Доп. голы"/>
    <x:tableColumn id="17" name="Результат"/>
    <x:tableColumn id="18" name="Итог, ед."/>
    <x:tableColumn id="19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13efe6b8d3466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5" hidden="0" customWidth="1"/>
    <x:col min="4" max="4" width="15" hidden="0" customWidth="1"/>
    <x:col min="5" max="5" width="34" hidden="0" customWidth="1"/>
    <x:col min="6" max="6" width="15" hidden="0" customWidth="1"/>
    <x:col min="7" max="7" width="13" hidden="0" customWidth="1"/>
    <x:col min="8" max="8" width="13" hidden="0" customWidth="1"/>
  </x:cols>
  <x:sheetData>
    <x:row r="1">
      <x:c r="A1" s="54"/>
      <x:c r="B1" s="54"/>
      <x:c r="C1" s="54"/>
      <x:c r="D1" s="54"/>
      <x:c r="E1" s="54"/>
      <x:c r="F1" s="54"/>
      <x:c r="G1" s="54"/>
      <x:c r="H1" s="54"/>
    </x:row>
    <x:row r="2">
      <x:c r="A2" s="79" t="str">
        <x:v>Статистика предложений ТБ за 13 октября 2026 года</x:v>
      </x:c>
      <x:c r="B2" s="54"/>
      <x:c r="C2" s="54"/>
      <x:c r="D2" s="54"/>
      <x:c r="E2" s="54"/>
      <x:c r="F2" s="54"/>
      <x:c r="G2" s="54"/>
      <x:c r="H2" s="54"/>
    </x:row>
    <x:row r="3">
      <x:c r="A3" s="80"/>
      <x:c r="B3" s="80"/>
      <x:c r="C3" s="80"/>
      <x:c r="D3" s="80"/>
      <x:c r="E3" s="80"/>
      <x:c r="F3" s="80"/>
      <x:c r="G3" s="80"/>
      <x:c r="H3" s="80"/>
    </x:row>
    <x:row r="4">
      <x:c r="A4" s="81" t="str">
        <x:v>Результат при условной единице на каждый вариант. Повторные линии одного матча считаются отдельными решениями.</x:v>
      </x:c>
      <x:c r="B4" s="54"/>
      <x:c r="C4" s="54"/>
      <x:c r="D4" s="54"/>
      <x:c r="E4" s="54"/>
      <x:c r="F4" s="54"/>
      <x:c r="G4" s="54"/>
      <x:c r="H4" s="54"/>
    </x:row>
    <x:row r="5">
      <x:c r="A5" s="54"/>
      <x:c r="B5" s="54"/>
      <x:c r="C5" s="54"/>
      <x:c r="D5" s="54"/>
      <x:c r="E5" s="54"/>
      <x:c r="F5" s="54"/>
      <x:c r="G5" s="54"/>
      <x:c r="H5" s="54"/>
    </x:row>
    <x:row r="6">
      <x:c r="A6" s="82" t="str">
        <x:v>Сводка по режимам</x:v>
      </x:c>
      <x:c r="B6" s="54"/>
      <x:c r="C6" s="54"/>
      <x:c r="D6" s="54"/>
      <x:c r="E6" s="54"/>
      <x:c r="F6" s="54"/>
      <x:c r="G6" s="54"/>
      <x:c r="H6" s="54"/>
    </x:row>
    <x:row r="7">
      <x:c r="A7" s="20" t="str">
        <x:v>Режим</x:v>
      </x:c>
      <x:c r="B7" s="21" t="str">
        <x:v>Вариантов</x:v>
      </x:c>
      <x:c r="C7" s="21" t="str">
        <x:v>Средний коэф.</x:v>
      </x:c>
      <x:c r="D7" s="21" t="str">
        <x:v>Положительных</x:v>
      </x:c>
      <x:c r="E7" s="21" t="str">
        <x:v>Возвратов</x:v>
      </x:c>
      <x:c r="F7" s="21" t="str">
        <x:v>Отрицательных</x:v>
      </x:c>
      <x:c r="G7" s="21" t="str">
        <x:v>Итог, ед.</x:v>
      </x:c>
      <x:c r="H7" s="22" t="str">
        <x:v>ROI</x:v>
      </x:c>
    </x:row>
    <x:row r="8">
      <x:c r="A8" s="43" t="str">
        <x:v>Live</x:v>
      </x:c>
      <x:c r="B8" s="41" t="n">
        <x:f>COUNTIF('Все варианты'!$C$6:$C$60,A8)</x:f>
        <x:v>53</x:v>
      </x:c>
      <x:c r="C8" s="42" t="n">
        <x:f>AVERAGEIF('Все варианты'!$C$6:$C$60,A8,'Все варианты'!$M$6:$M$60)</x:f>
        <x:v>1.9047169811320754</x:v>
      </x:c>
      <x:c r="D8" s="43" t="n">
        <x:f>COUNTIFS('Все варианты'!$C$6:$C$60,A8,'Все варианты'!$Q$6:$Q$60,"Выигрыш")+COUNTIFS('Все варианты'!$C$6:$C$60,A8,'Все варианты'!$Q$6:$Q$60,"Полувыигрыш")</x:f>
        <x:v>28</x:v>
      </x:c>
      <x:c r="E8" s="43" t="n">
        <x:f>COUNTIFS('Все варианты'!$C$6:$C$60,A8,'Все варианты'!$Q$6:$Q$60,"Возврат")</x:f>
        <x:v>3</x:v>
      </x:c>
      <x:c r="F8" s="43" t="n">
        <x:f>COUNTIFS('Все варианты'!$C$6:$C$60,A8,'Все варианты'!$Q$6:$Q$60,"Поражение")+COUNTIFS('Все варианты'!$C$6:$C$60,A8,'Все варианты'!$Q$6:$Q$60,"Полупроигрыш")</x:f>
        <x:v>22</x:v>
      </x:c>
      <x:c r="G8" s="42" t="n">
        <x:f>SUMIF('Все варианты'!$C$6:$C$60,A8,'Все варианты'!$R$6:$R$60)</x:f>
        <x:v>3.7</x:v>
      </x:c>
      <x:c r="H8" s="44" t="n">
        <x:f>G8/B8</x:f>
        <x:v>0.06981132075471698</x:v>
      </x:c>
    </x:row>
    <x:row r="9">
      <x:c r="A9" s="47" t="str">
        <x:v>Прематч</x:v>
      </x:c>
      <x:c r="B9" s="45" t="n">
        <x:f>COUNTIF('Все варианты'!$C$6:$C$60,A9)</x:f>
        <x:v>2</x:v>
      </x:c>
      <x:c r="C9" s="46" t="n">
        <x:f>AVERAGEIF('Все варианты'!$C$6:$C$60,A9,'Все варианты'!$M$6:$M$60)</x:f>
        <x:v>2.125</x:v>
      </x:c>
      <x:c r="D9" s="47" t="n">
        <x:f>COUNTIFS('Все варианты'!$C$6:$C$60,A9,'Все варианты'!$Q$6:$Q$60,"Выигрыш")+COUNTIFS('Все варианты'!$C$6:$C$60,A9,'Все варианты'!$Q$6:$Q$60,"Полувыигрыш")</x:f>
        <x:v>1</x:v>
      </x:c>
      <x:c r="E9" s="47" t="n">
        <x:f>COUNTIFS('Все варианты'!$C$6:$C$60,A9,'Все варианты'!$Q$6:$Q$60,"Возврат")</x:f>
        <x:v>0</x:v>
      </x:c>
      <x:c r="F9" s="47" t="n">
        <x:f>COUNTIFS('Все варианты'!$C$6:$C$60,A9,'Все варианты'!$Q$6:$Q$60,"Поражение")+COUNTIFS('Все варианты'!$C$6:$C$60,A9,'Все варианты'!$Q$6:$Q$60,"Полупроигрыш")</x:f>
        <x:v>1</x:v>
      </x:c>
      <x:c r="G9" s="46" t="n">
        <x:f>SUMIF('Все варианты'!$C$6:$C$60,A9,'Все варианты'!$R$6:$R$60)</x:f>
        <x:v>-0.010000000000000009</x:v>
      </x:c>
      <x:c r="H9" s="48" t="n">
        <x:f>G9/B9</x:f>
        <x:v>-0.0050000000000000044</x:v>
      </x:c>
    </x:row>
    <x:row r="10">
      <x:c r="A10" s="51" t="str">
        <x:v>Всего</x:v>
      </x:c>
      <x:c r="B10" s="49" t="n">
        <x:f>COUNTA('Все варианты'!$A$6:$A$60)</x:f>
        <x:v>55</x:v>
      </x:c>
      <x:c r="C10" s="50" t="n">
        <x:f>AVERAGE('Все варианты'!$M$6:$M$60)</x:f>
        <x:v>1.9127272727272728</x:v>
      </x:c>
      <x:c r="D10" s="51" t="n">
        <x:f>COUNTIF('Все варианты'!$Q$6:$Q$60,"Выигрыш")+COUNTIF('Все варианты'!$Q$6:$Q$60,"Полувыигрыш")</x:f>
        <x:v>29</x:v>
      </x:c>
      <x:c r="E10" s="51" t="n">
        <x:f>COUNTIF('Все варианты'!$Q$6:$Q$60,"Возврат")</x:f>
        <x:v>3</x:v>
      </x:c>
      <x:c r="F10" s="51" t="n">
        <x:f>COUNTIF('Все варианты'!$Q$6:$Q$60,"Поражение")+COUNTIF('Все варианты'!$Q$6:$Q$60,"Полупроигрыш")</x:f>
        <x:v>23</x:v>
      </x:c>
      <x:c r="G10" s="50" t="n">
        <x:f>SUM('Все варианты'!$R$6:$R$60)</x:f>
        <x:v>3.6900000000000004</x:v>
      </x:c>
      <x:c r="H10" s="52" t="n">
        <x:f>G10/B10</x:f>
        <x:v>0.0670909090909091</x:v>
      </x:c>
    </x:row>
    <x:row r="11">
      <x:c r="A11" s="54"/>
      <x:c r="B11" s="53"/>
      <x:c r="C11" s="54"/>
      <x:c r="D11" s="54"/>
      <x:c r="E11" s="54"/>
      <x:c r="F11" s="54"/>
      <x:c r="G11" s="54"/>
      <x:c r="H11" s="54"/>
    </x:row>
    <x:row r="12">
      <x:c r="A12" s="54"/>
      <x:c r="B12" s="53"/>
      <x:c r="C12" s="54"/>
      <x:c r="D12" s="54"/>
      <x:c r="E12" s="54"/>
      <x:c r="F12" s="54"/>
      <x:c r="G12" s="54"/>
      <x:c r="H12" s="54"/>
    </x:row>
    <x:row r="13">
      <x:c r="A13" s="82" t="str">
        <x:v>Сравнение этапов live</x:v>
      </x:c>
      <x:c r="B13" s="53"/>
      <x:c r="C13" s="54"/>
      <x:c r="D13" s="54"/>
      <x:c r="E13" s="54"/>
      <x:c r="F13" s="54"/>
      <x:c r="G13" s="54"/>
      <x:c r="H13" s="54"/>
    </x:row>
    <x:row r="14">
      <x:c r="A14" s="20" t="str">
        <x:v>Этап</x:v>
      </x:c>
      <x:c r="B14" s="31" t="str">
        <x:v>Вариантов</x:v>
      </x:c>
      <x:c r="C14" s="21" t="str">
        <x:v>Итог, ед.</x:v>
      </x:c>
      <x:c r="D14" s="21" t="str">
        <x:v>ROI</x:v>
      </x:c>
      <x:c r="E14" s="22" t="str">
        <x:v>Примечание</x:v>
      </x:c>
      <x:c r="F14" s="54"/>
      <x:c r="G14" s="54"/>
      <x:c r="H14" s="54"/>
    </x:row>
    <x:row r="15">
      <x:c r="A15" s="43" t="str">
        <x:v>До правила топ-5</x:v>
      </x:c>
      <x:c r="B15" s="41" t="n">
        <x:f>COUNTIF('Все варианты'!$D$6:$D$60,A15)</x:f>
        <x:v>43</x:v>
      </x:c>
      <x:c r="C15" s="42" t="n">
        <x:f>SUMIF('Все варианты'!$D$6:$D$60,A15,'Все варианты'!$R$6:$R$60)</x:f>
        <x:v>0.6000000000000004</x:v>
      </x:c>
      <x:c r="D15" s="44" t="n">
        <x:f>C15/B15</x:f>
        <x:v>0.013953488372093033</x:v>
      </x:c>
      <x:c r="E15" s="43" t="str">
        <x:v>43 решения</x:v>
      </x:c>
      <x:c r="F15" s="54"/>
      <x:c r="G15" s="54"/>
      <x:c r="H15" s="54"/>
    </x:row>
    <x:row r="16">
      <x:c r="A16" s="47" t="str">
        <x:v>Топ-5</x:v>
      </x:c>
      <x:c r="B16" s="45" t="n">
        <x:f>COUNTIF('Все варианты'!$D$6:$D$60,A16)</x:f>
        <x:v>10</x:v>
      </x:c>
      <x:c r="C16" s="46" t="n">
        <x:f>SUMIF('Все варианты'!$D$6:$D$60,A16,'Все варианты'!$R$6:$R$60)</x:f>
        <x:v>3.1000000000000005</x:v>
      </x:c>
      <x:c r="D16" s="48" t="n">
        <x:f>C16/B16</x:f>
        <x:v>0.31000000000000005</x:v>
      </x:c>
      <x:c r="E16" s="47" t="str">
        <x:v>10 решений по 8 уникальным матчам</x:v>
      </x:c>
      <x:c r="F16" s="54"/>
      <x:c r="G16" s="54"/>
      <x:c r="H16" s="54"/>
    </x:row>
    <x:row r="17">
      <x:c r="A17" s="58" t="str">
        <x:v>Прематч</x:v>
      </x:c>
      <x:c r="B17" s="55" t="n">
        <x:f>COUNTIF('Все варианты'!$D$6:$D$60,A17)</x:f>
        <x:v>2</x:v>
      </x:c>
      <x:c r="C17" s="56" t="n">
        <x:f>SUMIF('Все варианты'!$D$6:$D$60,A17,'Все варианты'!$R$6:$R$60)</x:f>
        <x:v>-0.010000000000000009</x:v>
      </x:c>
      <x:c r="D17" s="57" t="n">
        <x:f>C17/B17</x:f>
        <x:v>-0.0050000000000000044</x:v>
      </x:c>
      <x:c r="E17" s="58" t="str">
        <x:v>2 выбранных до матча варианта</x:v>
      </x:c>
      <x:c r="F17" s="54"/>
      <x:c r="G17" s="54"/>
      <x:c r="H17" s="54"/>
    </x:row>
    <x:row r="18">
      <x:c r="A18" s="54"/>
      <x:c r="B18" s="54"/>
      <x:c r="C18" s="54"/>
      <x:c r="D18" s="54"/>
      <x:c r="E18" s="54"/>
      <x:c r="F18" s="54"/>
      <x:c r="G18" s="54"/>
      <x:c r="H18" s="54"/>
    </x:row>
    <x:row r="19">
      <x:c r="A19" s="54"/>
      <x:c r="B19" s="54"/>
      <x:c r="C19" s="54"/>
      <x:c r="D19" s="54"/>
      <x:c r="E19" s="54"/>
      <x:c r="F19" s="54"/>
      <x:c r="G19" s="54"/>
      <x:c r="H19" s="54"/>
    </x:row>
    <x:row r="20">
      <x:c r="A20" s="82" t="str">
        <x:v>Индикаторы выбора матчей</x:v>
      </x:c>
      <x:c r="B20" s="54"/>
      <x:c r="C20" s="54"/>
      <x:c r="D20" s="54"/>
      <x:c r="E20" s="54"/>
      <x:c r="F20" s="54"/>
      <x:c r="G20" s="54"/>
      <x:c r="H20" s="54"/>
    </x:row>
    <x:row r="21">
      <x:c r="A21" s="20" t="str">
        <x:v>Показатель</x:v>
      </x:c>
      <x:c r="B21" s="21" t="str">
        <x:v>Все live</x:v>
      </x:c>
      <x:c r="C21" s="22" t="str">
        <x:v>Топ-5</x:v>
      </x:c>
      <x:c r="D21" s="54"/>
      <x:c r="E21" s="54"/>
      <x:c r="F21" s="54"/>
      <x:c r="G21" s="54"/>
      <x:c r="H21" s="54"/>
    </x:row>
    <x:row r="22">
      <x:c r="A22" s="43" t="str">
        <x:v>Минимум 1 дополнительный гол</x:v>
      </x:c>
      <x:c r="B22" s="44" t="n">
        <x:f>COUNTIFS('Все варианты'!$C$6:$C$60,"Live",'Все варианты'!$P$6:$P$60,"&gt;=1")/COUNTIF('Все варианты'!$C$6:$C$60,"Live")</x:f>
        <x:v>0.8113207547169812</x:v>
      </x:c>
      <x:c r="C22" s="44" t="n">
        <x:f>COUNTIFS('Все варианты'!$D$6:$D$60,"Топ-5",'Все варианты'!$P$6:$P$60,"&gt;=1")/COUNTIF('Все варианты'!$D$6:$D$60,"Топ-5")</x:f>
        <x:v>1</x:v>
      </x:c>
      <x:c r="D22" s="54"/>
      <x:c r="E22" s="54"/>
      <x:c r="F22" s="54"/>
      <x:c r="G22" s="54"/>
      <x:c r="H22" s="54"/>
    </x:row>
    <x:row r="23">
      <x:c r="A23" s="58" t="str">
        <x:v>Минимум 2 дополнительных гола</x:v>
      </x:c>
      <x:c r="B23" s="57" t="n">
        <x:f>COUNTIFS('Все варианты'!$C$6:$C$60,"Live",'Все варианты'!$P$6:$P$60,"&gt;=2")/COUNTIF('Все варианты'!$C$6:$C$60,"Live")</x:f>
        <x:v>0.6415094339622641</x:v>
      </x:c>
      <x:c r="C23" s="57" t="n">
        <x:f>COUNTIFS('Все варианты'!$D$6:$D$60,"Топ-5",'Все варианты'!$P$6:$P$60,"&gt;=2")/COUNTIF('Все варианты'!$D$6:$D$60,"Топ-5")</x:f>
        <x:v>0.8</x:v>
      </x:c>
      <x:c r="D23" s="54"/>
      <x:c r="E23" s="54"/>
      <x:c r="F23" s="54"/>
      <x:c r="G23" s="54"/>
      <x:c r="H23" s="54"/>
    </x:row>
    <x:row r="24">
      <x:c r="A24" s="54"/>
      <x:c r="B24" s="54"/>
      <x:c r="C24" s="54"/>
      <x:c r="D24" s="54"/>
      <x:c r="E24" s="54"/>
      <x:c r="F24" s="54"/>
      <x:c r="G24" s="54"/>
      <x:c r="H24" s="54"/>
    </x:row>
    <x:row r="25">
      <x:c r="A25" s="54"/>
      <x:c r="B25" s="54"/>
      <x:c r="C25" s="54"/>
      <x:c r="D25" s="54"/>
      <x:c r="E25" s="54"/>
      <x:c r="F25" s="54"/>
      <x:c r="G25" s="54"/>
      <x:c r="H25" s="54"/>
    </x:row>
    <x:row r="26" ht="42" customHeight="1">
      <x:c r="A26" s="83" t="str">
        <x:v>Ограничение: выборка за один день и содержит повторные решения по отдельным матчам. Результат не доказывает устойчивое преимущество.</x:v>
      </x:c>
      <x:c r="B26" s="54"/>
      <x:c r="C26" s="54"/>
      <x:c r="D26" s="54"/>
      <x:c r="E26" s="54"/>
      <x:c r="F26" s="54"/>
      <x:c r="G26" s="54"/>
      <x:c r="H26" s="54"/>
    </x:row>
    <x:row r="27">
      <x:c r="A27" s="54"/>
      <x:c r="B27" s="54"/>
      <x:c r="C27" s="54"/>
      <x:c r="D27" s="54"/>
      <x:c r="E27" s="54"/>
      <x:c r="F27" s="54"/>
      <x:c r="G27" s="54"/>
      <x:c r="H27" s="54"/>
    </x:row>
    <x:row r="28">
      <x:c r="A28" s="54"/>
      <x:c r="B28" s="54"/>
      <x:c r="C28" s="54"/>
      <x:c r="D28" s="54"/>
      <x:c r="E28" s="54"/>
      <x:c r="F28" s="54"/>
      <x:c r="G28" s="54"/>
      <x:c r="H28" s="54"/>
    </x:row>
    <x:row r="29">
      <x:c r="A29" s="54"/>
      <x:c r="B29" s="54"/>
      <x:c r="C29" s="54"/>
      <x:c r="D29" s="54"/>
      <x:c r="E29" s="54"/>
      <x:c r="F29" s="54"/>
      <x:c r="G29" s="54"/>
      <x:c r="H29" s="54"/>
    </x:row>
    <x:row r="30">
      <x:c r="A30" s="54"/>
      <x:c r="B30" s="54"/>
      <x:c r="C30" s="54"/>
      <x:c r="D30" s="54"/>
      <x:c r="E30" s="54"/>
      <x:c r="F30" s="54"/>
      <x:c r="G30" s="54"/>
      <x:c r="H30" s="54"/>
    </x:row>
  </x:sheetData>
  <x:mergeCells>
    <x:mergeCell ref="A2:H2"/>
    <x:mergeCell ref="A4:H4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" hidden="0" customWidth="1"/>
    <x:col min="2" max="2" width="18" hidden="0" customWidth="1"/>
    <x:col min="3" max="3" width="11" hidden="0" customWidth="1"/>
    <x:col min="4" max="4" width="18" hidden="0" customWidth="1"/>
    <x:col min="5" max="5" width="14" hidden="0" customWidth="1"/>
    <x:col min="6" max="6" width="15" hidden="0" customWidth="1"/>
    <x:col min="7" max="7" width="30" hidden="0" customWidth="1"/>
    <x:col min="8" max="8" width="34" hidden="0" customWidth="1"/>
    <x:col min="9" max="9" width="9" hidden="0" customWidth="1"/>
    <x:col min="10" max="10" width="14" hidden="0" customWidth="1"/>
    <x:col min="11" max="11" width="22" hidden="0" customWidth="1"/>
    <x:col min="12" max="12" width="10" hidden="0" customWidth="1"/>
    <x:col min="13" max="13" width="12" hidden="0" customWidth="1"/>
    <x:col min="14" max="14" width="14" hidden="0" customWidth="1"/>
    <x:col min="15" max="15" width="11" hidden="0" customWidth="1"/>
    <x:col min="16" max="16" width="11" hidden="0" customWidth="1"/>
    <x:col min="17" max="17" width="16" hidden="0" customWidth="1"/>
    <x:col min="18" max="18" width="12" hidden="0" customWidth="1"/>
    <x:col min="19" max="19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>
      <x:c r="A2" s="2" t="str">
        <x:v>Все предложения ТБ за 13 октября 2026 года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36" customHeight="1">
      <x:c r="A5" s="62" t="str">
        <x:v>№</x:v>
      </x:c>
      <x:c r="B5" s="62" t="str">
        <x:v>Дата и время МСК</x:v>
      </x:c>
      <x:c r="C5" s="62" t="str">
        <x:v>Режим</x:v>
      </x:c>
      <x:c r="D5" s="62" t="str">
        <x:v>Этап правил</x:v>
      </x:c>
      <x:c r="E5" s="62" t="str">
        <x:v>Проход</x:v>
      </x:c>
      <x:c r="F5" s="62" t="str">
        <x:v>ID события</x:v>
      </x:c>
      <x:c r="G5" s="62" t="str">
        <x:v>Турнир</x:v>
      </x:c>
      <x:c r="H5" s="62" t="str">
        <x:v>Матч</x:v>
      </x:c>
      <x:c r="I5" s="62" t="str">
        <x:v>Минута</x:v>
      </x:c>
      <x:c r="J5" s="62" t="str">
        <x:v>Счёт при выборе</x:v>
      </x:c>
      <x:c r="K5" s="62" t="str">
        <x:v>Рынок</x:v>
      </x:c>
      <x:c r="L5" s="62" t="str">
        <x:v>Линия</x:v>
      </x:c>
      <x:c r="M5" s="62" t="str">
        <x:v>Коэффициент</x:v>
      </x:c>
      <x:c r="N5" s="62" t="str">
        <x:v>Финальный счёт</x:v>
      </x:c>
      <x:c r="O5" s="62" t="str">
        <x:v>Голы всего</x:v>
      </x:c>
      <x:c r="P5" s="62" t="str">
        <x:v>Доп. голы</x:v>
      </x:c>
      <x:c r="Q5" s="62" t="str">
        <x:v>Результат</x:v>
      </x:c>
      <x:c r="R5" s="62" t="str">
        <x:v>Итог, ед.</x:v>
      </x:c>
      <x:c r="S5" s="62" t="str">
        <x:v>Источник</x:v>
      </x:c>
    </x:row>
    <x:row r="6" ht="30" customHeight="1">
      <x:c r="A6" s="66" t="n">
        <x:v>1</x:v>
      </x:c>
      <x:c r="B6" s="69" t="str">
        <x:v>13.10.2026 16:29</x:v>
      </x:c>
      <x:c r="C6" s="63" t="str">
        <x:v>Прематч</x:v>
      </x:c>
      <x:c r="D6" s="63" t="str">
        <x:v>Прематч</x:v>
      </x:c>
      <x:c r="E6" s="63" t="str">
        <x:v>Прематч 16:29</x:v>
      </x:c>
      <x:c r="F6" s="63" t="str">
        <x:v>13041499</x:v>
      </x:c>
      <x:c r="G6" s="75" t="str">
        <x:v>Европа - Лига чемпионов УЕФА</x:v>
      </x:c>
      <x:c r="H6" s="75" t="str">
        <x:v>Викинг - Бавария</x:v>
      </x:c>
      <x:c r="I6" s="66"/>
      <x:c r="J6" s="63"/>
      <x:c r="K6" s="75" t="str">
        <x:v>ТБ 4,5 всего матча</x:v>
      </x:c>
      <x:c r="L6" s="72" t="n">
        <x:v>4.5</x:v>
      </x:c>
      <x:c r="M6" s="72" t="n">
        <x:v>1.99</x:v>
      </x:c>
      <x:c r="N6" s="63" t="str">
        <x:v>3-3</x:v>
      </x:c>
      <x:c r="O6" s="66" t="n">
        <x:v>6</x:v>
      </x:c>
      <x:c r="P6" s="66"/>
      <x:c r="Q6" s="63" t="str">
        <x:v>Выигрыш</x:v>
      </x:c>
      <x:c r="R6" s="72" t="n">
        <x:v>0.99</x:v>
      </x:c>
      <x:c r="S6" s="75" t="str">
        <x:v>BetsAPI event ID 13041499</x:v>
      </x:c>
    </x:row>
    <x:row r="7" ht="30" customHeight="1">
      <x:c r="A7" s="67" t="n">
        <x:v>2</x:v>
      </x:c>
      <x:c r="B7" s="70" t="str">
        <x:v>13.10.2026 16:29</x:v>
      </x:c>
      <x:c r="C7" s="64" t="str">
        <x:v>Прематч</x:v>
      </x:c>
      <x:c r="D7" s="64" t="str">
        <x:v>Прематч</x:v>
      </x:c>
      <x:c r="E7" s="64" t="str">
        <x:v>Прематч 16:29</x:v>
      </x:c>
      <x:c r="F7" s="64"/>
      <x:c r="G7" s="76" t="str">
        <x:v>Европа - Лига чемпионов УЕФА</x:v>
      </x:c>
      <x:c r="H7" s="76" t="str">
        <x:v>Арсенал - Лилль</x:v>
      </x:c>
      <x:c r="I7" s="67"/>
      <x:c r="J7" s="64"/>
      <x:c r="K7" s="76" t="str">
        <x:v>ТБ 3,5 всего матча</x:v>
      </x:c>
      <x:c r="L7" s="73" t="n">
        <x:v>3.5</x:v>
      </x:c>
      <x:c r="M7" s="73" t="n">
        <x:v>2.26</x:v>
      </x:c>
      <x:c r="N7" s="64" t="str">
        <x:v>3-0</x:v>
      </x:c>
      <x:c r="O7" s="67" t="n">
        <x:v>3</x:v>
      </x:c>
      <x:c r="P7" s="67"/>
      <x:c r="Q7" s="64" t="str">
        <x:v>Поражение</x:v>
      </x:c>
      <x:c r="R7" s="73" t="n">
        <x:v>-1</x:v>
      </x:c>
      <x:c r="S7" s="76" t="str">
        <x:v>Sky Sports / итог матча</x:v>
      </x:c>
    </x:row>
    <x:row r="8" ht="30" customHeight="1">
      <x:c r="A8" s="67" t="n">
        <x:v>3</x:v>
      </x:c>
      <x:c r="B8" s="70" t="str">
        <x:v>13.10.2026 16:39</x:v>
      </x:c>
      <x:c r="C8" s="64" t="str">
        <x:v>Live</x:v>
      </x:c>
      <x:c r="D8" s="64" t="str">
        <x:v>До правила топ-5</x:v>
      </x:c>
      <x:c r="E8" s="64" t="str">
        <x:v>Live 16:39</x:v>
      </x:c>
      <x:c r="F8" s="64" t="str">
        <x:v>12477002</x:v>
      </x:c>
      <x:c r="G8" s="76" t="str">
        <x:v>Уганда - Премьер-лига</x:v>
      </x:c>
      <x:c r="H8" s="76" t="str">
        <x:v>Нтугазазе - КССА</x:v>
      </x:c>
      <x:c r="I8" s="67" t="n">
        <x:v>39</x:v>
      </x:c>
      <x:c r="J8" s="64" t="str">
        <x:v>0:1</x:v>
      </x:c>
      <x:c r="K8" s="76" t="str">
        <x:v>ТБ 2,5 всего матча</x:v>
      </x:c>
      <x:c r="L8" s="73" t="n">
        <x:v>2.5</x:v>
      </x:c>
      <x:c r="M8" s="73" t="n">
        <x:v>1.875</x:v>
      </x:c>
      <x:c r="N8" s="64" t="str">
        <x:v>0-2</x:v>
      </x:c>
      <x:c r="O8" s="67" t="n">
        <x:v>2</x:v>
      </x:c>
      <x:c r="P8" s="67" t="n">
        <x:v>1</x:v>
      </x:c>
      <x:c r="Q8" s="64" t="str">
        <x:v>Поражение</x:v>
      </x:c>
      <x:c r="R8" s="73" t="n">
        <x:v>-1</x:v>
      </x:c>
      <x:c r="S8" s="76" t="str">
        <x:v>BetsAPI event ID 12477002</x:v>
      </x:c>
    </x:row>
    <x:row r="9" ht="30" customHeight="1">
      <x:c r="A9" s="67" t="n">
        <x:v>4</x:v>
      </x:c>
      <x:c r="B9" s="70" t="str">
        <x:v>13.10.2026 16:39</x:v>
      </x:c>
      <x:c r="C9" s="64" t="str">
        <x:v>Live</x:v>
      </x:c>
      <x:c r="D9" s="64" t="str">
        <x:v>До правила топ-5</x:v>
      </x:c>
      <x:c r="E9" s="64" t="str">
        <x:v>Live 16:39</x:v>
      </x:c>
      <x:c r="F9" s="64" t="str">
        <x:v>12299758</x:v>
      </x:c>
      <x:c r="G9" s="76" t="str">
        <x:v>Таиланд - Дивизион 2</x:v>
      </x:c>
      <x:c r="H9" s="76" t="str">
        <x:v>Накхонратчасима - Муанг Лёй Юнайтед</x:v>
      </x:c>
      <x:c r="I9" s="67" t="n">
        <x:v>73</x:v>
      </x:c>
      <x:c r="J9" s="64" t="str">
        <x:v>3:2</x:v>
      </x:c>
      <x:c r="K9" s="76" t="str">
        <x:v>ТБ 5,5 всего матча</x:v>
      </x:c>
      <x:c r="L9" s="73" t="n">
        <x:v>5.5</x:v>
      </x:c>
      <x:c r="M9" s="73" t="n">
        <x:v>1.775</x:v>
      </x:c>
      <x:c r="N9" s="64" t="str">
        <x:v>3-2</x:v>
      </x:c>
      <x:c r="O9" s="67" t="n">
        <x:v>5</x:v>
      </x:c>
      <x:c r="P9" s="67" t="n">
        <x:v>0</x:v>
      </x:c>
      <x:c r="Q9" s="64" t="str">
        <x:v>Поражение</x:v>
      </x:c>
      <x:c r="R9" s="73" t="n">
        <x:v>-1</x:v>
      </x:c>
      <x:c r="S9" s="76" t="str">
        <x:v>BetsAPI event ID 12299758</x:v>
      </x:c>
    </x:row>
    <x:row r="10" ht="30" customHeight="1">
      <x:c r="A10" s="67" t="n">
        <x:v>5</x:v>
      </x:c>
      <x:c r="B10" s="70" t="str">
        <x:v>13.10.2026 18:08</x:v>
      </x:c>
      <x:c r="C10" s="64" t="str">
        <x:v>Live</x:v>
      </x:c>
      <x:c r="D10" s="64" t="str">
        <x:v>До правила топ-5</x:v>
      </x:c>
      <x:c r="E10" s="64" t="str">
        <x:v>Live 18:08</x:v>
      </x:c>
      <x:c r="F10" s="64" t="str">
        <x:v>13234372</x:v>
      </x:c>
      <x:c r="G10" s="76" t="str">
        <x:v>Алжир - Второй дивизион</x:v>
      </x:c>
      <x:c r="H10" s="76" t="str">
        <x:v>ГК Маскара - ИРБ Сиди Мхамед Бенали</x:v>
      </x:c>
      <x:c r="I10" s="67" t="n">
        <x:v>47</x:v>
      </x:c>
      <x:c r="J10" s="64" t="str">
        <x:v>0:0</x:v>
      </x:c>
      <x:c r="K10" s="76" t="str">
        <x:v>ТБ 1,0 всего матча</x:v>
      </x:c>
      <x:c r="L10" s="73" t="n">
        <x:v>1</x:v>
      </x:c>
      <x:c r="M10" s="73" t="n">
        <x:v>1.825</x:v>
      </x:c>
      <x:c r="N10" s="64" t="str">
        <x:v>2-0</x:v>
      </x:c>
      <x:c r="O10" s="67" t="n">
        <x:v>2</x:v>
      </x:c>
      <x:c r="P10" s="67" t="n">
        <x:v>2</x:v>
      </x:c>
      <x:c r="Q10" s="64" t="str">
        <x:v>Выигрыш</x:v>
      </x:c>
      <x:c r="R10" s="73" t="n">
        <x:v>0.825</x:v>
      </x:c>
      <x:c r="S10" s="76" t="str">
        <x:v>BetsAPI event ID 13234372</x:v>
      </x:c>
    </x:row>
    <x:row r="11" ht="30" customHeight="1">
      <x:c r="A11" s="67" t="n">
        <x:v>6</x:v>
      </x:c>
      <x:c r="B11" s="70" t="str">
        <x:v>13.10.2026 18:08</x:v>
      </x:c>
      <x:c r="C11" s="64" t="str">
        <x:v>Live</x:v>
      </x:c>
      <x:c r="D11" s="64" t="str">
        <x:v>До правила топ-5</x:v>
      </x:c>
      <x:c r="E11" s="64" t="str">
        <x:v>Live 18:08</x:v>
      </x:c>
      <x:c r="F11" s="64" t="str">
        <x:v>13285570</x:v>
      </x:c>
      <x:c r="G11" s="76" t="str">
        <x:v>Азия - Лига чемпионов АФК 2</x:v>
      </x:c>
      <x:c r="H11" s="76" t="str">
        <x:v>Ист Бенгал - Аль-Шорта</x:v>
      </x:c>
      <x:c r="I11" s="67" t="n">
        <x:v>59</x:v>
      </x:c>
      <x:c r="J11" s="64" t="str">
        <x:v>2:3</x:v>
      </x:c>
      <x:c r="K11" s="76" t="str">
        <x:v>ТБ 6,25 всего матча</x:v>
      </x:c>
      <x:c r="L11" s="73" t="n">
        <x:v>6.25</x:v>
      </x:c>
      <x:c r="M11" s="73" t="n">
        <x:v>2.05</x:v>
      </x:c>
      <x:c r="N11" s="64" t="str">
        <x:v>2-3</x:v>
      </x:c>
      <x:c r="O11" s="67" t="n">
        <x:v>5</x:v>
      </x:c>
      <x:c r="P11" s="67" t="n">
        <x:v>0</x:v>
      </x:c>
      <x:c r="Q11" s="64" t="str">
        <x:v>Поражение</x:v>
      </x:c>
      <x:c r="R11" s="73" t="n">
        <x:v>-1</x:v>
      </x:c>
      <x:c r="S11" s="76" t="str">
        <x:v>BetsAPI event ID 13285570</x:v>
      </x:c>
    </x:row>
    <x:row r="12" ht="30" customHeight="1">
      <x:c r="A12" s="67" t="n">
        <x:v>7</x:v>
      </x:c>
      <x:c r="B12" s="70" t="str">
        <x:v>13.10.2026 18:08</x:v>
      </x:c>
      <x:c r="C12" s="64" t="str">
        <x:v>Live</x:v>
      </x:c>
      <x:c r="D12" s="64" t="str">
        <x:v>До правила топ-5</x:v>
      </x:c>
      <x:c r="E12" s="64" t="str">
        <x:v>Live 18:08</x:v>
      </x:c>
      <x:c r="F12" s="64" t="str">
        <x:v>13234373</x:v>
      </x:c>
      <x:c r="G12" s="76" t="str">
        <x:v>Алжир - Второй дивизион</x:v>
      </x:c>
      <x:c r="H12" s="76" t="str">
        <x:v>ЕСМ Колеа - ЕС Мостаганем</x:v>
      </x:c>
      <x:c r="I12" s="67" t="n">
        <x:v>46</x:v>
      </x:c>
      <x:c r="J12" s="64" t="str">
        <x:v>1:1</x:v>
      </x:c>
      <x:c r="K12" s="76" t="str">
        <x:v>ТБ 3,0 всего матча</x:v>
      </x:c>
      <x:c r="L12" s="73" t="n">
        <x:v>3</x:v>
      </x:c>
      <x:c r="M12" s="73" t="n">
        <x:v>1.975</x:v>
      </x:c>
      <x:c r="N12" s="64" t="str">
        <x:v>2-3</x:v>
      </x:c>
      <x:c r="O12" s="67" t="n">
        <x:v>5</x:v>
      </x:c>
      <x:c r="P12" s="67" t="n">
        <x:v>3</x:v>
      </x:c>
      <x:c r="Q12" s="64" t="str">
        <x:v>Выигрыш</x:v>
      </x:c>
      <x:c r="R12" s="73" t="n">
        <x:v>0.9750000000000001</x:v>
      </x:c>
      <x:c r="S12" s="76" t="str">
        <x:v>BetsAPI event ID 13234373</x:v>
      </x:c>
    </x:row>
    <x:row r="13" ht="30" customHeight="1">
      <x:c r="A13" s="67" t="n">
        <x:v>8</x:v>
      </x:c>
      <x:c r="B13" s="70" t="str">
        <x:v>13.10.2026 18:08</x:v>
      </x:c>
      <x:c r="C13" s="64" t="str">
        <x:v>Live</x:v>
      </x:c>
      <x:c r="D13" s="64" t="str">
        <x:v>До правила топ-5</x:v>
      </x:c>
      <x:c r="E13" s="64" t="str">
        <x:v>Live 18:08</x:v>
      </x:c>
      <x:c r="F13" s="64" t="str">
        <x:v>12202850</x:v>
      </x:c>
      <x:c r="G13" s="76" t="str">
        <x:v>Турция - Первая лига</x:v>
      </x:c>
      <x:c r="H13" s="76" t="str">
        <x:v>Сарыер - Бодрум ФК</x:v>
      </x:c>
      <x:c r="I13" s="67" t="n">
        <x:v>45</x:v>
      </x:c>
      <x:c r="J13" s="64" t="str">
        <x:v>0:3</x:v>
      </x:c>
      <x:c r="K13" s="76" t="str">
        <x:v>ТБ 4,5 всего матча</x:v>
      </x:c>
      <x:c r="L13" s="73" t="n">
        <x:v>4.5</x:v>
      </x:c>
      <x:c r="M13" s="73" t="n">
        <x:v>1.85</x:v>
      </x:c>
      <x:c r="N13" s="64" t="str">
        <x:v>1-4</x:v>
      </x:c>
      <x:c r="O13" s="67" t="n">
        <x:v>5</x:v>
      </x:c>
      <x:c r="P13" s="67" t="n">
        <x:v>2</x:v>
      </x:c>
      <x:c r="Q13" s="64" t="str">
        <x:v>Выигрыш</x:v>
      </x:c>
      <x:c r="R13" s="73" t="n">
        <x:v>0.8500000000000001</x:v>
      </x:c>
      <x:c r="S13" s="76" t="str">
        <x:v>BetsAPI event ID 12202850</x:v>
      </x:c>
    </x:row>
    <x:row r="14" ht="30" customHeight="1">
      <x:c r="A14" s="67" t="n">
        <x:v>9</x:v>
      </x:c>
      <x:c r="B14" s="70" t="str">
        <x:v>13.10.2026 18:08</x:v>
      </x:c>
      <x:c r="C14" s="64" t="str">
        <x:v>Live</x:v>
      </x:c>
      <x:c r="D14" s="64" t="str">
        <x:v>До правила топ-5</x:v>
      </x:c>
      <x:c r="E14" s="64" t="str">
        <x:v>Live 18:08</x:v>
      </x:c>
      <x:c r="F14" s="64" t="str">
        <x:v>13234392</x:v>
      </x:c>
      <x:c r="G14" s="76" t="str">
        <x:v>Алжир - Второй дивизион</x:v>
      </x:c>
      <x:c r="H14" s="76" t="str">
        <x:v>УС Шауия - Параду</x:v>
      </x:c>
      <x:c r="I14" s="67" t="n">
        <x:v>50</x:v>
      </x:c>
      <x:c r="J14" s="64" t="str">
        <x:v>1:0</x:v>
      </x:c>
      <x:c r="K14" s="76" t="str">
        <x:v>ТБ 1,75 всего матча</x:v>
      </x:c>
      <x:c r="L14" s="73" t="n">
        <x:v>1.75</x:v>
      </x:c>
      <x:c r="M14" s="73" t="n">
        <x:v>1.7</x:v>
      </x:c>
      <x:c r="N14" s="64" t="str">
        <x:v>1-0</x:v>
      </x:c>
      <x:c r="O14" s="67" t="n">
        <x:v>1</x:v>
      </x:c>
      <x:c r="P14" s="67" t="n">
        <x:v>0</x:v>
      </x:c>
      <x:c r="Q14" s="64" t="str">
        <x:v>Поражение</x:v>
      </x:c>
      <x:c r="R14" s="73" t="n">
        <x:v>-1</x:v>
      </x:c>
      <x:c r="S14" s="76" t="str">
        <x:v>BetsAPI event ID 13234392</x:v>
      </x:c>
    </x:row>
    <x:row r="15" ht="30" customHeight="1">
      <x:c r="A15" s="67" t="n">
        <x:v>10</x:v>
      </x:c>
      <x:c r="B15" s="70" t="str">
        <x:v>13.10.2026 18:37</x:v>
      </x:c>
      <x:c r="C15" s="64" t="str">
        <x:v>Live</x:v>
      </x:c>
      <x:c r="D15" s="64" t="str">
        <x:v>До правила топ-5</x:v>
      </x:c>
      <x:c r="E15" s="64" t="str">
        <x:v>Live 18:37</x:v>
      </x:c>
      <x:c r="F15" s="64" t="str">
        <x:v>12325195</x:v>
      </x:c>
      <x:c r="G15" s="76" t="str">
        <x:v>Саудовская Аравия - Первый дивизион</x:v>
      </x:c>
      <x:c r="H15" s="76" t="str">
        <x:v>Аль-Букайрия - Аль-Зульфи</x:v>
      </x:c>
      <x:c r="I15" s="67" t="n">
        <x:v>22</x:v>
      </x:c>
      <x:c r="J15" s="64" t="str">
        <x:v>0:0</x:v>
      </x:c>
      <x:c r="K15" s="76" t="str">
        <x:v>ТБ 2,25 всего матча</x:v>
      </x:c>
      <x:c r="L15" s="73" t="n">
        <x:v>2.25</x:v>
      </x:c>
      <x:c r="M15" s="73" t="n">
        <x:v>2.025</x:v>
      </x:c>
      <x:c r="N15" s="64" t="str">
        <x:v>0-2</x:v>
      </x:c>
      <x:c r="O15" s="67" t="n">
        <x:v>2</x:v>
      </x:c>
      <x:c r="P15" s="67" t="n">
        <x:v>2</x:v>
      </x:c>
      <x:c r="Q15" s="64" t="str">
        <x:v>Полупроигрыш</x:v>
      </x:c>
      <x:c r="R15" s="73" t="n">
        <x:v>-0.5</x:v>
      </x:c>
      <x:c r="S15" s="76" t="str">
        <x:v>BetsAPI event ID 12325195</x:v>
      </x:c>
    </x:row>
    <x:row r="16" ht="30" customHeight="1">
      <x:c r="A16" s="67" t="n">
        <x:v>11</x:v>
      </x:c>
      <x:c r="B16" s="70" t="str">
        <x:v>13.10.2026 18:37</x:v>
      </x:c>
      <x:c r="C16" s="64" t="str">
        <x:v>Live</x:v>
      </x:c>
      <x:c r="D16" s="64" t="str">
        <x:v>До правила топ-5</x:v>
      </x:c>
      <x:c r="E16" s="64" t="str">
        <x:v>Live 18:37</x:v>
      </x:c>
      <x:c r="F16" s="64" t="str">
        <x:v>13285445</x:v>
      </x:c>
      <x:c r="G16" s="76" t="str">
        <x:v>Чили - Терсера</x:v>
      </x:c>
      <x:c r="H16" s="76" t="str">
        <x:v>Атлетико Ориенте - Комуналь Кабреро</x:v>
      </x:c>
      <x:c r="I16" s="67" t="n">
        <x:v>35</x:v>
      </x:c>
      <x:c r="J16" s="64" t="str">
        <x:v>1:2</x:v>
      </x:c>
      <x:c r="K16" s="76" t="str">
        <x:v>ТБ 5,25 всего матча</x:v>
      </x:c>
      <x:c r="L16" s="73" t="n">
        <x:v>5.25</x:v>
      </x:c>
      <x:c r="M16" s="73" t="n">
        <x:v>1.95</x:v>
      </x:c>
      <x:c r="N16" s="64" t="str">
        <x:v>3-2</x:v>
      </x:c>
      <x:c r="O16" s="67" t="n">
        <x:v>5</x:v>
      </x:c>
      <x:c r="P16" s="67" t="n">
        <x:v>2</x:v>
      </x:c>
      <x:c r="Q16" s="64" t="str">
        <x:v>Полупроигрыш</x:v>
      </x:c>
      <x:c r="R16" s="73" t="n">
        <x:v>-0.5</x:v>
      </x:c>
      <x:c r="S16" s="76" t="str">
        <x:v>BetsAPI event ID 13285445</x:v>
      </x:c>
    </x:row>
    <x:row r="17" ht="30" customHeight="1">
      <x:c r="A17" s="67" t="n">
        <x:v>12</x:v>
      </x:c>
      <x:c r="B17" s="70" t="str">
        <x:v>13.10.2026 18:37</x:v>
      </x:c>
      <x:c r="C17" s="64" t="str">
        <x:v>Live</x:v>
      </x:c>
      <x:c r="D17" s="64" t="str">
        <x:v>До правила топ-5</x:v>
      </x:c>
      <x:c r="E17" s="64" t="str">
        <x:v>Live 18:37</x:v>
      </x:c>
      <x:c r="F17" s="64" t="str">
        <x:v>12062993</x:v>
      </x:c>
      <x:c r="G17" s="76" t="str">
        <x:v>Женщины - Квалификация ЧМ</x:v>
      </x:c>
      <x:c r="H17" s="76" t="str">
        <x:v>Словения - Турция</x:v>
      </x:c>
      <x:c r="I17" s="67" t="n">
        <x:v>35</x:v>
      </x:c>
      <x:c r="J17" s="64" t="str">
        <x:v>0:0</x:v>
      </x:c>
      <x:c r="K17" s="76" t="str">
        <x:v>ТБ 2,0 всего матча</x:v>
      </x:c>
      <x:c r="L17" s="73" t="n">
        <x:v>2</x:v>
      </x:c>
      <x:c r="M17" s="73" t="n">
        <x:v>1.85</x:v>
      </x:c>
      <x:c r="N17" s="64" t="str">
        <x:v>2-0</x:v>
      </x:c>
      <x:c r="O17" s="67" t="n">
        <x:v>2</x:v>
      </x:c>
      <x:c r="P17" s="67" t="n">
        <x:v>2</x:v>
      </x:c>
      <x:c r="Q17" s="64" t="str">
        <x:v>Возврат</x:v>
      </x:c>
      <x:c r="R17" s="73" t="n">
        <x:v>0</x:v>
      </x:c>
      <x:c r="S17" s="76" t="str">
        <x:v>BetsAPI event ID 12062993</x:v>
      </x:c>
    </x:row>
    <x:row r="18" ht="30" customHeight="1">
      <x:c r="A18" s="67" t="n">
        <x:v>13</x:v>
      </x:c>
      <x:c r="B18" s="70" t="str">
        <x:v>13.10.2026 18:37</x:v>
      </x:c>
      <x:c r="C18" s="64" t="str">
        <x:v>Live</x:v>
      </x:c>
      <x:c r="D18" s="64" t="str">
        <x:v>До правила топ-5</x:v>
      </x:c>
      <x:c r="E18" s="64" t="str">
        <x:v>Live 18:37</x:v>
      </x:c>
      <x:c r="F18" s="64" t="str">
        <x:v>12126208</x:v>
      </x:c>
      <x:c r="G18" s="76" t="str">
        <x:v>Болгария - Вторая лига</x:v>
      </x:c>
      <x:c r="H18" s="76" t="str">
        <x:v>Монтана - Лудогорец II</x:v>
      </x:c>
      <x:c r="I18" s="67" t="n">
        <x:v>36</x:v>
      </x:c>
      <x:c r="J18" s="64" t="str">
        <x:v>2:1</x:v>
      </x:c>
      <x:c r="K18" s="76" t="str">
        <x:v>ТБ 4,5 всего матча</x:v>
      </x:c>
      <x:c r="L18" s="73" t="n">
        <x:v>4.5</x:v>
      </x:c>
      <x:c r="M18" s="73" t="n">
        <x:v>1.775</x:v>
      </x:c>
      <x:c r="N18" s="64" t="str">
        <x:v>2-3</x:v>
      </x:c>
      <x:c r="O18" s="67" t="n">
        <x:v>5</x:v>
      </x:c>
      <x:c r="P18" s="67" t="n">
        <x:v>2</x:v>
      </x:c>
      <x:c r="Q18" s="64" t="str">
        <x:v>Выигрыш</x:v>
      </x:c>
      <x:c r="R18" s="73" t="n">
        <x:v>0.7749999999999999</x:v>
      </x:c>
      <x:c r="S18" s="76" t="str">
        <x:v>BetsAPI event ID 12126208</x:v>
      </x:c>
    </x:row>
    <x:row r="19" ht="30" customHeight="1">
      <x:c r="A19" s="67" t="n">
        <x:v>14</x:v>
      </x:c>
      <x:c r="B19" s="70" t="str">
        <x:v>13.10.2026 18:37</x:v>
      </x:c>
      <x:c r="C19" s="64" t="str">
        <x:v>Live</x:v>
      </x:c>
      <x:c r="D19" s="64" t="str">
        <x:v>До правила топ-5</x:v>
      </x:c>
      <x:c r="E19" s="64" t="str">
        <x:v>Live 18:37</x:v>
      </x:c>
      <x:c r="F19" s="64" t="str">
        <x:v>12062983</x:v>
      </x:c>
      <x:c r="G19" s="76" t="str">
        <x:v>Женщины - Квалификация ЧМ</x:v>
      </x:c>
      <x:c r="H19" s="76" t="str">
        <x:v>Сербия - Финляндия</x:v>
      </x:c>
      <x:c r="I19" s="67" t="n">
        <x:v>36</x:v>
      </x:c>
      <x:c r="J19" s="64" t="str">
        <x:v>1:1</x:v>
      </x:c>
      <x:c r="K19" s="76" t="str">
        <x:v>ТБ 3,75 всего матча</x:v>
      </x:c>
      <x:c r="L19" s="73" t="n">
        <x:v>3.75</x:v>
      </x:c>
      <x:c r="M19" s="73" t="n">
        <x:v>1.925</x:v>
      </x:c>
      <x:c r="N19" s="64" t="str">
        <x:v>1-3</x:v>
      </x:c>
      <x:c r="O19" s="67" t="n">
        <x:v>4</x:v>
      </x:c>
      <x:c r="P19" s="67" t="n">
        <x:v>2</x:v>
      </x:c>
      <x:c r="Q19" s="64" t="str">
        <x:v>Полувыигрыш</x:v>
      </x:c>
      <x:c r="R19" s="73" t="n">
        <x:v>0.4625</x:v>
      </x:c>
      <x:c r="S19" s="76" t="str">
        <x:v>BetsAPI event ID 12062983</x:v>
      </x:c>
    </x:row>
    <x:row r="20" ht="30" customHeight="1">
      <x:c r="A20" s="67" t="n">
        <x:v>15</x:v>
      </x:c>
      <x:c r="B20" s="70" t="str">
        <x:v>13.10.2026 18:37</x:v>
      </x:c>
      <x:c r="C20" s="64" t="str">
        <x:v>Live</x:v>
      </x:c>
      <x:c r="D20" s="64" t="str">
        <x:v>До правила топ-5</x:v>
      </x:c>
      <x:c r="E20" s="64" t="str">
        <x:v>Live 18:37</x:v>
      </x:c>
      <x:c r="F20" s="64" t="str">
        <x:v>12063011</x:v>
      </x:c>
      <x:c r="G20" s="76" t="str">
        <x:v>Женщины - Квалификация ЧМ</x:v>
      </x:c>
      <x:c r="H20" s="76" t="str">
        <x:v>Словакия - Украина</x:v>
      </x:c>
      <x:c r="I20" s="67" t="n">
        <x:v>37</x:v>
      </x:c>
      <x:c r="J20" s="64" t="str">
        <x:v>0:0</x:v>
      </x:c>
      <x:c r="K20" s="76" t="str">
        <x:v>ТБ 1,75 всего матча</x:v>
      </x:c>
      <x:c r="L20" s="73" t="n">
        <x:v>1.75</x:v>
      </x:c>
      <x:c r="M20" s="73" t="n">
        <x:v>1.9</x:v>
      </x:c>
      <x:c r="N20" s="64" t="str">
        <x:v>0-1</x:v>
      </x:c>
      <x:c r="O20" s="67" t="n">
        <x:v>1</x:v>
      </x:c>
      <x:c r="P20" s="67" t="n">
        <x:v>1</x:v>
      </x:c>
      <x:c r="Q20" s="64" t="str">
        <x:v>Поражение</x:v>
      </x:c>
      <x:c r="R20" s="73" t="n">
        <x:v>-1</x:v>
      </x:c>
      <x:c r="S20" s="76" t="str">
        <x:v>BetsAPI event ID 12063011</x:v>
      </x:c>
    </x:row>
    <x:row r="21" ht="30" customHeight="1">
      <x:c r="A21" s="67" t="n">
        <x:v>16</x:v>
      </x:c>
      <x:c r="B21" s="70" t="str">
        <x:v>13.10.2026 18:37</x:v>
      </x:c>
      <x:c r="C21" s="64" t="str">
        <x:v>Live</x:v>
      </x:c>
      <x:c r="D21" s="64" t="str">
        <x:v>До правила топ-5</x:v>
      </x:c>
      <x:c r="E21" s="64" t="str">
        <x:v>Live 18:37</x:v>
      </x:c>
      <x:c r="F21" s="64" t="str">
        <x:v>13285678</x:v>
      </x:c>
      <x:c r="G21" s="76" t="str">
        <x:v>Персидский залив - Клубный чемпионат</x:v>
      </x:c>
      <x:c r="H21" s="76" t="str">
        <x:v>Катар СК - Аль-Завра</x:v>
      </x:c>
      <x:c r="I21" s="67" t="n">
        <x:v>51</x:v>
      </x:c>
      <x:c r="J21" s="64" t="str">
        <x:v>1:1</x:v>
      </x:c>
      <x:c r="K21" s="76" t="str">
        <x:v>ТБ 3,0 всего матча</x:v>
      </x:c>
      <x:c r="L21" s="73" t="n">
        <x:v>3</x:v>
      </x:c>
      <x:c r="M21" s="73" t="n">
        <x:v>1.75</x:v>
      </x:c>
      <x:c r="N21" s="64" t="str">
        <x:v>1-1</x:v>
      </x:c>
      <x:c r="O21" s="67" t="n">
        <x:v>2</x:v>
      </x:c>
      <x:c r="P21" s="67" t="n">
        <x:v>0</x:v>
      </x:c>
      <x:c r="Q21" s="64" t="str">
        <x:v>Поражение</x:v>
      </x:c>
      <x:c r="R21" s="73" t="n">
        <x:v>-1</x:v>
      </x:c>
      <x:c r="S21" s="76" t="str">
        <x:v>BetsAPI event ID 13285678</x:v>
      </x:c>
    </x:row>
    <x:row r="22" ht="30" customHeight="1">
      <x:c r="A22" s="67" t="n">
        <x:v>17</x:v>
      </x:c>
      <x:c r="B22" s="70" t="str">
        <x:v>13.10.2026 18:43</x:v>
      </x:c>
      <x:c r="C22" s="64" t="str">
        <x:v>Live</x:v>
      </x:c>
      <x:c r="D22" s="64" t="str">
        <x:v>До правила топ-5</x:v>
      </x:c>
      <x:c r="E22" s="64" t="str">
        <x:v>Live 18:43</x:v>
      </x:c>
      <x:c r="F22" s="64" t="str">
        <x:v>12325194</x:v>
      </x:c>
      <x:c r="G22" s="76" t="str">
        <x:v>Саудовская Аравия - Первый дивизион</x:v>
      </x:c>
      <x:c r="H22" s="76" t="str">
        <x:v>Аль-Сакр - Аль-Джабалайн</x:v>
      </x:c>
      <x:c r="I22" s="67" t="n">
        <x:v>27</x:v>
      </x:c>
      <x:c r="J22" s="64" t="str">
        <x:v>0:0</x:v>
      </x:c>
      <x:c r="K22" s="76" t="str">
        <x:v>ТБ 1,75 всего матча</x:v>
      </x:c>
      <x:c r="L22" s="73" t="n">
        <x:v>1.75</x:v>
      </x:c>
      <x:c r="M22" s="73" t="n">
        <x:v>1.9</x:v>
      </x:c>
      <x:c r="N22" s="64" t="str">
        <x:v>1-3</x:v>
      </x:c>
      <x:c r="O22" s="67" t="n">
        <x:v>4</x:v>
      </x:c>
      <x:c r="P22" s="67" t="n">
        <x:v>4</x:v>
      </x:c>
      <x:c r="Q22" s="64" t="str">
        <x:v>Выигрыш</x:v>
      </x:c>
      <x:c r="R22" s="73" t="n">
        <x:v>0.8999999999999999</x:v>
      </x:c>
      <x:c r="S22" s="76" t="str">
        <x:v>BetsAPI event ID 12325194</x:v>
      </x:c>
    </x:row>
    <x:row r="23" ht="30" customHeight="1">
      <x:c r="A23" s="67" t="n">
        <x:v>18</x:v>
      </x:c>
      <x:c r="B23" s="70" t="str">
        <x:v>13.10.2026 18:43</x:v>
      </x:c>
      <x:c r="C23" s="64" t="str">
        <x:v>Live</x:v>
      </x:c>
      <x:c r="D23" s="64" t="str">
        <x:v>До правила топ-5</x:v>
      </x:c>
      <x:c r="E23" s="64" t="str">
        <x:v>Live 18:43</x:v>
      </x:c>
      <x:c r="F23" s="64" t="str">
        <x:v>12471952</x:v>
      </x:c>
      <x:c r="G23" s="76" t="str">
        <x:v>Израиль - Юношеская лига</x:v>
      </x:c>
      <x:c r="H23" s="76" t="str">
        <x:v>Хапоэль Ришон-ле-Цион U19 - Хапоэль Раанана U19</x:v>
      </x:c>
      <x:c r="I23" s="67" t="n">
        <x:v>45</x:v>
      </x:c>
      <x:c r="J23" s="64" t="str">
        <x:v>1:0</x:v>
      </x:c>
      <x:c r="K23" s="76" t="str">
        <x:v>ТБ 2,75 всего матча</x:v>
      </x:c>
      <x:c r="L23" s="73" t="n">
        <x:v>2.75</x:v>
      </x:c>
      <x:c r="M23" s="73" t="n">
        <x:v>1.95</x:v>
      </x:c>
      <x:c r="N23" s="64" t="str">
        <x:v>1-1</x:v>
      </x:c>
      <x:c r="O23" s="67" t="n">
        <x:v>2</x:v>
      </x:c>
      <x:c r="P23" s="67" t="n">
        <x:v>1</x:v>
      </x:c>
      <x:c r="Q23" s="64" t="str">
        <x:v>Поражение</x:v>
      </x:c>
      <x:c r="R23" s="73" t="n">
        <x:v>-1</x:v>
      </x:c>
      <x:c r="S23" s="76" t="str">
        <x:v>BetsAPI event ID 12471952</x:v>
      </x:c>
    </x:row>
    <x:row r="24" ht="30" customHeight="1">
      <x:c r="A24" s="67" t="n">
        <x:v>19</x:v>
      </x:c>
      <x:c r="B24" s="70" t="str">
        <x:v>13.10.2026 21:27</x:v>
      </x:c>
      <x:c r="C24" s="64" t="str">
        <x:v>Live</x:v>
      </x:c>
      <x:c r="D24" s="64" t="str">
        <x:v>До правила топ-5</x:v>
      </x:c>
      <x:c r="E24" s="64" t="str">
        <x:v>Live 21:27</x:v>
      </x:c>
      <x:c r="F24" s="64" t="str">
        <x:v>12407691</x:v>
      </x:c>
      <x:c r="G24" s="76" t="str">
        <x:v>Англия - Трофей Английской лиги</x:v>
      </x:c>
      <x:c r="H24" s="76" t="str">
        <x:v>Джиллингем - Брайтон U21</x:v>
      </x:c>
      <x:c r="I24" s="67" t="n">
        <x:v>27</x:v>
      </x:c>
      <x:c r="J24" s="64" t="str">
        <x:v>0:0</x:v>
      </x:c>
      <x:c r="K24" s="76" t="str">
        <x:v>ТБ 2,25 всего матча</x:v>
      </x:c>
      <x:c r="L24" s="73" t="n">
        <x:v>2.25</x:v>
      </x:c>
      <x:c r="M24" s="73" t="n">
        <x:v>1.85</x:v>
      </x:c>
      <x:c r="N24" s="64" t="str">
        <x:v>4-3</x:v>
      </x:c>
      <x:c r="O24" s="67" t="n">
        <x:v>7</x:v>
      </x:c>
      <x:c r="P24" s="67" t="n">
        <x:v>7</x:v>
      </x:c>
      <x:c r="Q24" s="64" t="str">
        <x:v>Выигрыш</x:v>
      </x:c>
      <x:c r="R24" s="73" t="n">
        <x:v>0.8500000000000001</x:v>
      </x:c>
      <x:c r="S24" s="76" t="str">
        <x:v>BetsAPI event ID 12407691</x:v>
      </x:c>
    </x:row>
    <x:row r="25" ht="30" customHeight="1">
      <x:c r="A25" s="67" t="n">
        <x:v>20</x:v>
      </x:c>
      <x:c r="B25" s="70" t="str">
        <x:v>13.10.2026 21:27</x:v>
      </x:c>
      <x:c r="C25" s="64" t="str">
        <x:v>Live</x:v>
      </x:c>
      <x:c r="D25" s="64" t="str">
        <x:v>До правила топ-5</x:v>
      </x:c>
      <x:c r="E25" s="64" t="str">
        <x:v>Live 21:27</x:v>
      </x:c>
      <x:c r="F25" s="64" t="str">
        <x:v>12403135</x:v>
      </x:c>
      <x:c r="G25" s="76" t="str">
        <x:v>Англия - Кубок Национальной лиги</x:v>
      </x:c>
      <x:c r="H25" s="76" t="str">
        <x:v>Гейтсхед - Вулверхэмптон U21</x:v>
      </x:c>
      <x:c r="I25" s="67" t="n">
        <x:v>27</x:v>
      </x:c>
      <x:c r="J25" s="64" t="str">
        <x:v>0:0</x:v>
      </x:c>
      <x:c r="K25" s="76" t="str">
        <x:v>ТБ 2,5 всего матча</x:v>
      </x:c>
      <x:c r="L25" s="73" t="n">
        <x:v>2.5</x:v>
      </x:c>
      <x:c r="M25" s="73" t="n">
        <x:v>1.9</x:v>
      </x:c>
      <x:c r="N25" s="64" t="str">
        <x:v>0-0</x:v>
      </x:c>
      <x:c r="O25" s="67" t="n">
        <x:v>0</x:v>
      </x:c>
      <x:c r="P25" s="67" t="n">
        <x:v>0</x:v>
      </x:c>
      <x:c r="Q25" s="64" t="str">
        <x:v>Поражение</x:v>
      </x:c>
      <x:c r="R25" s="73" t="n">
        <x:v>-1</x:v>
      </x:c>
      <x:c r="S25" s="76" t="str">
        <x:v>BetsAPI event ID 12403135</x:v>
      </x:c>
    </x:row>
    <x:row r="26" ht="30" customHeight="1">
      <x:c r="A26" s="67" t="n">
        <x:v>21</x:v>
      </x:c>
      <x:c r="B26" s="70" t="str">
        <x:v>13.10.2026 21:27</x:v>
      </x:c>
      <x:c r="C26" s="64" t="str">
        <x:v>Live</x:v>
      </x:c>
      <x:c r="D26" s="64" t="str">
        <x:v>До правила топ-5</x:v>
      </x:c>
      <x:c r="E26" s="64" t="str">
        <x:v>Live 21:27</x:v>
      </x:c>
      <x:c r="F26" s="64" t="str">
        <x:v>12403105</x:v>
      </x:c>
      <x:c r="G26" s="76" t="str">
        <x:v>Англия - Кубок Национальной лиги</x:v>
      </x:c>
      <x:c r="H26" s="76" t="str">
        <x:v>Бостон Юнайтед - Саутгемптон U21</x:v>
      </x:c>
      <x:c r="I26" s="67" t="n">
        <x:v>27</x:v>
      </x:c>
      <x:c r="J26" s="64" t="str">
        <x:v>3:2</x:v>
      </x:c>
      <x:c r="K26" s="76" t="str">
        <x:v>ТБ 7,5 всего матча</x:v>
      </x:c>
      <x:c r="L26" s="73" t="n">
        <x:v>7.5</x:v>
      </x:c>
      <x:c r="M26" s="73" t="n">
        <x:v>1.75</x:v>
      </x:c>
      <x:c r="N26" s="64" t="str">
        <x:v>5-6</x:v>
      </x:c>
      <x:c r="O26" s="67" t="n">
        <x:v>11</x:v>
      </x:c>
      <x:c r="P26" s="67" t="n">
        <x:v>6</x:v>
      </x:c>
      <x:c r="Q26" s="64" t="str">
        <x:v>Выигрыш</x:v>
      </x:c>
      <x:c r="R26" s="73" t="n">
        <x:v>0.75</x:v>
      </x:c>
      <x:c r="S26" s="76" t="str">
        <x:v>BetsAPI event ID 12403105</x:v>
      </x:c>
    </x:row>
    <x:row r="27" ht="30" customHeight="1">
      <x:c r="A27" s="67" t="n">
        <x:v>22</x:v>
      </x:c>
      <x:c r="B27" s="70" t="str">
        <x:v>13.10.2026 21:27</x:v>
      </x:c>
      <x:c r="C27" s="64" t="str">
        <x:v>Live</x:v>
      </x:c>
      <x:c r="D27" s="64" t="str">
        <x:v>До правила топ-5</x:v>
      </x:c>
      <x:c r="E27" s="64" t="str">
        <x:v>Live 21:27</x:v>
      </x:c>
      <x:c r="F27" s="64" t="str">
        <x:v>13217859</x:v>
      </x:c>
      <x:c r="G27" s="76" t="str">
        <x:v>Аргентина - Лига профессиональных резервов</x:v>
      </x:c>
      <x:c r="H27" s="76" t="str">
        <x:v>Банфилд резерв - Химнасия Ла-Плата резерв</x:v>
      </x:c>
      <x:c r="I27" s="67" t="n">
        <x:v>26</x:v>
      </x:c>
      <x:c r="J27" s="64" t="str">
        <x:v>1:0</x:v>
      </x:c>
      <x:c r="K27" s="76" t="str">
        <x:v>ТБ 2,75 всего матча</x:v>
      </x:c>
      <x:c r="L27" s="73" t="n">
        <x:v>2.75</x:v>
      </x:c>
      <x:c r="M27" s="73" t="n">
        <x:v>1.925</x:v>
      </x:c>
      <x:c r="N27" s="64" t="str">
        <x:v>1-0</x:v>
      </x:c>
      <x:c r="O27" s="67" t="n">
        <x:v>1</x:v>
      </x:c>
      <x:c r="P27" s="67" t="n">
        <x:v>0</x:v>
      </x:c>
      <x:c r="Q27" s="64" t="str">
        <x:v>Поражение</x:v>
      </x:c>
      <x:c r="R27" s="73" t="n">
        <x:v>-1</x:v>
      </x:c>
      <x:c r="S27" s="76" t="str">
        <x:v>BetsAPI event ID 13217859</x:v>
      </x:c>
    </x:row>
    <x:row r="28" ht="30" customHeight="1">
      <x:c r="A28" s="67" t="n">
        <x:v>23</x:v>
      </x:c>
      <x:c r="B28" s="70" t="str">
        <x:v>13.10.2026 21:27</x:v>
      </x:c>
      <x:c r="C28" s="64" t="str">
        <x:v>Live</x:v>
      </x:c>
      <x:c r="D28" s="64" t="str">
        <x:v>До правила топ-5</x:v>
      </x:c>
      <x:c r="E28" s="64" t="str">
        <x:v>Live 21:27</x:v>
      </x:c>
      <x:c r="F28" s="64" t="str">
        <x:v>12375322</x:v>
      </x:c>
      <x:c r="G28" s="76" t="str">
        <x:v>Египет - Первый дивизион</x:v>
      </x:c>
      <x:c r="H28" s="76" t="str">
        <x:v>Петроджет - Вади Дегла</x:v>
      </x:c>
      <x:c r="I28" s="67" t="n">
        <x:v>59</x:v>
      </x:c>
      <x:c r="J28" s="64" t="str">
        <x:v>1:2</x:v>
      </x:c>
      <x:c r="K28" s="76" t="str">
        <x:v>ТБ 4 всего матча</x:v>
      </x:c>
      <x:c r="L28" s="73" t="n">
        <x:v>4</x:v>
      </x:c>
      <x:c r="M28" s="73" t="n">
        <x:v>1.975</x:v>
      </x:c>
      <x:c r="N28" s="64" t="str">
        <x:v>2-2</x:v>
      </x:c>
      <x:c r="O28" s="67" t="n">
        <x:v>4</x:v>
      </x:c>
      <x:c r="P28" s="67" t="n">
        <x:v>1</x:v>
      </x:c>
      <x:c r="Q28" s="64" t="str">
        <x:v>Возврат</x:v>
      </x:c>
      <x:c r="R28" s="73" t="n">
        <x:v>0</x:v>
      </x:c>
      <x:c r="S28" s="76" t="str">
        <x:v>BetsAPI event ID 12375322</x:v>
      </x:c>
    </x:row>
    <x:row r="29" ht="30" customHeight="1">
      <x:c r="A29" s="67" t="n">
        <x:v>24</x:v>
      </x:c>
      <x:c r="B29" s="70" t="str">
        <x:v>13.10.2026 21:37</x:v>
      </x:c>
      <x:c r="C29" s="64" t="str">
        <x:v>Live</x:v>
      </x:c>
      <x:c r="D29" s="64" t="str">
        <x:v>До правила топ-5</x:v>
      </x:c>
      <x:c r="E29" s="64" t="str">
        <x:v>Live 21:37</x:v>
      </x:c>
      <x:c r="F29" s="64" t="str">
        <x:v>12407688</x:v>
      </x:c>
      <x:c r="G29" s="76" t="str">
        <x:v>Англия - Трофей Английской лиги</x:v>
      </x:c>
      <x:c r="H29" s="76" t="str">
        <x:v>Олдем - Лидс U21</x:v>
      </x:c>
      <x:c r="I29" s="67" t="n">
        <x:v>37</x:v>
      </x:c>
      <x:c r="J29" s="64" t="str">
        <x:v>1:1</x:v>
      </x:c>
      <x:c r="K29" s="76" t="str">
        <x:v>ТБ 4,25 всего матча</x:v>
      </x:c>
      <x:c r="L29" s="73" t="n">
        <x:v>4.25</x:v>
      </x:c>
      <x:c r="M29" s="73" t="n">
        <x:v>2</x:v>
      </x:c>
      <x:c r="N29" s="64" t="str">
        <x:v>4-2</x:v>
      </x:c>
      <x:c r="O29" s="67" t="n">
        <x:v>6</x:v>
      </x:c>
      <x:c r="P29" s="67" t="n">
        <x:v>4</x:v>
      </x:c>
      <x:c r="Q29" s="64" t="str">
        <x:v>Выигрыш</x:v>
      </x:c>
      <x:c r="R29" s="73" t="n">
        <x:v>1</x:v>
      </x:c>
      <x:c r="S29" s="76" t="str">
        <x:v>BetsAPI event ID 12407688</x:v>
      </x:c>
    </x:row>
    <x:row r="30" ht="30" customHeight="1">
      <x:c r="A30" s="67" t="n">
        <x:v>25</x:v>
      </x:c>
      <x:c r="B30" s="70" t="str">
        <x:v>13.10.2026 21:37</x:v>
      </x:c>
      <x:c r="C30" s="64" t="str">
        <x:v>Live</x:v>
      </x:c>
      <x:c r="D30" s="64" t="str">
        <x:v>До правила топ-5</x:v>
      </x:c>
      <x:c r="E30" s="64" t="str">
        <x:v>Live 21:37</x:v>
      </x:c>
      <x:c r="F30" s="64" t="str">
        <x:v>13285866</x:v>
      </x:c>
      <x:c r="G30" s="76" t="str">
        <x:v>Бразилия - Кубок Гояс U20</x:v>
      </x:c>
      <x:c r="H30" s="76" t="str">
        <x:v>Апаресида U20 - Итаусу U20</x:v>
      </x:c>
      <x:c r="I30" s="67" t="n">
        <x:v>38</x:v>
      </x:c>
      <x:c r="J30" s="64" t="str">
        <x:v>0:1</x:v>
      </x:c>
      <x:c r="K30" s="76" t="str">
        <x:v>ТБ 2,75 всего матча</x:v>
      </x:c>
      <x:c r="L30" s="73" t="n">
        <x:v>2.75</x:v>
      </x:c>
      <x:c r="M30" s="73" t="n">
        <x:v>1.825</x:v>
      </x:c>
      <x:c r="N30" s="64" t="str">
        <x:v>2-3</x:v>
      </x:c>
      <x:c r="O30" s="67" t="n">
        <x:v>5</x:v>
      </x:c>
      <x:c r="P30" s="67" t="n">
        <x:v>4</x:v>
      </x:c>
      <x:c r="Q30" s="64" t="str">
        <x:v>Выигрыш</x:v>
      </x:c>
      <x:c r="R30" s="73" t="n">
        <x:v>0.825</x:v>
      </x:c>
      <x:c r="S30" s="76" t="str">
        <x:v>BetsAPI event ID 13285866</x:v>
      </x:c>
    </x:row>
    <x:row r="31" ht="30" customHeight="1">
      <x:c r="A31" s="67" t="n">
        <x:v>26</x:v>
      </x:c>
      <x:c r="B31" s="70" t="str">
        <x:v>13.10.2026 21:37</x:v>
      </x:c>
      <x:c r="C31" s="64" t="str">
        <x:v>Live</x:v>
      </x:c>
      <x:c r="D31" s="64" t="str">
        <x:v>До правила топ-5</x:v>
      </x:c>
      <x:c r="E31" s="64" t="str">
        <x:v>Live 21:37</x:v>
      </x:c>
      <x:c r="F31" s="64" t="str">
        <x:v>12403337</x:v>
      </x:c>
      <x:c r="G31" s="76" t="str">
        <x:v>Англия - Кубок Национальной лиги</x:v>
      </x:c>
      <x:c r="H31" s="76" t="str">
        <x:v>Хартлпул - Ньюкасл U21</x:v>
      </x:c>
      <x:c r="I31" s="67" t="n">
        <x:v>37</x:v>
      </x:c>
      <x:c r="J31" s="64" t="str">
        <x:v>1:2</x:v>
      </x:c>
      <x:c r="K31" s="76" t="str">
        <x:v>ТБ 5,25 всего матча</x:v>
      </x:c>
      <x:c r="L31" s="73" t="n">
        <x:v>5.25</x:v>
      </x:c>
      <x:c r="M31" s="73" t="n">
        <x:v>1.95</x:v>
      </x:c>
      <x:c r="N31" s="64" t="str">
        <x:v>1-2</x:v>
      </x:c>
      <x:c r="O31" s="67" t="n">
        <x:v>3</x:v>
      </x:c>
      <x:c r="P31" s="67" t="n">
        <x:v>0</x:v>
      </x:c>
      <x:c r="Q31" s="64" t="str">
        <x:v>Поражение</x:v>
      </x:c>
      <x:c r="R31" s="73" t="n">
        <x:v>-1</x:v>
      </x:c>
      <x:c r="S31" s="76" t="str">
        <x:v>BetsAPI event ID 12403337</x:v>
      </x:c>
    </x:row>
    <x:row r="32" ht="30" customHeight="1">
      <x:c r="A32" s="67" t="n">
        <x:v>27</x:v>
      </x:c>
      <x:c r="B32" s="70" t="str">
        <x:v>13.10.2026 21:37</x:v>
      </x:c>
      <x:c r="C32" s="64" t="str">
        <x:v>Live</x:v>
      </x:c>
      <x:c r="D32" s="64" t="str">
        <x:v>До правила топ-5</x:v>
      </x:c>
      <x:c r="E32" s="64" t="str">
        <x:v>Live 21:37</x:v>
      </x:c>
      <x:c r="F32" s="64" t="str">
        <x:v>12403104</x:v>
      </x:c>
      <x:c r="G32" s="76" t="str">
        <x:v>Англия - Кубок Национальной лиги</x:v>
      </x:c>
      <x:c r="H32" s="76" t="str">
        <x:v>Саттон Юнайтед - Вест Бромвич U21</x:v>
      </x:c>
      <x:c r="I32" s="67" t="n">
        <x:v>37</x:v>
      </x:c>
      <x:c r="J32" s="64" t="str">
        <x:v>2:1</x:v>
      </x:c>
      <x:c r="K32" s="76" t="str">
        <x:v>ТБ 5,25 всего матча</x:v>
      </x:c>
      <x:c r="L32" s="73" t="n">
        <x:v>5.25</x:v>
      </x:c>
      <x:c r="M32" s="73" t="n">
        <x:v>1.825</x:v>
      </x:c>
      <x:c r="N32" s="64" t="str">
        <x:v>3-2</x:v>
      </x:c>
      <x:c r="O32" s="67" t="n">
        <x:v>5</x:v>
      </x:c>
      <x:c r="P32" s="67" t="n">
        <x:v>2</x:v>
      </x:c>
      <x:c r="Q32" s="64" t="str">
        <x:v>Полупроигрыш</x:v>
      </x:c>
      <x:c r="R32" s="73" t="n">
        <x:v>-0.5</x:v>
      </x:c>
      <x:c r="S32" s="76" t="str">
        <x:v>BetsAPI event ID 12403104</x:v>
      </x:c>
    </x:row>
    <x:row r="33" ht="30" customHeight="1">
      <x:c r="A33" s="67" t="n">
        <x:v>28</x:v>
      </x:c>
      <x:c r="B33" s="70" t="str">
        <x:v>13.10.2026 21:37</x:v>
      </x:c>
      <x:c r="C33" s="64" t="str">
        <x:v>Live</x:v>
      </x:c>
      <x:c r="D33" s="64" t="str">
        <x:v>До правила топ-5</x:v>
      </x:c>
      <x:c r="E33" s="64" t="str">
        <x:v>Live 21:37</x:v>
      </x:c>
      <x:c r="F33" s="64" t="str">
        <x:v>12319683</x:v>
      </x:c>
      <x:c r="G33" s="76" t="str">
        <x:v>ЮАР - Премьер-лига</x:v>
      </x:c>
      <x:c r="H33" s="76" t="str">
        <x:v>Дурбан Сити - Амазулу</x:v>
      </x:c>
      <x:c r="I33" s="67" t="n">
        <x:v>47</x:v>
      </x:c>
      <x:c r="J33" s="64" t="str">
        <x:v>0:2</x:v>
      </x:c>
      <x:c r="K33" s="76" t="str">
        <x:v>ТБ 3,25 всего матча</x:v>
      </x:c>
      <x:c r="L33" s="73" t="n">
        <x:v>3.25</x:v>
      </x:c>
      <x:c r="M33" s="73" t="n">
        <x:v>1.975</x:v>
      </x:c>
      <x:c r="N33" s="64" t="str">
        <x:v>1-2</x:v>
      </x:c>
      <x:c r="O33" s="67" t="n">
        <x:v>3</x:v>
      </x:c>
      <x:c r="P33" s="67" t="n">
        <x:v>1</x:v>
      </x:c>
      <x:c r="Q33" s="64" t="str">
        <x:v>Полупроигрыш</x:v>
      </x:c>
      <x:c r="R33" s="73" t="n">
        <x:v>-0.5</x:v>
      </x:c>
      <x:c r="S33" s="76" t="str">
        <x:v>BetsAPI event ID 12319683</x:v>
      </x:c>
    </x:row>
    <x:row r="34" ht="30" customHeight="1">
      <x:c r="A34" s="67" t="n">
        <x:v>29</x:v>
      </x:c>
      <x:c r="B34" s="70" t="str">
        <x:v>13.10.2026 21:37</x:v>
      </x:c>
      <x:c r="C34" s="64" t="str">
        <x:v>Live</x:v>
      </x:c>
      <x:c r="D34" s="64" t="str">
        <x:v>До правила топ-5</x:v>
      </x:c>
      <x:c r="E34" s="64" t="str">
        <x:v>Live 21:37</x:v>
      </x:c>
      <x:c r="F34" s="64" t="str">
        <x:v>12319678</x:v>
      </x:c>
      <x:c r="G34" s="76" t="str">
        <x:v>ЮАР - Премьер-лига</x:v>
      </x:c>
      <x:c r="H34" s="76" t="str">
        <x:v>Ричардс-Бей - Мамелоди Сандаунс</x:v>
      </x:c>
      <x:c r="I34" s="67" t="n">
        <x:v>47</x:v>
      </x:c>
      <x:c r="J34" s="64" t="str">
        <x:v>1:2</x:v>
      </x:c>
      <x:c r="K34" s="76" t="str">
        <x:v>ТБ 4,5 всего матча</x:v>
      </x:c>
      <x:c r="L34" s="73" t="n">
        <x:v>4.5</x:v>
      </x:c>
      <x:c r="M34" s="73" t="n">
        <x:v>1.9</x:v>
      </x:c>
      <x:c r="N34" s="64" t="str">
        <x:v>1-4</x:v>
      </x:c>
      <x:c r="O34" s="67" t="n">
        <x:v>5</x:v>
      </x:c>
      <x:c r="P34" s="67" t="n">
        <x:v>2</x:v>
      </x:c>
      <x:c r="Q34" s="64" t="str">
        <x:v>Выигрыш</x:v>
      </x:c>
      <x:c r="R34" s="73" t="n">
        <x:v>0.8999999999999999</x:v>
      </x:c>
      <x:c r="S34" s="76" t="str">
        <x:v>BetsAPI event ID 12319678</x:v>
      </x:c>
    </x:row>
    <x:row r="35" ht="30" customHeight="1">
      <x:c r="A35" s="67" t="n">
        <x:v>30</x:v>
      </x:c>
      <x:c r="B35" s="70" t="str">
        <x:v>13.10.2026 21:37</x:v>
      </x:c>
      <x:c r="C35" s="64" t="str">
        <x:v>Live</x:v>
      </x:c>
      <x:c r="D35" s="64" t="str">
        <x:v>До правила топ-5</x:v>
      </x:c>
      <x:c r="E35" s="64" t="str">
        <x:v>Live 21:37</x:v>
      </x:c>
      <x:c r="F35" s="64" t="str">
        <x:v>13246864</x:v>
      </x:c>
      <x:c r="G35" s="76" t="str">
        <x:v>Марокко - Ботола</x:v>
      </x:c>
      <x:c r="H35" s="76" t="str">
        <x:v>РСБ Беркан - Ренессанс Земамра</x:v>
      </x:c>
      <x:c r="I35" s="67" t="n">
        <x:v>37</x:v>
      </x:c>
      <x:c r="J35" s="64" t="str">
        <x:v>0:2</x:v>
      </x:c>
      <x:c r="K35" s="76" t="str">
        <x:v>ТБ 3,75 всего матча</x:v>
      </x:c>
      <x:c r="L35" s="73" t="n">
        <x:v>3.75</x:v>
      </x:c>
      <x:c r="M35" s="73" t="n">
        <x:v>1.975</x:v>
      </x:c>
      <x:c r="N35" s="64" t="str">
        <x:v>2-2</x:v>
      </x:c>
      <x:c r="O35" s="67" t="n">
        <x:v>4</x:v>
      </x:c>
      <x:c r="P35" s="67" t="n">
        <x:v>2</x:v>
      </x:c>
      <x:c r="Q35" s="64" t="str">
        <x:v>Полувыигрыш</x:v>
      </x:c>
      <x:c r="R35" s="73" t="n">
        <x:v>0.48750000000000004</x:v>
      </x:c>
      <x:c r="S35" s="76" t="str">
        <x:v>BetsAPI event ID 13246864</x:v>
      </x:c>
    </x:row>
    <x:row r="36" ht="30" customHeight="1">
      <x:c r="A36" s="67" t="n">
        <x:v>31</x:v>
      </x:c>
      <x:c r="B36" s="70" t="str">
        <x:v>13.10.2026 21:37</x:v>
      </x:c>
      <x:c r="C36" s="64" t="str">
        <x:v>Live</x:v>
      </x:c>
      <x:c r="D36" s="64" t="str">
        <x:v>До правила топ-5</x:v>
      </x:c>
      <x:c r="E36" s="64" t="str">
        <x:v>Live 21:37</x:v>
      </x:c>
      <x:c r="F36" s="64" t="str">
        <x:v>13267993</x:v>
      </x:c>
      <x:c r="G36" s="76" t="str">
        <x:v>Бразилия - Чемпионат Пернамбуку U20</x:v>
      </x:c>
      <x:c r="H36" s="76" t="str">
        <x:v>Америка ПЕ U20 - Ретро U20</x:v>
      </x:c>
      <x:c r="I36" s="67" t="n">
        <x:v>40</x:v>
      </x:c>
      <x:c r="J36" s="64" t="str">
        <x:v>0:0</x:v>
      </x:c>
      <x:c r="K36" s="76" t="str">
        <x:v>ТБ 1,75 всего матча</x:v>
      </x:c>
      <x:c r="L36" s="73" t="n">
        <x:v>1.75</x:v>
      </x:c>
      <x:c r="M36" s="73" t="n">
        <x:v>1.775</x:v>
      </x:c>
      <x:c r="N36" s="64" t="str">
        <x:v>0-4</x:v>
      </x:c>
      <x:c r="O36" s="67" t="n">
        <x:v>4</x:v>
      </x:c>
      <x:c r="P36" s="67" t="n">
        <x:v>4</x:v>
      </x:c>
      <x:c r="Q36" s="64" t="str">
        <x:v>Выигрыш</x:v>
      </x:c>
      <x:c r="R36" s="73" t="n">
        <x:v>0.7749999999999999</x:v>
      </x:c>
      <x:c r="S36" s="76" t="str">
        <x:v>BetsAPI event ID 13267993</x:v>
      </x:c>
    </x:row>
    <x:row r="37" ht="30" customHeight="1">
      <x:c r="A37" s="67" t="n">
        <x:v>32</x:v>
      </x:c>
      <x:c r="B37" s="70" t="str">
        <x:v>13.10.2026 21:37</x:v>
      </x:c>
      <x:c r="C37" s="64" t="str">
        <x:v>Live</x:v>
      </x:c>
      <x:c r="D37" s="64" t="str">
        <x:v>До правила топ-5</x:v>
      </x:c>
      <x:c r="E37" s="64" t="str">
        <x:v>Live 21:37</x:v>
      </x:c>
      <x:c r="F37" s="64" t="str">
        <x:v>12159729</x:v>
      </x:c>
      <x:c r="G37" s="76" t="str">
        <x:v>Австрия - Земельная лига</x:v>
      </x:c>
      <x:c r="H37" s="76" t="str">
        <x:v>Лебринг - Шладминг</x:v>
      </x:c>
      <x:c r="I37" s="67" t="n">
        <x:v>49</x:v>
      </x:c>
      <x:c r="J37" s="64" t="str">
        <x:v>1:0</x:v>
      </x:c>
      <x:c r="K37" s="76" t="str">
        <x:v>ТБ 2,5 всего матча</x:v>
      </x:c>
      <x:c r="L37" s="73" t="n">
        <x:v>2.5</x:v>
      </x:c>
      <x:c r="M37" s="73" t="n">
        <x:v>1.875</x:v>
      </x:c>
      <x:c r="N37" s="64" t="str">
        <x:v>4-0</x:v>
      </x:c>
      <x:c r="O37" s="67" t="n">
        <x:v>4</x:v>
      </x:c>
      <x:c r="P37" s="67" t="n">
        <x:v>3</x:v>
      </x:c>
      <x:c r="Q37" s="64" t="str">
        <x:v>Выигрыш</x:v>
      </x:c>
      <x:c r="R37" s="73" t="n">
        <x:v>0.875</x:v>
      </x:c>
      <x:c r="S37" s="76" t="str">
        <x:v>BetsAPI event ID 12159729</x:v>
      </x:c>
    </x:row>
    <x:row r="38" ht="30" customHeight="1">
      <x:c r="A38" s="67" t="n">
        <x:v>33</x:v>
      </x:c>
      <x:c r="B38" s="70" t="str">
        <x:v>13.10.2026 21:37</x:v>
      </x:c>
      <x:c r="C38" s="64" t="str">
        <x:v>Live</x:v>
      </x:c>
      <x:c r="D38" s="64" t="str">
        <x:v>До правила топ-5</x:v>
      </x:c>
      <x:c r="E38" s="64" t="str">
        <x:v>Live 21:37</x:v>
      </x:c>
      <x:c r="F38" s="64" t="str">
        <x:v>12063004</x:v>
      </x:c>
      <x:c r="G38" s="76" t="str">
        <x:v>Женщины - квалификация чемпионата мира</x:v>
      </x:c>
      <x:c r="H38" s="76" t="str">
        <x:v>Исландия - Хорватия</x:v>
      </x:c>
      <x:c r="I38" s="67" t="n">
        <x:v>51</x:v>
      </x:c>
      <x:c r="J38" s="64" t="str">
        <x:v>2:0</x:v>
      </x:c>
      <x:c r="K38" s="76" t="str">
        <x:v>ТБ 3,75 всего матча</x:v>
      </x:c>
      <x:c r="L38" s="73" t="n">
        <x:v>3.75</x:v>
      </x:c>
      <x:c r="M38" s="73" t="n">
        <x:v>1.95</x:v>
      </x:c>
      <x:c r="N38" s="64" t="str">
        <x:v>5-0</x:v>
      </x:c>
      <x:c r="O38" s="67" t="n">
        <x:v>5</x:v>
      </x:c>
      <x:c r="P38" s="67" t="n">
        <x:v>3</x:v>
      </x:c>
      <x:c r="Q38" s="64" t="str">
        <x:v>Выигрыш</x:v>
      </x:c>
      <x:c r="R38" s="73" t="n">
        <x:v>0.95</x:v>
      </x:c>
      <x:c r="S38" s="76" t="str">
        <x:v>BetsAPI event ID 12063004</x:v>
      </x:c>
    </x:row>
    <x:row r="39" ht="30" customHeight="1">
      <x:c r="A39" s="67" t="n">
        <x:v>34</x:v>
      </x:c>
      <x:c r="B39" s="70" t="str">
        <x:v>13.10.2026 21:50</x:v>
      </x:c>
      <x:c r="C39" s="64" t="str">
        <x:v>Live</x:v>
      </x:c>
      <x:c r="D39" s="64" t="str">
        <x:v>До правила топ-5</x:v>
      </x:c>
      <x:c r="E39" s="64" t="str">
        <x:v>Live 21:50</x:v>
      </x:c>
      <x:c r="F39" s="64" t="str">
        <x:v>13288669</x:v>
      </x:c>
      <x:c r="G39" s="76" t="str">
        <x:v>Польша - IV лига</x:v>
      </x:c>
      <x:c r="H39" s="76" t="str">
        <x:v>Полония Лазиска-Гурне - Пшемша-Севеж</x:v>
      </x:c>
      <x:c r="I39" s="67" t="n">
        <x:v>55</x:v>
      </x:c>
      <x:c r="J39" s="64" t="str">
        <x:v>0:0</x:v>
      </x:c>
      <x:c r="K39" s="76" t="str">
        <x:v>ТБ 1,25 всего матча</x:v>
      </x:c>
      <x:c r="L39" s="73" t="n">
        <x:v>1.25</x:v>
      </x:c>
      <x:c r="M39" s="73" t="n">
        <x:v>1.875</x:v>
      </x:c>
      <x:c r="N39" s="64" t="str">
        <x:v>0-0</x:v>
      </x:c>
      <x:c r="O39" s="67" t="n">
        <x:v>0</x:v>
      </x:c>
      <x:c r="P39" s="67" t="n">
        <x:v>0</x:v>
      </x:c>
      <x:c r="Q39" s="64" t="str">
        <x:v>Поражение</x:v>
      </x:c>
      <x:c r="R39" s="73" t="n">
        <x:v>-1</x:v>
      </x:c>
      <x:c r="S39" s="76" t="str">
        <x:v>BetsAPI event ID 13288669</x:v>
      </x:c>
    </x:row>
    <x:row r="40" ht="30" customHeight="1">
      <x:c r="A40" s="67" t="n">
        <x:v>35</x:v>
      </x:c>
      <x:c r="B40" s="70" t="str">
        <x:v>13.10.2026 21:50</x:v>
      </x:c>
      <x:c r="C40" s="64" t="str">
        <x:v>Live</x:v>
      </x:c>
      <x:c r="D40" s="64" t="str">
        <x:v>До правила топ-5</x:v>
      </x:c>
      <x:c r="E40" s="64" t="str">
        <x:v>Live 21:50</x:v>
      </x:c>
      <x:c r="F40" s="64" t="str">
        <x:v>12407699</x:v>
      </x:c>
      <x:c r="G40" s="76" t="str">
        <x:v>Англия - Трофей Английской лиги</x:v>
      </x:c>
      <x:c r="H40" s="76" t="str">
        <x:v>Челтнем - Тоттенхэм U21</x:v>
      </x:c>
      <x:c r="I40" s="67" t="n">
        <x:v>45</x:v>
      </x:c>
      <x:c r="J40" s="64" t="str">
        <x:v>1:0</x:v>
      </x:c>
      <x:c r="K40" s="76" t="str">
        <x:v>ТБ 3 всего матча</x:v>
      </x:c>
      <x:c r="L40" s="73" t="n">
        <x:v>3</x:v>
      </x:c>
      <x:c r="M40" s="73" t="n">
        <x:v>1.85</x:v>
      </x:c>
      <x:c r="N40" s="64" t="str">
        <x:v>2-2</x:v>
      </x:c>
      <x:c r="O40" s="67" t="n">
        <x:v>4</x:v>
      </x:c>
      <x:c r="P40" s="67" t="n">
        <x:v>3</x:v>
      </x:c>
      <x:c r="Q40" s="64" t="str">
        <x:v>Выигрыш</x:v>
      </x:c>
      <x:c r="R40" s="73" t="n">
        <x:v>0.8500000000000001</x:v>
      </x:c>
      <x:c r="S40" s="76" t="str">
        <x:v>BetsAPI event ID 12407699</x:v>
      </x:c>
    </x:row>
    <x:row r="41" ht="30" customHeight="1">
      <x:c r="A41" s="67" t="n">
        <x:v>36</x:v>
      </x:c>
      <x:c r="B41" s="70" t="str">
        <x:v>13.10.2026 21:50</x:v>
      </x:c>
      <x:c r="C41" s="64" t="str">
        <x:v>Live</x:v>
      </x:c>
      <x:c r="D41" s="64" t="str">
        <x:v>До правила топ-5</x:v>
      </x:c>
      <x:c r="E41" s="64" t="str">
        <x:v>Live 21:50</x:v>
      </x:c>
      <x:c r="F41" s="64" t="str">
        <x:v>12457698</x:v>
      </x:c>
      <x:c r="G41" s="76" t="str">
        <x:v>Азия - Лига чемпионов АФК</x:v>
      </x:c>
      <x:c r="H41" s="76" t="str">
        <x:v>Аль-Иттихад Джидда - Шабаб Аль-Ахли</x:v>
      </x:c>
      <x:c r="I41" s="67" t="n">
        <x:v>35</x:v>
      </x:c>
      <x:c r="J41" s="64" t="str">
        <x:v>0:2</x:v>
      </x:c>
      <x:c r="K41" s="76" t="str">
        <x:v>ТБ 4,25 всего матча</x:v>
      </x:c>
      <x:c r="L41" s="73" t="n">
        <x:v>4.25</x:v>
      </x:c>
      <x:c r="M41" s="73" t="n">
        <x:v>2.025</x:v>
      </x:c>
      <x:c r="N41" s="64" t="str">
        <x:v>1-2</x:v>
      </x:c>
      <x:c r="O41" s="67" t="n">
        <x:v>3</x:v>
      </x:c>
      <x:c r="P41" s="67" t="n">
        <x:v>1</x:v>
      </x:c>
      <x:c r="Q41" s="64" t="str">
        <x:v>Поражение</x:v>
      </x:c>
      <x:c r="R41" s="73" t="n">
        <x:v>-1</x:v>
      </x:c>
      <x:c r="S41" s="76" t="str">
        <x:v>BetsAPI event ID 12457698</x:v>
      </x:c>
    </x:row>
    <x:row r="42" ht="30" customHeight="1">
      <x:c r="A42" s="67" t="n">
        <x:v>37</x:v>
      </x:c>
      <x:c r="B42" s="70" t="str">
        <x:v>13.10.2026 21:50</x:v>
      </x:c>
      <x:c r="C42" s="64" t="str">
        <x:v>Live</x:v>
      </x:c>
      <x:c r="D42" s="64" t="str">
        <x:v>До правила топ-5</x:v>
      </x:c>
      <x:c r="E42" s="64" t="str">
        <x:v>Live 21:50</x:v>
      </x:c>
      <x:c r="F42" s="64" t="str">
        <x:v>13285299</x:v>
      </x:c>
      <x:c r="G42" s="76" t="str">
        <x:v>Аргентина - Лига резервов</x:v>
      </x:c>
      <x:c r="H42" s="76" t="str">
        <x:v>Док-Суд резерв - Дефенсорес Унидос резерв</x:v>
      </x:c>
      <x:c r="I42" s="67" t="n">
        <x:v>45</x:v>
      </x:c>
      <x:c r="J42" s="64" t="str">
        <x:v>2:1</x:v>
      </x:c>
      <x:c r="K42" s="76" t="str">
        <x:v>ТБ 4,5 всего матча</x:v>
      </x:c>
      <x:c r="L42" s="73" t="n">
        <x:v>4.5</x:v>
      </x:c>
      <x:c r="M42" s="73" t="n">
        <x:v>1.9</x:v>
      </x:c>
      <x:c r="N42" s="64" t="str">
        <x:v>4-1</x:v>
      </x:c>
      <x:c r="O42" s="67" t="n">
        <x:v>5</x:v>
      </x:c>
      <x:c r="P42" s="67" t="n">
        <x:v>2</x:v>
      </x:c>
      <x:c r="Q42" s="64" t="str">
        <x:v>Выигрыш</x:v>
      </x:c>
      <x:c r="R42" s="73" t="n">
        <x:v>0.8999999999999999</x:v>
      </x:c>
      <x:c r="S42" s="76" t="str">
        <x:v>BetsAPI event ID 13285299</x:v>
      </x:c>
    </x:row>
    <x:row r="43" ht="30" customHeight="1">
      <x:c r="A43" s="67" t="n">
        <x:v>38</x:v>
      </x:c>
      <x:c r="B43" s="70" t="str">
        <x:v>13.10.2026 21:50</x:v>
      </x:c>
      <x:c r="C43" s="64" t="str">
        <x:v>Live</x:v>
      </x:c>
      <x:c r="D43" s="64" t="str">
        <x:v>До правила топ-5</x:v>
      </x:c>
      <x:c r="E43" s="64" t="str">
        <x:v>Live 21:50</x:v>
      </x:c>
      <x:c r="F43" s="64" t="str">
        <x:v>12319680</x:v>
      </x:c>
      <x:c r="G43" s="76" t="str">
        <x:v>ЮАР - Премьер-лига</x:v>
      </x:c>
      <x:c r="H43" s="76" t="str">
        <x:v>Кайзер Чифс - Стелленбос</x:v>
      </x:c>
      <x:c r="I43" s="67" t="n">
        <x:v>60</x:v>
      </x:c>
      <x:c r="J43" s="64" t="str">
        <x:v>1:1</x:v>
      </x:c>
      <x:c r="K43" s="76" t="str">
        <x:v>ТБ 2,75 всего матча</x:v>
      </x:c>
      <x:c r="L43" s="73" t="n">
        <x:v>2.75</x:v>
      </x:c>
      <x:c r="M43" s="73" t="n">
        <x:v>1.95</x:v>
      </x:c>
      <x:c r="N43" s="64" t="str">
        <x:v>1-1</x:v>
      </x:c>
      <x:c r="O43" s="67" t="n">
        <x:v>2</x:v>
      </x:c>
      <x:c r="P43" s="67" t="n">
        <x:v>0</x:v>
      </x:c>
      <x:c r="Q43" s="64" t="str">
        <x:v>Поражение</x:v>
      </x:c>
      <x:c r="R43" s="73" t="n">
        <x:v>-1</x:v>
      </x:c>
      <x:c r="S43" s="76" t="str">
        <x:v>BetsAPI event ID 12319680</x:v>
      </x:c>
    </x:row>
    <x:row r="44" ht="30" customHeight="1">
      <x:c r="A44" s="67" t="n">
        <x:v>39</x:v>
      </x:c>
      <x:c r="B44" s="70" t="str">
        <x:v>13.10.2026 21:50</x:v>
      </x:c>
      <x:c r="C44" s="64" t="str">
        <x:v>Live</x:v>
      </x:c>
      <x:c r="D44" s="64" t="str">
        <x:v>До правила топ-5</x:v>
      </x:c>
      <x:c r="E44" s="64" t="str">
        <x:v>Live 21:50</x:v>
      </x:c>
      <x:c r="F44" s="64" t="str">
        <x:v>13217858</x:v>
      </x:c>
      <x:c r="G44" s="76" t="str">
        <x:v>Аргентина - Лига профессиональных резервов</x:v>
      </x:c>
      <x:c r="H44" s="76" t="str">
        <x:v>Атлетико Рафаэла резерв - Эстудиантес Рио-Куарто резерв</x:v>
      </x:c>
      <x:c r="I44" s="67" t="n">
        <x:v>30</x:v>
      </x:c>
      <x:c r="J44" s="64" t="str">
        <x:v>0:0</x:v>
      </x:c>
      <x:c r="K44" s="76" t="str">
        <x:v>ТБ 1,5 всего матча</x:v>
      </x:c>
      <x:c r="L44" s="73" t="n">
        <x:v>1.5</x:v>
      </x:c>
      <x:c r="M44" s="73" t="n">
        <x:v>1.9</x:v>
      </x:c>
      <x:c r="N44" s="64" t="str">
        <x:v>1-1</x:v>
      </x:c>
      <x:c r="O44" s="67" t="n">
        <x:v>2</x:v>
      </x:c>
      <x:c r="P44" s="67" t="n">
        <x:v>2</x:v>
      </x:c>
      <x:c r="Q44" s="64" t="str">
        <x:v>Выигрыш</x:v>
      </x:c>
      <x:c r="R44" s="73" t="n">
        <x:v>0.8999999999999999</x:v>
      </x:c>
      <x:c r="S44" s="76" t="str">
        <x:v>BetsAPI event ID 13217858</x:v>
      </x:c>
    </x:row>
    <x:row r="45" ht="30" customHeight="1">
      <x:c r="A45" s="67" t="n">
        <x:v>40</x:v>
      </x:c>
      <x:c r="B45" s="70" t="str">
        <x:v>13.10.2026 21:50</x:v>
      </x:c>
      <x:c r="C45" s="64" t="str">
        <x:v>Live</x:v>
      </x:c>
      <x:c r="D45" s="64" t="str">
        <x:v>До правила топ-5</x:v>
      </x:c>
      <x:c r="E45" s="64" t="str">
        <x:v>Live 21:50</x:v>
      </x:c>
      <x:c r="F45" s="64" t="str">
        <x:v>13285298</x:v>
      </x:c>
      <x:c r="G45" s="76" t="str">
        <x:v>Аргентина - Лига резервов</x:v>
      </x:c>
      <x:c r="H45" s="76" t="str">
        <x:v>Кильмес резерв - Депортиво Арменио резерв</x:v>
      </x:c>
      <x:c r="I45" s="67" t="n">
        <x:v>40</x:v>
      </x:c>
      <x:c r="J45" s="64" t="str">
        <x:v>1:0</x:v>
      </x:c>
      <x:c r="K45" s="76" t="str">
        <x:v>ТБ 2,5 всего матча</x:v>
      </x:c>
      <x:c r="L45" s="73" t="n">
        <x:v>2.5</x:v>
      </x:c>
      <x:c r="M45" s="73" t="n">
        <x:v>2</x:v>
      </x:c>
      <x:c r="N45" s="64" t="str">
        <x:v>3-0</x:v>
      </x:c>
      <x:c r="O45" s="67" t="n">
        <x:v>3</x:v>
      </x:c>
      <x:c r="P45" s="67" t="n">
        <x:v>2</x:v>
      </x:c>
      <x:c r="Q45" s="64" t="str">
        <x:v>Выигрыш</x:v>
      </x:c>
      <x:c r="R45" s="73" t="n">
        <x:v>1</x:v>
      </x:c>
      <x:c r="S45" s="76" t="str">
        <x:v>BetsAPI event ID 13285298</x:v>
      </x:c>
    </x:row>
    <x:row r="46" ht="30" customHeight="1">
      <x:c r="A46" s="67" t="n">
        <x:v>41</x:v>
      </x:c>
      <x:c r="B46" s="70" t="str">
        <x:v>13.10.2026 21:50</x:v>
      </x:c>
      <x:c r="C46" s="64" t="str">
        <x:v>Live</x:v>
      </x:c>
      <x:c r="D46" s="64" t="str">
        <x:v>До правила топ-5</x:v>
      </x:c>
      <x:c r="E46" s="64" t="str">
        <x:v>Live 21:50</x:v>
      </x:c>
      <x:c r="F46" s="64" t="str">
        <x:v>12062985</x:v>
      </x:c>
      <x:c r="G46" s="76" t="str">
        <x:v>Женщины - квалификация чемпионата мира</x:v>
      </x:c>
      <x:c r="H46" s="76" t="str">
        <x:v>Португалия - Северная Ирландия</x:v>
      </x:c>
      <x:c r="I46" s="67" t="n">
        <x:v>35</x:v>
      </x:c>
      <x:c r="J46" s="64" t="str">
        <x:v>0:1</x:v>
      </x:c>
      <x:c r="K46" s="76" t="str">
        <x:v>ТБ 3 всего матча</x:v>
      </x:c>
      <x:c r="L46" s="73" t="n">
        <x:v>3</x:v>
      </x:c>
      <x:c r="M46" s="73" t="n">
        <x:v>1.8</x:v>
      </x:c>
      <x:c r="N46" s="64" t="str">
        <x:v>3-1</x:v>
      </x:c>
      <x:c r="O46" s="67" t="n">
        <x:v>4</x:v>
      </x:c>
      <x:c r="P46" s="67" t="n">
        <x:v>3</x:v>
      </x:c>
      <x:c r="Q46" s="64" t="str">
        <x:v>Выигрыш</x:v>
      </x:c>
      <x:c r="R46" s="73" t="n">
        <x:v>0.8</x:v>
      </x:c>
      <x:c r="S46" s="76" t="str">
        <x:v>BetsAPI event ID 12062985</x:v>
      </x:c>
    </x:row>
    <x:row r="47" ht="30" customHeight="1">
      <x:c r="A47" s="67" t="n">
        <x:v>42</x:v>
      </x:c>
      <x:c r="B47" s="70" t="str">
        <x:v>13.10.2026 21:50</x:v>
      </x:c>
      <x:c r="C47" s="64" t="str">
        <x:v>Live</x:v>
      </x:c>
      <x:c r="D47" s="64" t="str">
        <x:v>До правила топ-5</x:v>
      </x:c>
      <x:c r="E47" s="64" t="str">
        <x:v>Live 21:50</x:v>
      </x:c>
      <x:c r="F47" s="64" t="str">
        <x:v>13217800</x:v>
      </x:c>
      <x:c r="G47" s="76" t="str">
        <x:v>Аргентина - Лига профессиональных резервов</x:v>
      </x:c>
      <x:c r="H47" s="76" t="str">
        <x:v>Индепендьенте резерв - Уракан резерв</x:v>
      </x:c>
      <x:c r="I47" s="67" t="n">
        <x:v>45</x:v>
      </x:c>
      <x:c r="J47" s="64" t="str">
        <x:v>2:0</x:v>
      </x:c>
      <x:c r="K47" s="76" t="str">
        <x:v>ТБ 3,5 всего матча</x:v>
      </x:c>
      <x:c r="L47" s="73" t="n">
        <x:v>3.5</x:v>
      </x:c>
      <x:c r="M47" s="73" t="n">
        <x:v>2</x:v>
      </x:c>
      <x:c r="N47" s="64" t="str">
        <x:v>3-0</x:v>
      </x:c>
      <x:c r="O47" s="67" t="n">
        <x:v>3</x:v>
      </x:c>
      <x:c r="P47" s="67" t="n">
        <x:v>1</x:v>
      </x:c>
      <x:c r="Q47" s="64" t="str">
        <x:v>Поражение</x:v>
      </x:c>
      <x:c r="R47" s="73" t="n">
        <x:v>-1</x:v>
      </x:c>
      <x:c r="S47" s="76" t="str">
        <x:v>BetsAPI event ID 13217800</x:v>
      </x:c>
    </x:row>
    <x:row r="48" ht="30" customHeight="1">
      <x:c r="A48" s="67" t="n">
        <x:v>43</x:v>
      </x:c>
      <x:c r="B48" s="70" t="str">
        <x:v>13.10.2026 21:50</x:v>
      </x:c>
      <x:c r="C48" s="64" t="str">
        <x:v>Live</x:v>
      </x:c>
      <x:c r="D48" s="64" t="str">
        <x:v>До правила топ-5</x:v>
      </x:c>
      <x:c r="E48" s="64" t="str">
        <x:v>Live 21:50</x:v>
      </x:c>
      <x:c r="F48" s="64" t="str">
        <x:v>12407276</x:v>
      </x:c>
      <x:c r="G48" s="76" t="str">
        <x:v>Англия - Трофей Английской лиги</x:v>
      </x:c>
      <x:c r="H48" s="76" t="str">
        <x:v>Рединг - Челси U21</x:v>
      </x:c>
      <x:c r="I48" s="67" t="n">
        <x:v>45</x:v>
      </x:c>
      <x:c r="J48" s="64" t="str">
        <x:v>0:2</x:v>
      </x:c>
      <x:c r="K48" s="76" t="str">
        <x:v>ТБ 4 всего матча</x:v>
      </x:c>
      <x:c r="L48" s="73" t="n">
        <x:v>4</x:v>
      </x:c>
      <x:c r="M48" s="73" t="n">
        <x:v>1.8</x:v>
      </x:c>
      <x:c r="N48" s="64" t="str">
        <x:v>0-2</x:v>
      </x:c>
      <x:c r="O48" s="67" t="n">
        <x:v>2</x:v>
      </x:c>
      <x:c r="P48" s="67" t="n">
        <x:v>0</x:v>
      </x:c>
      <x:c r="Q48" s="64" t="str">
        <x:v>Поражение</x:v>
      </x:c>
      <x:c r="R48" s="73" t="n">
        <x:v>-1</x:v>
      </x:c>
      <x:c r="S48" s="76" t="str">
        <x:v>BetsAPI event ID 12407276</x:v>
      </x:c>
    </x:row>
    <x:row r="49" ht="30" customHeight="1">
      <x:c r="A49" s="67" t="n">
        <x:v>44</x:v>
      </x:c>
      <x:c r="B49" s="70" t="str">
        <x:v>13.10.2026 21:50</x:v>
      </x:c>
      <x:c r="C49" s="64" t="str">
        <x:v>Live</x:v>
      </x:c>
      <x:c r="D49" s="64" t="str">
        <x:v>До правила топ-5</x:v>
      </x:c>
      <x:c r="E49" s="64" t="str">
        <x:v>Live 21:50</x:v>
      </x:c>
      <x:c r="F49" s="64" t="str">
        <x:v>12403134</x:v>
      </x:c>
      <x:c r="G49" s="76" t="str">
        <x:v>Англия - Кубок Национальной лиги</x:v>
      </x:c>
      <x:c r="H49" s="76" t="str">
        <x:v>Сканторп - Дерби U21</x:v>
      </x:c>
      <x:c r="I49" s="67" t="n">
        <x:v>45</x:v>
      </x:c>
      <x:c r="J49" s="64" t="str">
        <x:v>2:0</x:v>
      </x:c>
      <x:c r="K49" s="76" t="str">
        <x:v>ТБ 3,75 всего матча</x:v>
      </x:c>
      <x:c r="L49" s="73" t="n">
        <x:v>3.75</x:v>
      </x:c>
      <x:c r="M49" s="73" t="n">
        <x:v>1.925</x:v>
      </x:c>
      <x:c r="N49" s="64" t="str">
        <x:v>2-2</x:v>
      </x:c>
      <x:c r="O49" s="67" t="n">
        <x:v>4</x:v>
      </x:c>
      <x:c r="P49" s="67" t="n">
        <x:v>2</x:v>
      </x:c>
      <x:c r="Q49" s="64" t="str">
        <x:v>Полувыигрыш</x:v>
      </x:c>
      <x:c r="R49" s="73" t="n">
        <x:v>0.4625</x:v>
      </x:c>
      <x:c r="S49" s="76" t="str">
        <x:v>BetsAPI event ID 12403134</x:v>
      </x:c>
    </x:row>
    <x:row r="50" ht="30" customHeight="1">
      <x:c r="A50" s="67" t="n">
        <x:v>45</x:v>
      </x:c>
      <x:c r="B50" s="70" t="str">
        <x:v>13.10.2026 21:50</x:v>
      </x:c>
      <x:c r="C50" s="64" t="str">
        <x:v>Live</x:v>
      </x:c>
      <x:c r="D50" s="64" t="str">
        <x:v>До правила топ-5</x:v>
      </x:c>
      <x:c r="E50" s="64" t="str">
        <x:v>Live 21:50</x:v>
      </x:c>
      <x:c r="F50" s="64" t="str">
        <x:v>12411994</x:v>
      </x:c>
      <x:c r="G50" s="76" t="str">
        <x:v>Англия - Кубок Премьер-лиги U21</x:v>
      </x:c>
      <x:c r="H50" s="76" t="str">
        <x:v>Бромли U21 - Ковентри U21</x:v>
      </x:c>
      <x:c r="I50" s="67" t="n">
        <x:v>45</x:v>
      </x:c>
      <x:c r="J50" s="64" t="str">
        <x:v>1:0</x:v>
      </x:c>
      <x:c r="K50" s="76" t="str">
        <x:v>ТБ 2,75 всего матча</x:v>
      </x:c>
      <x:c r="L50" s="73" t="n">
        <x:v>2.75</x:v>
      </x:c>
      <x:c r="M50" s="73" t="n">
        <x:v>1.975</x:v>
      </x:c>
      <x:c r="N50" s="64" t="str">
        <x:v>1-2</x:v>
      </x:c>
      <x:c r="O50" s="67" t="n">
        <x:v>3</x:v>
      </x:c>
      <x:c r="P50" s="67" t="n">
        <x:v>2</x:v>
      </x:c>
      <x:c r="Q50" s="64" t="str">
        <x:v>Полувыигрыш</x:v>
      </x:c>
      <x:c r="R50" s="73" t="n">
        <x:v>0.48750000000000004</x:v>
      </x:c>
      <x:c r="S50" s="76" t="str">
        <x:v>BetsAPI event ID 12411994</x:v>
      </x:c>
    </x:row>
    <x:row r="51" ht="30" customHeight="1">
      <x:c r="A51" s="67" t="n">
        <x:v>46</x:v>
      </x:c>
      <x:c r="B51" s="70" t="str">
        <x:v>13.10.2026 22:18</x:v>
      </x:c>
      <x:c r="C51" s="64" t="str">
        <x:v>Live</x:v>
      </x:c>
      <x:c r="D51" s="64" t="str">
        <x:v>Топ-5</x:v>
      </x:c>
      <x:c r="E51" s="64" t="str">
        <x:v>Live 22:18</x:v>
      </x:c>
      <x:c r="F51" s="64" t="str">
        <x:v>13284855</x:v>
      </x:c>
      <x:c r="G51" s="76" t="str">
        <x:v>Англия - Северная лига, дивизион 1</x:v>
      </x:c>
      <x:c r="H51" s="76" t="str">
        <x:v>Вест Окленд - Беверли Таун</x:v>
      </x:c>
      <x:c r="I51" s="67" t="n">
        <x:v>32</x:v>
      </x:c>
      <x:c r="J51" s="64" t="str">
        <x:v>0:0</x:v>
      </x:c>
      <x:c r="K51" s="76" t="str">
        <x:v>ТБ 2,25 всего матча</x:v>
      </x:c>
      <x:c r="L51" s="73" t="n">
        <x:v>2.25</x:v>
      </x:c>
      <x:c r="M51" s="73" t="n">
        <x:v>2.025</x:v>
      </x:c>
      <x:c r="N51" s="64" t="str">
        <x:v>2-0</x:v>
      </x:c>
      <x:c r="O51" s="67" t="n">
        <x:v>2</x:v>
      </x:c>
      <x:c r="P51" s="67" t="n">
        <x:v>2</x:v>
      </x:c>
      <x:c r="Q51" s="64" t="str">
        <x:v>Полупроигрыш</x:v>
      </x:c>
      <x:c r="R51" s="73" t="n">
        <x:v>-0.5</x:v>
      </x:c>
      <x:c r="S51" s="76" t="str">
        <x:v>BetsAPI event ID 13284855</x:v>
      </x:c>
    </x:row>
    <x:row r="52" ht="30" customHeight="1">
      <x:c r="A52" s="67" t="n">
        <x:v>47</x:v>
      </x:c>
      <x:c r="B52" s="70" t="str">
        <x:v>13.10.2026 22:18</x:v>
      </x:c>
      <x:c r="C52" s="64" t="str">
        <x:v>Live</x:v>
      </x:c>
      <x:c r="D52" s="64" t="str">
        <x:v>Топ-5</x:v>
      </x:c>
      <x:c r="E52" s="64" t="str">
        <x:v>Live 22:18</x:v>
      </x:c>
      <x:c r="F52" s="64" t="str">
        <x:v>12273461</x:v>
      </x:c>
      <x:c r="G52" s="76" t="str">
        <x:v>Англия - Северная Премьер-лига</x:v>
      </x:c>
      <x:c r="H52" s="76" t="str">
        <x:v>Юнайтед оф Манчестер - Эмли</x:v>
      </x:c>
      <x:c r="I52" s="67" t="n">
        <x:v>31</x:v>
      </x:c>
      <x:c r="J52" s="64" t="str">
        <x:v>0:0</x:v>
      </x:c>
      <x:c r="K52" s="76" t="str">
        <x:v>ТБ 2 всего матча</x:v>
      </x:c>
      <x:c r="L52" s="73" t="n">
        <x:v>2</x:v>
      </x:c>
      <x:c r="M52" s="73" t="n">
        <x:v>1.775</x:v>
      </x:c>
      <x:c r="N52" s="64" t="str">
        <x:v>1-1</x:v>
      </x:c>
      <x:c r="O52" s="67" t="n">
        <x:v>2</x:v>
      </x:c>
      <x:c r="P52" s="67" t="n">
        <x:v>2</x:v>
      </x:c>
      <x:c r="Q52" s="64" t="str">
        <x:v>Возврат</x:v>
      </x:c>
      <x:c r="R52" s="73" t="n">
        <x:v>0</x:v>
      </x:c>
      <x:c r="S52" s="76" t="str">
        <x:v>BetsAPI event ID 12273461</x:v>
      </x:c>
    </x:row>
    <x:row r="53" ht="30" customHeight="1">
      <x:c r="A53" s="67" t="n">
        <x:v>48</x:v>
      </x:c>
      <x:c r="B53" s="70" t="str">
        <x:v>13.10.2026 22:18</x:v>
      </x:c>
      <x:c r="C53" s="64" t="str">
        <x:v>Live</x:v>
      </x:c>
      <x:c r="D53" s="64" t="str">
        <x:v>Топ-5</x:v>
      </x:c>
      <x:c r="E53" s="64" t="str">
        <x:v>Live 22:18</x:v>
      </x:c>
      <x:c r="F53" s="64" t="str">
        <x:v>12261910</x:v>
      </x:c>
      <x:c r="G53" s="76" t="str">
        <x:v>Шотландия - Кубок вызова</x:v>
      </x:c>
      <x:c r="H53" s="76" t="str">
        <x:v>Эдинбург - Сент-Миррен B</x:v>
      </x:c>
      <x:c r="I53" s="67" t="n">
        <x:v>32</x:v>
      </x:c>
      <x:c r="J53" s="64" t="str">
        <x:v>0:1</x:v>
      </x:c>
      <x:c r="K53" s="76" t="str">
        <x:v>ТБ 3,5 всего матча</x:v>
      </x:c>
      <x:c r="L53" s="73" t="n">
        <x:v>3.5</x:v>
      </x:c>
      <x:c r="M53" s="73" t="n">
        <x:v>1.95</x:v>
      </x:c>
      <x:c r="N53" s="64" t="str">
        <x:v>0-5</x:v>
      </x:c>
      <x:c r="O53" s="67" t="n">
        <x:v>5</x:v>
      </x:c>
      <x:c r="P53" s="67" t="n">
        <x:v>4</x:v>
      </x:c>
      <x:c r="Q53" s="64" t="str">
        <x:v>Выигрыш</x:v>
      </x:c>
      <x:c r="R53" s="73" t="n">
        <x:v>0.95</x:v>
      </x:c>
      <x:c r="S53" s="76" t="str">
        <x:v>BetsAPI event ID 12261910</x:v>
      </x:c>
    </x:row>
    <x:row r="54" ht="30" customHeight="1">
      <x:c r="A54" s="67" t="n">
        <x:v>49</x:v>
      </x:c>
      <x:c r="B54" s="70" t="str">
        <x:v>13.10.2026 22:18</x:v>
      </x:c>
      <x:c r="C54" s="64" t="str">
        <x:v>Live</x:v>
      </x:c>
      <x:c r="D54" s="64" t="str">
        <x:v>Топ-5</x:v>
      </x:c>
      <x:c r="E54" s="64" t="str">
        <x:v>Live 22:18</x:v>
      </x:c>
      <x:c r="F54" s="64" t="str">
        <x:v>13041499</x:v>
      </x:c>
      <x:c r="G54" s="76" t="str">
        <x:v>Лига чемпионов УЕФА</x:v>
      </x:c>
      <x:c r="H54" s="76" t="str">
        <x:v>Викинг - Бавария</x:v>
      </x:c>
      <x:c r="I54" s="67" t="n">
        <x:v>16</x:v>
      </x:c>
      <x:c r="J54" s="64" t="str">
        <x:v>1:0</x:v>
      </x:c>
      <x:c r="K54" s="76" t="str">
        <x:v>ТБ 4,75 всего матча</x:v>
      </x:c>
      <x:c r="L54" s="73" t="n">
        <x:v>4.75</x:v>
      </x:c>
      <x:c r="M54" s="73" t="n">
        <x:v>1.925</x:v>
      </x:c>
      <x:c r="N54" s="64" t="str">
        <x:v>3-3</x:v>
      </x:c>
      <x:c r="O54" s="67" t="n">
        <x:v>6</x:v>
      </x:c>
      <x:c r="P54" s="67" t="n">
        <x:v>5</x:v>
      </x:c>
      <x:c r="Q54" s="64" t="str">
        <x:v>Выигрыш</x:v>
      </x:c>
      <x:c r="R54" s="73" t="n">
        <x:v>0.925</x:v>
      </x:c>
      <x:c r="S54" s="76" t="str">
        <x:v>BetsAPI event ID 13041499</x:v>
      </x:c>
    </x:row>
    <x:row r="55" ht="30" customHeight="1">
      <x:c r="A55" s="67" t="n">
        <x:v>50</x:v>
      </x:c>
      <x:c r="B55" s="70" t="str">
        <x:v>13.10.2026 22:18</x:v>
      </x:c>
      <x:c r="C55" s="64" t="str">
        <x:v>Live</x:v>
      </x:c>
      <x:c r="D55" s="64" t="str">
        <x:v>Топ-5</x:v>
      </x:c>
      <x:c r="E55" s="64" t="str">
        <x:v>Live 22:18</x:v>
      </x:c>
      <x:c r="F55" s="64" t="str">
        <x:v>13041972</x:v>
      </x:c>
      <x:c r="G55" s="76" t="str">
        <x:v>Лига чемпионов УЕФА</x:v>
      </x:c>
      <x:c r="H55" s="76" t="str">
        <x:v>Вильярреал - Наполи</x:v>
      </x:c>
      <x:c r="I55" s="67" t="n">
        <x:v>17</x:v>
      </x:c>
      <x:c r="J55" s="64" t="str">
        <x:v>0:1</x:v>
      </x:c>
      <x:c r="K55" s="76" t="str">
        <x:v>ТБ 3,25 всего матча</x:v>
      </x:c>
      <x:c r="L55" s="73" t="n">
        <x:v>3.25</x:v>
      </x:c>
      <x:c r="M55" s="73" t="n">
        <x:v>1.85</x:v>
      </x:c>
      <x:c r="N55" s="64" t="str">
        <x:v>3-1</x:v>
      </x:c>
      <x:c r="O55" s="67" t="n">
        <x:v>4</x:v>
      </x:c>
      <x:c r="P55" s="67" t="n">
        <x:v>3</x:v>
      </x:c>
      <x:c r="Q55" s="64" t="str">
        <x:v>Выигрыш</x:v>
      </x:c>
      <x:c r="R55" s="73" t="n">
        <x:v>0.8500000000000001</x:v>
      </x:c>
      <x:c r="S55" s="76" t="str">
        <x:v>BetsAPI event ID 13041972</x:v>
      </x:c>
    </x:row>
    <x:row r="56" ht="30" customHeight="1">
      <x:c r="A56" s="67" t="n">
        <x:v>51</x:v>
      </x:c>
      <x:c r="B56" s="70" t="str">
        <x:v>13.10.2026 23:09</x:v>
      </x:c>
      <x:c r="C56" s="64" t="str">
        <x:v>Live</x:v>
      </x:c>
      <x:c r="D56" s="64" t="str">
        <x:v>Топ-5</x:v>
      </x:c>
      <x:c r="E56" s="64" t="str">
        <x:v>Live 23:09</x:v>
      </x:c>
      <x:c r="F56" s="64"/>
      <x:c r="G56" s="76" t="str">
        <x:v>Европа - Лига чемпионов УЕФА</x:v>
      </x:c>
      <x:c r="H56" s="76" t="str">
        <x:v>Интер - Брюгге</x:v>
      </x:c>
      <x:c r="I56" s="67" t="n">
        <x:v>49</x:v>
      </x:c>
      <x:c r="J56" s="64" t="str">
        <x:v>1:1</x:v>
      </x:c>
      <x:c r="K56" s="76" t="str">
        <x:v>ТБ 4 всего матча</x:v>
      </x:c>
      <x:c r="L56" s="73" t="n">
        <x:v>4</x:v>
      </x:c>
      <x:c r="M56" s="73" t="n">
        <x:v>1.925</x:v>
      </x:c>
      <x:c r="N56" s="64" t="str">
        <x:v>3-4</x:v>
      </x:c>
      <x:c r="O56" s="67" t="n">
        <x:v>7</x:v>
      </x:c>
      <x:c r="P56" s="67" t="n">
        <x:v>5</x:v>
      </x:c>
      <x:c r="Q56" s="64" t="str">
        <x:v>Выигрыш</x:v>
      </x:c>
      <x:c r="R56" s="73" t="n">
        <x:v>0.925</x:v>
      </x:c>
      <x:c r="S56" s="76" t="str">
        <x:v>The Times / итог матча</x:v>
      </x:c>
    </x:row>
    <x:row r="57" ht="30" customHeight="1">
      <x:c r="A57" s="67" t="n">
        <x:v>52</x:v>
      </x:c>
      <x:c r="B57" s="70" t="str">
        <x:v>13.10.2026 23:09</x:v>
      </x:c>
      <x:c r="C57" s="64" t="str">
        <x:v>Live</x:v>
      </x:c>
      <x:c r="D57" s="64" t="str">
        <x:v>Топ-5</x:v>
      </x:c>
      <x:c r="E57" s="64" t="str">
        <x:v>Live 23:09</x:v>
      </x:c>
      <x:c r="F57" s="64"/>
      <x:c r="G57" s="76" t="str">
        <x:v>Европа - Лига чемпионов УЕФА</x:v>
      </x:c>
      <x:c r="H57" s="76" t="str">
        <x:v>Лейпциг - ПСВ</x:v>
      </x:c>
      <x:c r="I57" s="67" t="n">
        <x:v>48</x:v>
      </x:c>
      <x:c r="J57" s="64" t="str">
        <x:v>0:0</x:v>
      </x:c>
      <x:c r="K57" s="76" t="str">
        <x:v>ТБ 2 всего матча</x:v>
      </x:c>
      <x:c r="L57" s="73" t="n">
        <x:v>2</x:v>
      </x:c>
      <x:c r="M57" s="73" t="n">
        <x:v>2.05</x:v>
      </x:c>
      <x:c r="N57" s="64" t="str">
        <x:v>1-0</x:v>
      </x:c>
      <x:c r="O57" s="67" t="n">
        <x:v>1</x:v>
      </x:c>
      <x:c r="P57" s="67" t="n">
        <x:v>1</x:v>
      </x:c>
      <x:c r="Q57" s="64" t="str">
        <x:v>Поражение</x:v>
      </x:c>
      <x:c r="R57" s="73" t="n">
        <x:v>-1</x:v>
      </x:c>
      <x:c r="S57" s="76" t="str">
        <x:v>Sofascore / итог матча</x:v>
      </x:c>
    </x:row>
    <x:row r="58" ht="30" customHeight="1">
      <x:c r="A58" s="67" t="n">
        <x:v>53</x:v>
      </x:c>
      <x:c r="B58" s="70" t="str">
        <x:v>13.10.2026 23:09</x:v>
      </x:c>
      <x:c r="C58" s="64" t="str">
        <x:v>Live</x:v>
      </x:c>
      <x:c r="D58" s="64" t="str">
        <x:v>Топ-5</x:v>
      </x:c>
      <x:c r="E58" s="64" t="str">
        <x:v>Live 23:09</x:v>
      </x:c>
      <x:c r="F58" s="64"/>
      <x:c r="G58" s="76" t="str">
        <x:v>Европа - Лига чемпионов УЕФА</x:v>
      </x:c>
      <x:c r="H58" s="76" t="str">
        <x:v>Арсенал - Лилль</x:v>
      </x:c>
      <x:c r="I58" s="67" t="n">
        <x:v>50</x:v>
      </x:c>
      <x:c r="J58" s="64" t="str">
        <x:v>0:0</x:v>
      </x:c>
      <x:c r="K58" s="76" t="str">
        <x:v>ТБ 1,5 всего матча</x:v>
      </x:c>
      <x:c r="L58" s="73" t="n">
        <x:v>1.5</x:v>
      </x:c>
      <x:c r="M58" s="73" t="n">
        <x:v>2.025</x:v>
      </x:c>
      <x:c r="N58" s="64" t="str">
        <x:v>3-0</x:v>
      </x:c>
      <x:c r="O58" s="67" t="n">
        <x:v>3</x:v>
      </x:c>
      <x:c r="P58" s="67" t="n">
        <x:v>3</x:v>
      </x:c>
      <x:c r="Q58" s="64" t="str">
        <x:v>Выигрыш</x:v>
      </x:c>
      <x:c r="R58" s="73" t="n">
        <x:v>1.025</x:v>
      </x:c>
      <x:c r="S58" s="76" t="str">
        <x:v>Sky Sports / итог матча</x:v>
      </x:c>
    </x:row>
    <x:row r="59" ht="30" customHeight="1">
      <x:c r="A59" s="67" t="n">
        <x:v>54</x:v>
      </x:c>
      <x:c r="B59" s="70" t="str">
        <x:v>13.10.2026 23:09</x:v>
      </x:c>
      <x:c r="C59" s="64" t="str">
        <x:v>Live</x:v>
      </x:c>
      <x:c r="D59" s="64" t="str">
        <x:v>Топ-5</x:v>
      </x:c>
      <x:c r="E59" s="64" t="str">
        <x:v>Live 23:09</x:v>
      </x:c>
      <x:c r="F59" s="64" t="str">
        <x:v>13041499</x:v>
      </x:c>
      <x:c r="G59" s="76" t="str">
        <x:v>Европа - Лига чемпионов УЕФА</x:v>
      </x:c>
      <x:c r="H59" s="76" t="str">
        <x:v>Викинг - Бавария</x:v>
      </x:c>
      <x:c r="I59" s="67" t="n">
        <x:v>49</x:v>
      </x:c>
      <x:c r="J59" s="64" t="str">
        <x:v>2:0</x:v>
      </x:c>
      <x:c r="K59" s="76" t="str">
        <x:v>ТБ 4,5 всего матча</x:v>
      </x:c>
      <x:c r="L59" s="73" t="n">
        <x:v>4.5</x:v>
      </x:c>
      <x:c r="M59" s="73" t="n">
        <x:v>1.925</x:v>
      </x:c>
      <x:c r="N59" s="64" t="str">
        <x:v>3-3</x:v>
      </x:c>
      <x:c r="O59" s="67" t="n">
        <x:v>6</x:v>
      </x:c>
      <x:c r="P59" s="67" t="n">
        <x:v>4</x:v>
      </x:c>
      <x:c r="Q59" s="64" t="str">
        <x:v>Выигрыш</x:v>
      </x:c>
      <x:c r="R59" s="73" t="n">
        <x:v>0.925</x:v>
      </x:c>
      <x:c r="S59" s="76" t="str">
        <x:v>BetsAPI event ID 13041499</x:v>
      </x:c>
    </x:row>
    <x:row r="60" ht="30" customHeight="1">
      <x:c r="A60" s="68" t="n">
        <x:v>55</x:v>
      </x:c>
      <x:c r="B60" s="71" t="str">
        <x:v>13.10.2026 23:09</x:v>
      </x:c>
      <x:c r="C60" s="65" t="str">
        <x:v>Live</x:v>
      </x:c>
      <x:c r="D60" s="65" t="str">
        <x:v>Топ-5</x:v>
      </x:c>
      <x:c r="E60" s="65" t="str">
        <x:v>Live 23:09</x:v>
      </x:c>
      <x:c r="F60" s="65" t="str">
        <x:v>13041972</x:v>
      </x:c>
      <x:c r="G60" s="77" t="str">
        <x:v>Европа - Лига чемпионов УЕФА</x:v>
      </x:c>
      <x:c r="H60" s="77" t="str">
        <x:v>Вильярреал - Наполи</x:v>
      </x:c>
      <x:c r="I60" s="68" t="n">
        <x:v>50</x:v>
      </x:c>
      <x:c r="J60" s="65" t="str">
        <x:v>2:1</x:v>
      </x:c>
      <x:c r="K60" s="77" t="str">
        <x:v>ТБ 4,5 всего матча</x:v>
      </x:c>
      <x:c r="L60" s="74" t="n">
        <x:v>4.5</x:v>
      </x:c>
      <x:c r="M60" s="74" t="n">
        <x:v>1.975</x:v>
      </x:c>
      <x:c r="N60" s="65" t="str">
        <x:v>3-1</x:v>
      </x:c>
      <x:c r="O60" s="68" t="n">
        <x:v>4</x:v>
      </x:c>
      <x:c r="P60" s="68" t="n">
        <x:v>1</x:v>
      </x:c>
      <x:c r="Q60" s="65" t="str">
        <x:v>Поражение</x:v>
      </x:c>
      <x:c r="R60" s="74" t="n">
        <x:v>-1</x:v>
      </x:c>
      <x:c r="S60" s="77" t="str">
        <x:v>BetsAPI event ID 13041972</x:v>
      </x:c>
    </x:row>
  </x:sheetData>
  <x:mergeCells>
    <x:mergeCell ref="A2:S2"/>
  </x:mergeCells>
  <x:conditionalFormatting sqref="Q6:Q60">
    <x:cfRule type="containsText" dxfId="0" priority="1" operator="containsText" text="Выигрыш"/>
    <x:cfRule type="containsText" dxfId="1" priority="2" operator="containsText" text="Полувыигрыш"/>
    <x:cfRule type="containsText" dxfId="2" priority="3" operator="containsText" text="Поражение"/>
    <x:cfRule type="containsText" dxfId="3" priority="4" operator="containsText" text="Полупроигрыш"/>
    <x:cfRule type="containsText" dxfId="4" priority="5" operator="containsText" text="Возврат"/>
  </x:conditionalFormatting>
  <x:pageMargins left="0.7" right="0.7" top="0.75" bottom="0.75" header="0.3" footer="0.3"/>
  <x:tableParts count="1">
    <x:tablePart xmlns:r="http://schemas.openxmlformats.org/officeDocument/2006/relationships" r:id="R5113efe6b8d34664"/>
  </x:tableParts>
</x:worksheet>
</file>