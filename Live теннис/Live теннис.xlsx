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97a09f461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ed12a0615164444"/>
    <x:sheet xmlns:r="http://schemas.openxmlformats.org/officeDocument/2006/relationships" name="Реестр" sheetId="2" r:id="Rc23b55f7a552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dd.mm.yyyy"/>
    <x:numFmt numFmtId="203" formatCode="hh:mm:ss"/>
  </x:numFmts>
  <x:fonts count="5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b/>
      <x:sz val="11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a452290644386" /><Relationship Type="http://schemas.openxmlformats.org/officeDocument/2006/relationships/theme" Target="/xl/theme/theme1.xml" Id="R4736151016ea4171" /><Relationship Type="http://schemas.openxmlformats.org/officeDocument/2006/relationships/sharedStrings" Target="/xl/sharedStrings.xml" Id="R6252fd7858c74da1" /><Relationship Type="http://schemas.openxmlformats.org/officeDocument/2006/relationships/worksheet" Target="/xl/worksheets/sheet1.xml" Id="R9ed12a0615164444" /><Relationship Type="http://schemas.openxmlformats.org/officeDocument/2006/relationships/worksheet" Target="/xl/worksheets/sheet2.xml" Id="Rc23b55f7a552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6" hidden="0" customWidth="1"/>
    <x:col min="4" max="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Дневник live тенниса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15" t="str">
        <x:v>Показатель</x:v>
      </x:c>
      <x:c r="B4" s="15" t="str">
        <x:v>Значение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Всего выборов</x:v>
      </x:c>
      <x:c r="B5" s="2" t="n">
        <x:f>COUNTA('Реестр'!A6:A6)</x:f>
        <x:v>1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 t="str">
        <x:v>Выиграно</x:v>
      </x:c>
      <x:c r="B6" s="2" t="n">
        <x:f>COUNTIF('Реестр'!J6:J6,"Выигрыш")</x:f>
        <x:v>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 t="str">
        <x:v>Проиграно</x:v>
      </x:c>
      <x:c r="B7" s="2" t="n">
        <x:f>COUNTIF('Реестр'!J6:J6,"Проигрыш")</x:f>
        <x:v>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 t="str">
        <x:v>Возврат</x:v>
      </x:c>
      <x:c r="B8" s="2" t="n">
        <x:f>COUNTIF('Реестр'!J6:J6,"Возврат")</x:f>
        <x:v>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 t="str">
        <x:v>Не рассчитано</x:v>
      </x:c>
      <x:c r="B9" s="2" t="n">
        <x:f>B5-SUM(B6:B8)</x:f>
        <x:v>1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2" t="str">
        <x:v>Проходимость</x:v>
      </x:c>
      <x:c r="B10" s="4" t="str">
        <x:f>IF(B6+B7=0,"н/д",B6/(B6+B7))</x:f>
        <x:v>н/д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 t="str">
        <x:v>Оборот закрытых, ед.</x:v>
      </x:c>
      <x:c r="B11" s="2" t="n">
        <x:f>SUM('Реестр'!K6:K6)</x:f>
        <x:v>0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 t="str">
        <x:v>Чистый итог, ед.</x:v>
      </x:c>
      <x:c r="B12" s="5" t="n">
        <x:f>SUM('Реестр'!L6:L6)</x:f>
        <x:v>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 t="str">
        <x:v>ROI закрытых</x:v>
      </x:c>
      <x:c r="B13" s="4" t="str">
        <x:f>IF(B11=0,"н/д",B12/B11)</x:f>
        <x:v>н/д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6" t="str">
        <x:v>Правила расчёта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30" customHeight="1">
      <x:c r="A17" s="7" t="str">
        <x:v>1 условная единица на каждый уникальный матч. Реальные деньги не учитываются.</x:v>
      </x:c>
      <x:c r="B17" s="7"/>
      <x:c r="C17" s="7"/>
      <x:c r="D17" s="7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30" customHeight="1">
      <x:c r="A18" s="7" t="str">
        <x:v>Проходимость = выигрыши / (выигрыши + проигрыши). Возвраты исключены.</x:v>
      </x:c>
      <x:c r="B18" s="7"/>
      <x:c r="C18" s="7"/>
      <x:c r="D18" s="7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30" customHeight="1">
      <x:c r="A19" s="7" t="str">
        <x:v>Итог: выигрыш = коэффициент - 1; проигрыш = -1; возврат = 0.</x:v>
      </x:c>
      <x:c r="B19" s="7"/>
      <x:c r="C19" s="7"/>
      <x:c r="D19" s="7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30" customHeight="1">
      <x:c r="A20" s="7" t="str">
        <x:v>ROI = чистый итог / оборот закрытых, включая возвраты. Открытые исключены.</x:v>
      </x:c>
      <x:c r="B20" s="7"/>
      <x:c r="C20" s="7"/>
      <x:c r="D20" s="7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30" customHeight="1">
      <x:c r="A21" s="7" t="str">
        <x:v>Результаты проверяются по команде «Обнови дневник live теннис».</x:v>
      </x:c>
      <x:c r="B21" s="7"/>
      <x:c r="C21" s="7"/>
      <x:c r="D21" s="7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30" customHeight="1">
      <x:c r="A22" s="7" t="str">
        <x:v>При снятии/прерывании сначала проверяются правила рынка и источник расчёта.</x:v>
      </x:c>
      <x:c r="B22" s="7"/>
      <x:c r="C22" s="7"/>
      <x:c r="D22" s="7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30" customHeight="1">
      <x:c r="A23" s="7" t="str">
        <x:v>Повторный анализ не создаёт второй основной выбор того же матча.</x:v>
      </x:c>
      <x:c r="B23" s="7"/>
      <x:c r="C23" s="7"/>
      <x:c r="D23" s="7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30" customHeight="1">
      <x:c r="A24" s="7" t="str">
        <x:v>Время - Москва. Коэффициенты сохраняются точно, исходные выборы неизменны.</x:v>
      </x:c>
      <x:c r="B24" s="7"/>
      <x:c r="C24" s="7"/>
      <x:c r="D24" s="7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</x:sheetData>
  <x:mergeCells>
    <x:mergeCell ref="A17:D17"/>
    <x:mergeCell ref="A18:D18"/>
    <x:mergeCell ref="A19:D19"/>
    <x:mergeCell ref="A20:D20"/>
    <x:mergeCell ref="A21:D21"/>
    <x:mergeCell ref="A22:D22"/>
    <x:mergeCell ref="A23:D23"/>
    <x:mergeCell ref="A24:D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33" hidden="0" customWidth="1"/>
    <x:col min="5" max="5" width="18" hidden="0" customWidth="1"/>
    <x:col min="6" max="6" width="24" hidden="0" customWidth="1"/>
    <x:col min="7" max="7" width="14" hidden="0" customWidth="1"/>
    <x:col min="8" max="8" width="23" hidden="0" customWidth="1"/>
    <x:col min="9" max="9" width="20" hidden="0" customWidth="1"/>
    <x:col min="10" max="10" width="20" hidden="0" customWidth="1"/>
    <x:col min="11" max="11" width="14" hidden="0" customWidth="1"/>
    <x:col min="12" max="12" width="14" hidden="0" customWidth="1"/>
    <x:col min="13" max="13" width="55" hidden="0" customWidth="1"/>
    <x:col min="14" max="14" width="24" hidden="0" customWidth="1"/>
    <x:col min="15" max="15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Выборы и результаты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8" t="str">
        <x:v>ID матча</x:v>
      </x:c>
      <x:c r="B5" s="18" t="str">
        <x:v>Дата, МСК</x:v>
      </x:c>
      <x:c r="C5" s="18" t="str">
        <x:v>Время, МСК</x:v>
      </x:c>
      <x:c r="D5" s="18" t="str">
        <x:v>Матч</x:v>
      </x:c>
      <x:c r="E5" s="18" t="str">
        <x:v>Турнир</x:v>
      </x:c>
      <x:c r="F5" s="18" t="str">
        <x:v>Победитель</x:v>
      </x:c>
      <x:c r="G5" s="18" t="str">
        <x:v>Коэффициент</x:v>
      </x:c>
      <x:c r="H5" s="18" t="str">
        <x:v>Счёт при выборе</x:v>
      </x:c>
      <x:c r="I5" s="18" t="str">
        <x:v>Итог матча</x:v>
      </x:c>
      <x:c r="J5" s="18" t="str">
        <x:v>Статус</x:v>
      </x:c>
      <x:c r="K5" s="18" t="str">
        <x:v>Оборот, ед.</x:v>
      </x:c>
      <x:c r="L5" s="18" t="str">
        <x:v>Итог, ед.</x:v>
      </x:c>
      <x:c r="M5" s="18" t="str">
        <x:v>Основание и риск</x:v>
      </x:c>
      <x:c r="N5" s="18" t="str">
        <x:v>Снимок</x:v>
      </x:c>
      <x:c r="O5" s="18" t="str">
        <x:v>Источник результата</x:v>
      </x:c>
    </x:row>
    <x:row r="6" ht="70" customHeight="1">
      <x:c r="A6" s="7" t="str">
        <x:v>13305607</x:v>
      </x:c>
      <x:c r="B6" s="10" t="n">
        <x:v>46312</x:v>
      </x:c>
      <x:c r="C6" s="11" t="n">
        <x:v>0.6887903125</x:v>
      </x:c>
      <x:c r="D6" s="7" t="str">
        <x:v>Александр Шевченко - Даниил Глинка</x:v>
      </x:c>
      <x:c r="E6" s="7" t="str">
        <x:v>ATP Алматы</x:v>
      </x:c>
      <x:c r="F6" s="7" t="str">
        <x:v>Александр Шевченко</x:v>
      </x:c>
      <x:c r="G6" s="12" t="n">
        <x:v>1.615</x:v>
      </x:c>
      <x:c r="H6" s="7" t="str">
        <x:v>6-3,6-6; очки 3-6</x:v>
      </x:c>
      <x:c r="I6" s="7" t="str"/>
      <x:c r="J6" s="7" t="str">
        <x:v>Не рассчитано</x:v>
      </x:c>
      <x:c r="K6" s="7" t="n">
        <x:f>IF(OR(J6="Выигрыш",J6="Проигрыш",J6="Возврат"),1,0)</x:f>
        <x:v>0</x:v>
      </x:c>
      <x:c r="L6" s="12" t="str">
        <x:f>IF(J6="Выигрыш",G6-1,IF(J6="Проигрыш",-1,IF(J6="Возврат",0,"")))</x:f>
      </x:c>
      <x:c r="M6" s="7" t="str">
        <x:v>Удержал 10 подач; первая подача 78% против 73%. Риск: тай-брейк 3:6, возможен третий сет.</x:v>
      </x:c>
      <x:c r="N6" s="7" t="str">
        <x:v>39036889943-1</x:v>
      </x:c>
      <x:c r="O6" s="7" t="str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</x:sheetData>
  <x:pageMargins left="0.7" right="0.7" top="0.75" bottom="0.75" header="0.3" footer="0.3"/>
</x:worksheet>
</file>