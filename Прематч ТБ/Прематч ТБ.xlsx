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8438b3722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ематч ТБ" sheetId="1" r:id="R9a0cf721a905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 hh:mm"/>
    <x:numFmt numFmtId="201" formatCode="dd.mm.yyyy"/>
    <x:numFmt numFmtId="202" formatCode="0"/>
    <x:numFmt numFmtId="203" formatCode="0.0"/>
    <x:numFmt numFmtId="204" formatCode="0.00"/>
  </x:numFmts>
  <x:fonts count="8">
    <x:font>
      <x:sz val="11"/>
      <x:name val="Carlito"/>
    </x:font>
    <x:font>
      <x:b/>
      <x:sz val="15"/>
      <x:color rgb="FF17365D"/>
      <x:name val="Arial"/>
    </x:font>
    <x:font>
      <x:i/>
      <x:sz val="10"/>
      <x:color rgb="FF595959"/>
      <x:name val="Arial"/>
    </x:font>
    <x:font>
      <x:sz val="10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  <x:font>
      <x:i/>
      <x:sz val="10"/>
      <x:color rgb="FF222222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7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 style="thin">
        <x:color rgb="FFA6A6A6"/>
      </x:left>
      <x:right/>
      <x:top style="thin">
        <x:color rgb="FFA6A6A6"/>
      </x:top>
      <x:bottom/>
      <x:diagonal/>
    </x:border>
    <x:border>
      <x:left/>
      <x:right style="thin">
        <x:color rgb="FFA6A6A6"/>
      </x:right>
      <x:top style="thin">
        <x:color rgb="FFA6A6A6"/>
      </x:top>
      <x:bottom/>
      <x:diagonal/>
    </x:border>
    <x:border>
      <x:left style="thin">
        <x:color rgb="FFA6A6A6"/>
      </x:left>
      <x:right/>
      <x:top/>
      <x:bottom/>
      <x:diagonal/>
    </x:border>
    <x:border>
      <x:left/>
      <x:right style="thin">
        <x:color rgb="FFA6A6A6"/>
      </x:right>
      <x:top/>
      <x:bottom/>
      <x:diagonal/>
    </x:border>
    <x:border>
      <x:left style="thin">
        <x:color rgb="FFA6A6A6"/>
      </x:left>
      <x:right/>
      <x:top/>
      <x:bottom style="thin">
        <x:color rgb="FFA6A6A6"/>
      </x:bottom>
      <x:diagonal/>
    </x:border>
    <x:border>
      <x:left/>
      <x:right style="thin">
        <x:color rgb="FFA6A6A6"/>
      </x:right>
      <x:top/>
      <x:bottom style="thin">
        <x:color rgb="FFA6A6A6"/>
      </x:bottom>
      <x:diagonal/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center" wrapText="1"/>
    </x:xf>
    <x:xf numFmtId="201" fontId="5" fillId="0" borderId="9" xfId="0" applyNumberFormat="1" applyFont="1" applyFill="1" applyBorder="1" applyAlignment="1">
      <x:alignment vertical="center" wrapText="1"/>
    </x:xf>
    <x:xf numFmtId="202" fontId="5" fillId="0" borderId="3" xfId="0" applyNumberFormat="1" applyFont="1" applyFill="1" applyBorder="1" applyAlignment="1">
      <x:alignment vertical="center" wrapText="1"/>
    </x:xf>
    <x:xf numFmtId="202" fontId="5" fillId="0" borderId="6" xfId="0" applyNumberFormat="1" applyFont="1" applyFill="1" applyBorder="1" applyAlignment="1">
      <x:alignment vertical="center" wrapText="1"/>
    </x:xf>
    <x:xf numFmtId="202" fontId="5" fillId="0" borderId="9" xfId="0" applyNumberFormat="1" applyFont="1" applyFill="1" applyBorder="1" applyAlignment="1">
      <x:alignment vertical="center" wrapText="1"/>
    </x:xf>
    <x:xf numFmtId="203" fontId="5" fillId="0" borderId="3" xfId="0" applyNumberFormat="1" applyFont="1" applyFill="1" applyBorder="1" applyAlignment="1">
      <x:alignment vertical="center" wrapText="1"/>
    </x:xf>
    <x:xf numFmtId="203" fontId="5" fillId="0" borderId="6" xfId="0" applyNumberFormat="1" applyFont="1" applyFill="1" applyBorder="1" applyAlignment="1">
      <x:alignment vertical="center" wrapText="1"/>
    </x:xf>
    <x:xf numFmtId="203" fontId="5" fillId="0" borderId="9" xfId="0" applyNumberFormat="1" applyFont="1" applyFill="1" applyBorder="1" applyAlignment="1">
      <x:alignment vertical="center" wrapText="1"/>
    </x:xf>
    <x:xf numFmtId="203" fontId="5" fillId="3" borderId="3" xfId="0" applyNumberFormat="1" applyFont="1" applyFill="1" applyBorder="1" applyAlignment="1">
      <x:alignment vertical="center" wrapText="1"/>
    </x:xf>
    <x:xf numFmtId="203" fontId="5" fillId="3" borderId="6" xfId="0" applyNumberFormat="1" applyFont="1" applyFill="1" applyBorder="1" applyAlignment="1">
      <x:alignment vertical="center" wrapText="1"/>
    </x:xf>
    <x:xf numFmtId="203" fontId="5" fillId="3" borderId="9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202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202" fontId="5" fillId="0" borderId="14" xfId="0" applyNumberFormat="1" applyFont="1" applyFill="1" applyBorder="1" applyAlignment="1">
      <x:alignment vertical="center"/>
    </x:xf>
    <x:xf numFmtId="204" fontId="5" fillId="0" borderId="14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/>
    </x:xf>
    <x:xf numFmtId="204" fontId="5" fillId="0" borderId="16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0" fontId="5" fillId="4" borderId="13" xfId="0" applyNumberFormat="1" applyFont="1" applyFill="1" applyBorder="1" applyAlignment="1">
      <x:alignment vertical="center"/>
    </x:xf>
    <x:xf numFmtId="0" fontId="5" fillId="4" borderId="1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082db072841c3" /><Relationship Type="http://schemas.openxmlformats.org/officeDocument/2006/relationships/theme" Target="/xl/theme/theme1.xml" Id="R000febf63e574f65" /><Relationship Type="http://schemas.openxmlformats.org/officeDocument/2006/relationships/sharedStrings" Target="/xl/sharedStrings.xml" Id="Reb19fc593f704ffa" /><Relationship Type="http://schemas.openxmlformats.org/officeDocument/2006/relationships/worksheet" Target="/xl/worksheets/sheet1.xml" Id="R9a0cf721a9054ee2" /></Relationships>
</file>

<file path=xl/tables/table1.xml><?xml version="1.0" encoding="utf-8"?>
<x:table xmlns:x="http://schemas.openxmlformats.org/spreadsheetml/2006/main" id="1" name="PrematchTBTable" displayName="PrematchTBTable" ref="A6:R15" headerRowCount="1" totalsRowCount="0" totalsRowShown="0">
  <x:tableColumns count="18">
    <x:tableColumn id="1" name="ID"/>
    <x:tableColumn id="2" name="Дата"/>
    <x:tableColumn id="3" name="Время МСК"/>
    <x:tableColumn id="4" name="Матч"/>
    <x:tableColumn id="5" name="Ранг"/>
    <x:tableColumn id="6" name="Ожид. голы"/>
    <x:tableColumn id="7" name="Диапазон"/>
    <x:tableColumn id="8" name="Ожидаемый сценарий"/>
    <x:tableColumn id="9" name="Аргументы против"/>
    <x:tableColumn id="10" name="Рынок на момент фиксации"/>
    <x:tableColumn id="11" name="Решение"/>
    <x:tableColumn id="12" name="Основания и данные"/>
    <x:tableColumn id="13" name="Голы хозяев"/>
    <x:tableColumn id="14" name="Голы гостей"/>
    <x:tableColumn id="15" name="Факт голов"/>
    <x:tableColumn id="16" name="Абс. ошибка"/>
    <x:tableColumn id="17" name="Статус"/>
    <x:tableColumn id="18" name="Постфакту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56a033339b482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1" hidden="0" customWidth="1"/>
    <x:col min="2" max="2" width="12" hidden="0" customWidth="1"/>
    <x:col min="3" max="3" width="11" hidden="0" customWidth="1"/>
    <x:col min="4" max="4" width="28" hidden="0" customWidth="1"/>
    <x:col min="5" max="5" width="8" hidden="0" customWidth="1"/>
    <x:col min="6" max="6" width="12" hidden="0" customWidth="1"/>
    <x:col min="7" max="7" width="11" hidden="0" customWidth="1"/>
    <x:col min="8" max="8" width="44" hidden="0" customWidth="1"/>
    <x:col min="9" max="9" width="44" hidden="0" customWidth="1"/>
    <x:col min="10" max="10" width="19" hidden="0" customWidth="1"/>
    <x:col min="11" max="11" width="24" hidden="0" customWidth="1"/>
    <x:col min="12" max="12" width="4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2" hidden="0" customWidth="1"/>
    <x:col min="20" max="20" width="19" hidden="0" customWidth="1"/>
    <x:col min="21" max="21" width="13" hidden="0" customWidth="1"/>
  </x:cols>
  <x:sheetData>
    <x:row r="2">
      <x:c r="A2" s="13" t="str">
        <x:v>Прематч ТБ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9" t="str">
        <x:v>Сводка</x:v>
      </x:c>
      <x:c r="U2" s="19" t="str">
        <x:v>Значение</x:v>
      </x:c>
    </x:row>
    <x:row r="3">
      <x:c r="A3" s="14" t="str">
        <x:v>Фиксация прогноза до начала матчей. Ожидаемые голы являются оценкой среднего тотала, а не точным счётом.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59" t="str">
        <x:v>Матчей</x:v>
      </x:c>
      <x:c r="U3" s="53" t="n">
        <x:f>COUNTA(D7:D15)</x:f>
        <x:v>9</x:v>
      </x:c>
    </x:row>
    <x:row r="4">
      <x:c r="A4" s="10" t="str">
        <x:v>Дата фиксации</x:v>
      </x:c>
      <x:c r="B4" s="12" t="n">
        <x:v>46308.54861111111</x:v>
      </x:c>
      <x:c r="C4" s="10" t="str">
        <x:v>Версия инструкции</x:v>
      </x:c>
      <x:c r="D4" s="10" t="str">
        <x:v>13.10.2026</x:v>
      </x:c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60" t="str">
        <x:v>Завершено</x:v>
      </x:c>
      <x:c r="U4" s="55" t="n">
        <x:f>COUNT(O7:O15)</x:f>
        <x:v>0</x:v>
      </x:c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60" t="str">
        <x:v>Средний прогноз</x:v>
      </x:c>
      <x:c r="U5" s="56" t="n">
        <x:f>AVERAGE(F7:F15)</x:f>
        <x:v>3.4333333333333336</x:v>
      </x:c>
    </x:row>
    <x:row r="6" ht="42" customHeight="1">
      <x:c r="A6" s="19" t="str">
        <x:v>ID</x:v>
      </x:c>
      <x:c r="B6" s="19" t="str">
        <x:v>Дата</x:v>
      </x:c>
      <x:c r="C6" s="19" t="str">
        <x:v>Время МСК</x:v>
      </x:c>
      <x:c r="D6" s="19" t="str">
        <x:v>Матч</x:v>
      </x:c>
      <x:c r="E6" s="19" t="str">
        <x:v>Ранг</x:v>
      </x:c>
      <x:c r="F6" s="19" t="str">
        <x:v>Ожид. голы</x:v>
      </x:c>
      <x:c r="G6" s="19" t="str">
        <x:v>Диапазон</x:v>
      </x:c>
      <x:c r="H6" s="19" t="str">
        <x:v>Ожидаемый сценарий</x:v>
      </x:c>
      <x:c r="I6" s="19" t="str">
        <x:v>Аргументы против</x:v>
      </x:c>
      <x:c r="J6" s="19" t="str">
        <x:v>Рынок на момент фиксации</x:v>
      </x:c>
      <x:c r="K6" s="19" t="str">
        <x:v>Решение</x:v>
      </x:c>
      <x:c r="L6" s="19" t="str">
        <x:v>Основания и данные</x:v>
      </x:c>
      <x:c r="M6" s="19" t="str">
        <x:v>Голы хозяев</x:v>
      </x:c>
      <x:c r="N6" s="19" t="str">
        <x:v>Голы гостей</x:v>
      </x:c>
      <x:c r="O6" s="19" t="str">
        <x:v>Факт голов</x:v>
      </x:c>
      <x:c r="P6" s="19" t="str">
        <x:v>Абс. ошибка</x:v>
      </x:c>
      <x:c r="Q6" s="19" t="str">
        <x:v>Статус</x:v>
      </x:c>
      <x:c r="R6" s="19" t="str">
        <x:v>Постфактум</x:v>
      </x:c>
      <x:c r="S6" s="10"/>
      <x:c r="T6" s="60" t="str">
        <x:v>Средний факт</x:v>
      </x:c>
      <x:c r="U6" s="56" t="str">
        <x:f>IFERROR(AVERAGE(O7:O15),"")</x:f>
      </x:c>
    </x:row>
    <x:row r="7" ht="84" customHeight="1">
      <x:c r="A7" s="29" t="str">
        <x:v>PTB-20261013-001</x:v>
      </x:c>
      <x:c r="B7" s="38" t="n">
        <x:v>46308</x:v>
      </x:c>
      <x:c r="C7" s="30" t="str">
        <x:v>22:00</x:v>
      </x:c>
      <x:c r="D7" s="30" t="str">
        <x:v>Viking — Bayern Munich</x:v>
      </x:c>
      <x:c r="E7" s="41" t="n">
        <x:v>1</x:v>
      </x:c>
      <x:c r="F7" s="44" t="n">
        <x:v>4.7</x:v>
      </x:c>
      <x:c r="G7" s="30" t="str">
        <x:v>4–6</x:v>
      </x:c>
      <x:c r="H7" s="30" t="str">
        <x:v>Класс Bayern способен дать 4+; Viking играет смело дома и сам результативен.</x:v>
      </x:c>
      <x:c r="I7" s="30" t="str">
        <x:v>Bayern может снизить темп после раннего преимущества; большой исходный тотал.</x:v>
      </x:c>
      <x:c r="J7" s="30" t="str">
        <x:v>4.5</x:v>
      </x:c>
      <x:c r="K7" s="30" t="str">
        <x:v>ВЫСОКИЙ ПОТЕНЦИАЛ</x:v>
      </x:c>
      <x:c r="L7" s="30" t="str">
        <x:v>Рынок 4.5 около равных цен; Bayern −1250; Viking 1:3 Stuttgart, Bayern 5:0 Bodø/Glimt.</x:v>
      </x:c>
      <x:c r="M7" s="47"/>
      <x:c r="N7" s="47"/>
      <x:c r="O7" s="44" t="str">
        <x:f>IF(OR(M7="",N7=""),"",M7+N7)</x:f>
      </x:c>
      <x:c r="P7" s="44" t="str">
        <x:f>IF(O7="","",ABS(O7-F7))</x:f>
      </x:c>
      <x:c r="Q7" s="30" t="str">
        <x:f>IF(O7="","Ожидает результата","Завершён")</x:f>
        <x:v>Ожидает результата</x:v>
      </x:c>
      <x:c r="R7" s="31" t="str"/>
      <x:c r="S7" s="10"/>
      <x:c r="T7" s="61" t="str">
        <x:v>MAE</x:v>
      </x:c>
      <x:c r="U7" s="58" t="str">
        <x:f>IFERROR(AVERAGE(P7:P15),"")</x:f>
      </x:c>
    </x:row>
    <x:row r="8" ht="84" customHeight="1">
      <x:c r="A8" s="32" t="str">
        <x:v>PTB-20261013-002</x:v>
      </x:c>
      <x:c r="B8" s="39" t="n">
        <x:v>46308</x:v>
      </x:c>
      <x:c r="C8" s="33" t="str">
        <x:v>22:00</x:v>
      </x:c>
      <x:c r="D8" s="33" t="str">
        <x:v>Galatasaray — Barcelona</x:v>
      </x:c>
      <x:c r="E8" s="42" t="n">
        <x:v>2</x:v>
      </x:c>
      <x:c r="F8" s="45" t="n">
        <x:v>4.2</x:v>
      </x:c>
      <x:c r="G8" s="33" t="str">
        <x:v>3–6</x:v>
      </x:c>
      <x:c r="H8" s="33" t="str">
        <x:v>Barcelona начала сезон 9 победами и 34 голами в 8 матчах Ла Лиги; Galatasaray опасен дома, Osimhen вернулся.</x:v>
      </x:c>
      <x:c r="I8" s="33" t="str">
        <x:v>У Barcelona отсутствуют Raphinha и De Jong; возможен контроль после преимущества.</x:v>
      </x:c>
      <x:c r="J8" s="33" t="str">
        <x:v>4.0</x:v>
      </x:c>
      <x:c r="K8" s="33" t="str">
        <x:v>ВЫСОКИЙ ПОТЕНЦИАЛ</x:v>
      </x:c>
      <x:c r="L8" s="33" t="str">
        <x:v>Barcelona 5:1 Feyenoord; Galatasaray 1:3 Sporting; рынок около 4.0.</x:v>
      </x:c>
      <x:c r="M8" s="48"/>
      <x:c r="N8" s="48"/>
      <x:c r="O8" s="45" t="str">
        <x:f>IF(OR(M8="",N8=""),"",M8+N8)</x:f>
      </x:c>
      <x:c r="P8" s="45" t="str">
        <x:f>IF(O8="","",ABS(O8-F8))</x:f>
      </x:c>
      <x:c r="Q8" s="33" t="str">
        <x:f>IF(O8="","Ожидает результата","Завершён")</x:f>
        <x:v>Ожидает результата</x:v>
      </x:c>
      <x:c r="R8" s="34" t="str"/>
      <x:c r="S8" s="10"/>
      <x:c r="T8" s="10"/>
      <x:c r="U8" s="10"/>
    </x:row>
    <x:row r="9" ht="84" customHeight="1">
      <x:c r="A9" s="32" t="str">
        <x:v>PTB-20261013-003</x:v>
      </x:c>
      <x:c r="B9" s="39" t="n">
        <x:v>46308</x:v>
      </x:c>
      <x:c r="C9" s="33" t="str">
        <x:v>22:00</x:v>
      </x:c>
      <x:c r="D9" s="33" t="str">
        <x:v>Arsenal — Lille</x:v>
      </x:c>
      <x:c r="E9" s="42" t="n">
        <x:v>3</x:v>
      </x:c>
      <x:c r="F9" s="45" t="n">
        <x:v>3.5</x:v>
      </x:c>
      <x:c r="G9" s="33" t="str">
        <x:v>2–5</x:v>
      </x:c>
      <x:c r="H9" s="33" t="str">
        <x:v>Большое превосходство Arsenal дома; Lille в первом туре сыграл 2:3 и способен оставить пространство.</x:v>
      </x:c>
      <x:c r="I9" s="33" t="str">
        <x:v>Arsenal выиграл у Napoli 1:0 и может закрыть матч; вклад Lille в голы не гарантирован.</x:v>
      </x:c>
      <x:c r="J9" s="33" t="str">
        <x:v>3.0–3.5</x:v>
      </x:c>
      <x:c r="K9" s="33" t="str">
        <x:v>ВЫСОКИЙ ПОТЕНЦИАЛ</x:v>
      </x:c>
      <x:c r="L9" s="33" t="str">
        <x:v>Arsenal около 1.22–1.25; модель DRatings 3.51; разные источники показывают линию 3.0–3.5.</x:v>
      </x:c>
      <x:c r="M9" s="48"/>
      <x:c r="N9" s="48"/>
      <x:c r="O9" s="45" t="str">
        <x:f>IF(OR(M9="",N9=""),"",M9+N9)</x:f>
      </x:c>
      <x:c r="P9" s="45" t="str">
        <x:f>IF(O9="","",ABS(O9-F9))</x:f>
      </x:c>
      <x:c r="Q9" s="33" t="str">
        <x:f>IF(O9="","Ожидает результата","Завершён")</x:f>
        <x:v>Ожидает результата</x:v>
      </x:c>
      <x:c r="R9" s="34" t="str"/>
      <x:c r="S9" s="10"/>
      <x:c r="T9" s="10"/>
      <x:c r="U9" s="10"/>
    </x:row>
    <x:row r="10" ht="84" customHeight="1">
      <x:c r="A10" s="32" t="str">
        <x:v>PTB-20261013-004</x:v>
      </x:c>
      <x:c r="B10" s="39" t="n">
        <x:v>46308</x:v>
      </x:c>
      <x:c r="C10" s="33" t="str">
        <x:v>22:00</x:v>
      </x:c>
      <x:c r="D10" s="33" t="str">
        <x:v>Inter — Club Brugge</x:v>
      </x:c>
      <x:c r="E10" s="42" t="n">
        <x:v>4</x:v>
      </x:c>
      <x:c r="F10" s="45" t="n">
        <x:v>3.4</x:v>
      </x:c>
      <x:c r="G10" s="33" t="str">
        <x:v>2–5</x:v>
      </x:c>
      <x:c r="H10" s="33" t="str">
        <x:v>Inter много создаёт, но регулярно допускает; Brugge прессингует высоко и забил 2 Aston Villa.</x:v>
      </x:c>
      <x:c r="I10" s="33" t="str">
        <x:v>Brugge силён в своей лиге в защите; Inter может выиграть через контроль.</x:v>
      </x:c>
      <x:c r="J10" s="33" t="str">
        <x:v>3.0</x:v>
      </x:c>
      <x:c r="K10" s="33" t="str">
        <x:v>ВЫСОКИЙ ПОТЕНЦИАЛ</x:v>
      </x:c>
      <x:c r="L10" s="33" t="str">
        <x:v>Inter: 3:2 Napoli, 5:3 Udinese, 2:2 Roma; Brugge 2:3 Aston Villa; Inter около 1.22–1.30.</x:v>
      </x:c>
      <x:c r="M10" s="48"/>
      <x:c r="N10" s="48"/>
      <x:c r="O10" s="45" t="str">
        <x:f>IF(OR(M10="",N10=""),"",M10+N10)</x:f>
      </x:c>
      <x:c r="P10" s="45" t="str">
        <x:f>IF(O10="","",ABS(O10-F10))</x:f>
      </x:c>
      <x:c r="Q10" s="33" t="str">
        <x:f>IF(O10="","Ожидает результата","Завершён")</x:f>
        <x:v>Ожидает результата</x:v>
      </x:c>
      <x:c r="R10" s="34" t="str"/>
      <x:c r="S10" s="10"/>
      <x:c r="T10" s="10"/>
      <x:c r="U10" s="10"/>
    </x:row>
    <x:row r="11" ht="84" customHeight="1">
      <x:c r="A11" s="32" t="str">
        <x:v>PTB-20261013-005</x:v>
      </x:c>
      <x:c r="B11" s="39" t="n">
        <x:v>46308</x:v>
      </x:c>
      <x:c r="C11" s="33" t="str">
        <x:v>22:00</x:v>
      </x:c>
      <x:c r="D11" s="33" t="str">
        <x:v>RB Leipzig — PSV</x:v>
      </x:c>
      <x:c r="E11" s="42" t="n">
        <x:v>5</x:v>
      </x:c>
      <x:c r="F11" s="45" t="n">
        <x:v>3.3</x:v>
      </x:c>
      <x:c r="G11" s="33" t="str">
        <x:v>2–5</x:v>
      </x:c>
      <x:c r="H11" s="33" t="str">
        <x:v>Сходные атакующие стили; тренеры ждут открытую игру; Leipzig забил 14:0 в трёх домашних матчах.</x:v>
      </x:c>
      <x:c r="I11" s="33" t="str">
        <x:v>PSV лишён нескольких нападающих; все домашние матчи Leipzig пока без пропущенных.</x:v>
      </x:c>
      <x:c r="J11" s="33" t="str">
        <x:v>3.5</x:v>
      </x:c>
      <x:c r="K11" s="33" t="str">
        <x:v>ВЫСОКИЙ ПОТЕНЦИАЛ</x:v>
      </x:c>
      <x:c r="L11" s="33" t="str">
        <x:v>Leipzig дома 3:0, 5:0, 6:0; PSV забивал в пяти официальных матчах подряд; модель 3.16.</x:v>
      </x:c>
      <x:c r="M11" s="48"/>
      <x:c r="N11" s="48"/>
      <x:c r="O11" s="45" t="str">
        <x:f>IF(OR(M11="",N11=""),"",M11+N11)</x:f>
      </x:c>
      <x:c r="P11" s="45" t="str">
        <x:f>IF(O11="","",ABS(O11-F11))</x:f>
      </x:c>
      <x:c r="Q11" s="33" t="str">
        <x:f>IF(O11="","Ожидает результата","Завершён")</x:f>
        <x:v>Ожидает результата</x:v>
      </x:c>
      <x:c r="R11" s="34" t="str"/>
      <x:c r="S11" s="10"/>
      <x:c r="T11" s="10"/>
      <x:c r="U11" s="10"/>
    </x:row>
    <x:row r="12" ht="84" customHeight="1">
      <x:c r="A12" s="32" t="str">
        <x:v>PTB-20261013-006</x:v>
      </x:c>
      <x:c r="B12" s="39" t="n">
        <x:v>46308</x:v>
      </x:c>
      <x:c r="C12" s="33" t="str">
        <x:v>19:45</x:v>
      </x:c>
      <x:c r="D12" s="33" t="str">
        <x:v>Sabah — Slavia Prague</x:v>
      </x:c>
      <x:c r="E12" s="42" t="n">
        <x:v>6</x:v>
      </x:c>
      <x:c r="F12" s="45" t="n">
        <x:v>3.1</x:v>
      </x:c>
      <x:c r="G12" s="33" t="str">
        <x:v>2–4</x:v>
      </x:c>
      <x:c r="H12" s="33" t="str">
        <x:v>Slavia приехала после четырёх побед; Sabah в среднем участвует примерно в 3.1 гола за матч и дома обязан отвечать.</x:v>
      </x:c>
      <x:c r="I12" s="33" t="str">
        <x:v>Sabah может сыграть осторожнее после 0:4 от United; данных по качеству моментов мало.</x:v>
      </x:c>
      <x:c r="J12" s="33" t="str">
        <x:v>3.0</x:v>
      </x:c>
      <x:c r="K12" s="33" t="str">
        <x:v>УМЕРЕННО ВЫСОКИЙ</x:v>
      </x:c>
      <x:c r="L12" s="33" t="str">
        <x:v>Sabah 0:4 Manchester United; рынок около 3.0, O2.5 примерно 1.67.</x:v>
      </x:c>
      <x:c r="M12" s="48"/>
      <x:c r="N12" s="48"/>
      <x:c r="O12" s="45" t="str">
        <x:f>IF(OR(M12="",N12=""),"",M12+N12)</x:f>
      </x:c>
      <x:c r="P12" s="45" t="str">
        <x:f>IF(O12="","",ABS(O12-F12))</x:f>
      </x:c>
      <x:c r="Q12" s="33" t="str">
        <x:f>IF(O12="","Ожидает результата","Завершён")</x:f>
        <x:v>Ожидает результата</x:v>
      </x:c>
      <x:c r="R12" s="34" t="str"/>
      <x:c r="S12" s="10"/>
      <x:c r="T12" s="10"/>
      <x:c r="U12" s="10"/>
    </x:row>
    <x:row r="13" ht="84" customHeight="1">
      <x:c r="A13" s="32" t="str">
        <x:v>PTB-20261013-007</x:v>
      </x:c>
      <x:c r="B13" s="39" t="n">
        <x:v>46308</x:v>
      </x:c>
      <x:c r="C13" s="33" t="str">
        <x:v>19:45</x:v>
      </x:c>
      <x:c r="D13" s="33" t="str">
        <x:v>Lens — Sporting CP</x:v>
      </x:c>
      <x:c r="E13" s="42" t="n">
        <x:v>7</x:v>
      </x:c>
      <x:c r="F13" s="45" t="n">
        <x:v>3</x:v>
      </x:c>
      <x:c r="G13" s="33" t="str">
        <x:v>2–4</x:v>
      </x:c>
      <x:c r="H13" s="33" t="str">
        <x:v>Обе команды забили по 3 в первом туре и допускают голы; Lens дома должен играть активно.</x:v>
      </x:c>
      <x:c r="I13" s="33" t="str">
        <x:v>Sporting может контролировать матч; доступные модели дают только около 2.57.</x:v>
      </x:c>
      <x:c r="J13" s="33" t="str">
        <x:v>3.0</x:v>
      </x:c>
      <x:c r="K13" s="33" t="str">
        <x:v>УМЕРЕННО ВЫСОКИЙ</x:v>
      </x:c>
      <x:c r="L13" s="33" t="str">
        <x:v>Lens 3:2 Slavia; Sporting 3:1 Galatasaray; модель DRatings 2.57.</x:v>
      </x:c>
      <x:c r="M13" s="48"/>
      <x:c r="N13" s="48"/>
      <x:c r="O13" s="45" t="str">
        <x:f>IF(OR(M13="",N13=""),"",M13+N13)</x:f>
      </x:c>
      <x:c r="P13" s="45" t="str">
        <x:f>IF(O13="","",ABS(O13-F13))</x:f>
      </x:c>
      <x:c r="Q13" s="33" t="str">
        <x:f>IF(O13="","Ожидает результата","Завершён")</x:f>
        <x:v>Ожидает результата</x:v>
      </x:c>
      <x:c r="R13" s="34" t="str"/>
      <x:c r="S13" s="10"/>
      <x:c r="T13" s="10"/>
      <x:c r="U13" s="10"/>
    </x:row>
    <x:row r="14" ht="84" customHeight="1">
      <x:c r="A14" s="32" t="str">
        <x:v>PTB-20261013-008</x:v>
      </x:c>
      <x:c r="B14" s="39" t="n">
        <x:v>46308</x:v>
      </x:c>
      <x:c r="C14" s="33" t="str">
        <x:v>22:00</x:v>
      </x:c>
      <x:c r="D14" s="33" t="str">
        <x:v>Atlético Madrid — Manchester United</x:v>
      </x:c>
      <x:c r="E14" s="42" t="n">
        <x:v>8</x:v>
      </x:c>
      <x:c r="F14" s="45" t="n">
        <x:v>2.9</x:v>
      </x:c>
      <x:c r="G14" s="33" t="str">
        <x:v>2–4</x:v>
      </x:c>
      <x:c r="H14" s="33" t="str">
        <x:v>Atlético резко прибавил дома; защита United нестабильна, а гостям придётся отвечать.</x:v>
      </x:c>
      <x:c r="I14" s="33" t="str">
        <x:v>Стиль Atlético способен замедлить матч; United испытывает кадровые проблемы и может мало создать.</x:v>
      </x:c>
      <x:c r="J14" s="33" t="str">
        <x:v>3.5</x:v>
      </x:c>
      <x:c r="K14" s="33" t="str">
        <x:v>НАБЛЮДАТЬ В LIVE</x:v>
      </x:c>
      <x:c r="L14" s="33" t="str">
        <x:v>Atlético: 4 победы подряд; United 6 очков в 6 турах АПЛ; модель DRatings 2.55.</x:v>
      </x:c>
      <x:c r="M14" s="48"/>
      <x:c r="N14" s="48"/>
      <x:c r="O14" s="45" t="str">
        <x:f>IF(OR(M14="",N14=""),"",M14+N14)</x:f>
      </x:c>
      <x:c r="P14" s="45" t="str">
        <x:f>IF(O14="","",ABS(O14-F14))</x:f>
      </x:c>
      <x:c r="Q14" s="33" t="str">
        <x:f>IF(O14="","Ожидает результата","Завершён")</x:f>
        <x:v>Ожидает результата</x:v>
      </x:c>
      <x:c r="R14" s="34" t="str"/>
      <x:c r="S14" s="10"/>
      <x:c r="T14" s="10"/>
      <x:c r="U14" s="10"/>
    </x:row>
    <x:row r="15" ht="84" customHeight="1">
      <x:c r="A15" s="35" t="str">
        <x:v>PTB-20261013-009</x:v>
      </x:c>
      <x:c r="B15" s="40" t="n">
        <x:v>46308</x:v>
      </x:c>
      <x:c r="C15" s="36" t="str">
        <x:v>22:00</x:v>
      </x:c>
      <x:c r="D15" s="36" t="str">
        <x:v>Villarreal — Napoli</x:v>
      </x:c>
      <x:c r="E15" s="43" t="n">
        <x:v>9</x:v>
      </x:c>
      <x:c r="F15" s="46" t="n">
        <x:v>2.8</x:v>
      </x:c>
      <x:c r="G15" s="36" t="str">
        <x:v>2–4</x:v>
      </x:c>
      <x:c r="H15" s="36" t="str">
        <x:v>Villarreal забил 3 в двух из последних пяти и пропустил минимум 2 в трёх; обеим нужны первые очки.</x:v>
      </x:c>
      <x:c r="I15" s="36" t="str">
        <x:v>Napoli при Allegri может снизить темп; первый тур Napoli завершился 0:1, атака неровная.</x:v>
      </x:c>
      <x:c r="J15" s="36" t="str">
        <x:v>2.5</x:v>
      </x:c>
      <x:c r="K15" s="36" t="str">
        <x:v>НАБЛЮДАТЬ В LIVE</x:v>
      </x:c>
      <x:c r="L15" s="36" t="str">
        <x:v>Villarreal 2:3 Dortmund; Napoli 0:1 Arsenal; рынок TБ2.5 около 1.68; модель 2.53.</x:v>
      </x:c>
      <x:c r="M15" s="49"/>
      <x:c r="N15" s="49"/>
      <x:c r="O15" s="46" t="str">
        <x:f>IF(OR(M15="",N15=""),"",M15+N15)</x:f>
      </x:c>
      <x:c r="P15" s="46" t="str">
        <x:f>IF(O15="","",ABS(O15-F15))</x:f>
      </x:c>
      <x:c r="Q15" s="36" t="str">
        <x:f>IF(O15="","Ожидает результата","Завершён")</x:f>
        <x:v>Ожидает результата</x:v>
      </x:c>
      <x:c r="R15" s="37" t="str"/>
      <x:c r="S15" s="10"/>
      <x:c r="T15" s="10"/>
      <x:c r="U15" s="10"/>
    </x:row>
  </x:sheetData>
  <x:conditionalFormatting sqref="F7:F15">
    <x:cfRule type="colorScale" priority="1">
      <x:colorScale>
        <x:cfvo type="min"/>
        <x:cfvo type="percentile" val="50"/>
        <x:cfvo type="max"/>
        <x:color rgb="FFFFF2CC"/>
        <x:color rgb="FFC6E0B4"/>
        <x:color rgb="FF70AD4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756a033339b482b"/>
  </x:tableParts>
</x:worksheet>
</file>