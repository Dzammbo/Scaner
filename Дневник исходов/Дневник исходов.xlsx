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Сводка" sheetId="1" state="visible" r:id="rId1"/>
    <sheet xmlns:r="http://schemas.openxmlformats.org/officeDocument/2006/relationships" name="Реестр" sheetId="2" state="visible" r:id="rId2"/>
    <sheet xmlns:r="http://schemas.openxmlformats.org/officeDocument/2006/relationships" name="Исходы" sheetId="3" state="visible" r:id="rId3"/>
    <sheet xmlns:r="http://schemas.openxmlformats.org/officeDocument/2006/relationships" name="Правила" sheetId="4" state="visible" r:id="rId4"/>
    <sheet xmlns:r="http://schemas.openxmlformats.org/officeDocument/2006/relationships" name="Анализ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rlito"/>
      <sz val="11"/>
    </font>
    <font>
      <name val="Times New Roman"/>
      <color rgb="FF1F1F1F"/>
      <sz val="11"/>
    </font>
    <font>
      <name val="Times New Roman"/>
      <b val="1"/>
      <color rgb="FF1F1F1F"/>
      <sz val="16"/>
    </font>
    <font>
      <name val="Times New Roman"/>
      <i val="1"/>
      <color rgb="FF666666"/>
      <sz val="11"/>
    </font>
    <font>
      <name val="Times New Roman"/>
      <b val="1"/>
      <color rgb="FFFFFFFF"/>
      <sz val="11"/>
    </font>
    <font>
      <name val="Times New Roman"/>
      <i val="1"/>
      <color rgb="FF7F6000"/>
      <sz val="11"/>
    </font>
    <font>
      <name val="Times New Roman"/>
      <b val="1"/>
      <color rgb="FF1F1F1F"/>
      <sz val="11"/>
    </font>
    <font>
      <name val="Times New Roman"/>
      <b val="1"/>
      <color rgb="FF008000"/>
      <sz val="11"/>
    </font>
    <font>
      <name val="Times New Roman"/>
      <b val="1"/>
      <color rgb="FFFF0000"/>
      <sz val="11"/>
    </font>
    <font>
      <name val="Times New Roman"/>
      <b val="1"/>
      <color rgb="FF1F1F1F"/>
      <sz val="12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70AD47"/>
      </patternFill>
    </fill>
  </fills>
  <borders count="8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A6A6A6"/>
      </bottom>
      <diagonal/>
    </border>
    <border>
      <left/>
      <right/>
      <top style="thin">
        <color rgb="FFD9E2F3"/>
      </top>
      <bottom/>
      <diagonal/>
    </border>
    <border>
      <left/>
      <right/>
      <top/>
      <bottom style="thin">
        <color rgb="FFE2F0D9"/>
      </bottom>
      <diagonal/>
    </border>
    <border>
      <left/>
      <right/>
      <top style="thin">
        <color rgb="FFE2F0D9"/>
      </top>
      <bottom style="thin">
        <color rgb="FFE2F0D9"/>
      </bottom>
      <diagonal/>
    </border>
    <border>
      <left/>
      <right/>
      <top style="thin">
        <color rgb="FFE2F0D9"/>
      </top>
      <bottom style="thin">
        <color rgb="FFA6A6A6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 vertical="center" wrapText="1"/>
    </xf>
    <xf numFmtId="3" fontId="1" fillId="0" borderId="0" pivotButton="0" quotePrefix="0" xfId="0"/>
    <xf numFmtId="2" fontId="1" fillId="0" borderId="0" pivotButton="0" quotePrefix="0" xfId="0"/>
    <xf numFmtId="164" fontId="1" fillId="0" borderId="0" pivotButton="0" quotePrefix="0" xfId="0"/>
    <xf numFmtId="4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" fillId="0" borderId="2" pivotButton="0" quotePrefix="0" xfId="0"/>
    <xf numFmtId="3" fontId="1" fillId="0" borderId="2" pivotButton="0" quotePrefix="0" xfId="0"/>
    <xf numFmtId="2" fontId="1" fillId="0" borderId="2" pivotButton="0" quotePrefix="0" xfId="0"/>
    <xf numFmtId="164" fontId="1" fillId="0" borderId="2" pivotButton="0" quotePrefix="0" xfId="0"/>
    <xf numFmtId="4" fontId="1" fillId="0" borderId="2" pivotButton="0" quotePrefix="0" xfId="0"/>
    <xf numFmtId="0" fontId="1" fillId="0" borderId="3" pivotButton="0" quotePrefix="0" xfId="0"/>
    <xf numFmtId="3" fontId="1" fillId="0" borderId="3" pivotButton="0" quotePrefix="0" xfId="0"/>
    <xf numFmtId="2" fontId="1" fillId="0" borderId="3" pivotButton="0" quotePrefix="0" xfId="0"/>
    <xf numFmtId="164" fontId="1" fillId="0" borderId="3" pivotButton="0" quotePrefix="0" xfId="0"/>
    <xf numFmtId="4" fontId="1" fillId="0" borderId="3" pivotButton="0" quotePrefix="0" xfId="0"/>
    <xf numFmtId="0" fontId="1" fillId="3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0" applyAlignment="1" pivotButton="0" quotePrefix="0" xfId="0">
      <alignment horizont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wrapText="1"/>
    </xf>
    <xf numFmtId="2" fontId="1" fillId="0" borderId="2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2" fontId="1" fillId="0" borderId="3" applyAlignment="1" pivotButton="0" quotePrefix="0" xfId="0">
      <alignment wrapText="1"/>
    </xf>
    <xf numFmtId="0" fontId="1" fillId="0" borderId="2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2" fontId="1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/>
    </xf>
    <xf numFmtId="0" fontId="1" fillId="0" borderId="3" applyAlignment="1" pivotButton="0" quotePrefix="0" xfId="0">
      <alignment vertical="center" wrapText="1"/>
    </xf>
    <xf numFmtId="2" fontId="1" fillId="0" borderId="3" applyAlignment="1" pivotButton="0" quotePrefix="0" xfId="0">
      <alignment vertical="center" wrapText="1"/>
    </xf>
    <xf numFmtId="0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1" fillId="0" borderId="1" pivotButton="0" quotePrefix="0" xfId="0"/>
    <xf numFmtId="0" fontId="1" fillId="0" borderId="4" pivotButton="0" quotePrefix="0" xfId="0"/>
    <xf numFmtId="3" fontId="1" fillId="0" borderId="4" pivotButton="0" quotePrefix="0" xfId="0"/>
    <xf numFmtId="0" fontId="1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1" fillId="5" borderId="0" pivotButton="0" quotePrefix="0" xfId="0"/>
    <xf numFmtId="0" fontId="6" fillId="5" borderId="0" pivotButton="0" quotePrefix="0" xfId="0"/>
    <xf numFmtId="0" fontId="1" fillId="0" borderId="0" applyAlignment="1" pivotButton="0" quotePrefix="0" xfId="0">
      <alignment wrapText="1"/>
    </xf>
    <xf numFmtId="0" fontId="6" fillId="5" borderId="0" applyAlignment="1" pivotButton="0" quotePrefix="0" xfId="0">
      <alignment wrapText="1"/>
    </xf>
    <xf numFmtId="3" fontId="1" fillId="6" borderId="2" pivotButton="0" quotePrefix="0" xfId="0"/>
    <xf numFmtId="3" fontId="7" fillId="6" borderId="2" pivotButton="0" quotePrefix="0" xfId="0"/>
    <xf numFmtId="3" fontId="7" fillId="0" borderId="2" pivotButton="0" quotePrefix="0" xfId="0"/>
    <xf numFmtId="3" fontId="1" fillId="7" borderId="2" pivotButton="0" quotePrefix="0" xfId="0"/>
    <xf numFmtId="3" fontId="8" fillId="7" borderId="2" pivotButton="0" quotePrefix="0" xfId="0"/>
    <xf numFmtId="3" fontId="8" fillId="0" borderId="2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1" fillId="8" borderId="0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8" borderId="0" pivotButton="0" quotePrefix="0" xfId="0"/>
    <xf numFmtId="0" fontId="4" fillId="8" borderId="0" applyAlignment="1" pivotButton="0" quotePrefix="0" xfId="0">
      <alignment wrapText="1"/>
    </xf>
    <xf numFmtId="0" fontId="4" fillId="8" borderId="0" applyAlignment="1" pivotButton="0" quotePrefix="0" xfId="0">
      <alignment horizontal="center" wrapText="1"/>
    </xf>
    <xf numFmtId="0" fontId="4" fillId="8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3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8" borderId="0" applyAlignment="1" pivotButton="0" quotePrefix="0" xfId="0">
      <alignment horizontal="center"/>
    </xf>
    <xf numFmtId="0" fontId="4" fillId="8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9" fillId="0" borderId="0" pivotButton="0" quotePrefix="0" xfId="0"/>
    <xf numFmtId="0" fontId="1" fillId="9" borderId="0" pivotButton="0" quotePrefix="0" xfId="0"/>
    <xf numFmtId="0" fontId="4" fillId="9" borderId="0" pivotButton="0" quotePrefix="0" xfId="0"/>
    <xf numFmtId="0" fontId="4" fillId="9" borderId="0" applyAlignment="1" pivotButton="0" quotePrefix="0" xfId="0">
      <alignment wrapText="1"/>
    </xf>
    <xf numFmtId="0" fontId="4" fillId="9" borderId="0" applyAlignment="1" pivotButton="0" quotePrefix="0" xfId="0">
      <alignment horizontal="center" wrapText="1"/>
    </xf>
    <xf numFmtId="0" fontId="4" fillId="9" borderId="0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1" fillId="10" borderId="0" pivotButton="0" quotePrefix="0" xfId="0"/>
    <xf numFmtId="0" fontId="4" fillId="10" borderId="0" pivotButton="0" quotePrefix="0" xfId="0"/>
    <xf numFmtId="0" fontId="4" fillId="10" borderId="0" applyAlignment="1" pivotButton="0" quotePrefix="0" xfId="0">
      <alignment wrapText="1"/>
    </xf>
    <xf numFmtId="0" fontId="4" fillId="10" borderId="0" applyAlignment="1" pivotButton="0" quotePrefix="0" xfId="0">
      <alignment horizontal="center" wrapText="1"/>
    </xf>
    <xf numFmtId="0" fontId="4" fillId="10" borderId="0" applyAlignment="1" pivotButton="0" quotePrefix="0" xfId="0">
      <alignment horizontal="center" vertical="center" wrapText="1"/>
    </xf>
    <xf numFmtId="0" fontId="4" fillId="10" borderId="5" applyAlignment="1" pivotButton="0" quotePrefix="0" xfId="0">
      <alignment horizontal="center" vertical="center" wrapText="1"/>
    </xf>
    <xf numFmtId="0" fontId="1" fillId="0" borderId="6" pivotButton="0" quotePrefix="0" xfId="0"/>
    <xf numFmtId="3" fontId="1" fillId="0" borderId="6" pivotButton="0" quotePrefix="0" xfId="0"/>
    <xf numFmtId="164" fontId="1" fillId="0" borderId="6" pivotButton="0" quotePrefix="0" xfId="0"/>
    <xf numFmtId="0" fontId="1" fillId="0" borderId="7" pivotButton="0" quotePrefix="0" xfId="0"/>
    <xf numFmtId="3" fontId="1" fillId="0" borderId="7" pivotButton="0" quotePrefix="0" xfId="0"/>
    <xf numFmtId="164" fontId="1" fillId="0" borderId="7" pivotButton="0" quotePrefix="0" xfId="0"/>
    <xf numFmtId="3" fontId="1" fillId="0" borderId="3" applyAlignment="1" pivotButton="0" quotePrefix="0" xfId="0">
      <alignment vertical="center"/>
    </xf>
    <xf numFmtId="2" fontId="1" fillId="0" borderId="3" applyAlignment="1" pivotButton="0" quotePrefix="0" xfId="0">
      <alignment vertical="center"/>
    </xf>
    <xf numFmtId="164" fontId="1" fillId="0" borderId="3" applyAlignment="1" pivotButton="0" quotePrefix="0" xfId="0">
      <alignment vertical="center"/>
    </xf>
    <xf numFmtId="4" fontId="1" fillId="0" borderId="3" applyAlignment="1" pivotButton="0" quotePrefix="0" xfId="0">
      <alignment vertical="center"/>
    </xf>
    <xf numFmtId="0" fontId="1" fillId="11" borderId="0" pivotButton="0" quotePrefix="0" xfId="0"/>
    <xf numFmtId="0" fontId="4" fillId="11" borderId="0" pivotButton="0" quotePrefix="0" xfId="0"/>
    <xf numFmtId="0" fontId="4" fillId="11" borderId="0" applyAlignment="1" pivotButton="0" quotePrefix="0" xfId="0">
      <alignment horizontal="center"/>
    </xf>
    <xf numFmtId="0" fontId="4" fillId="11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1" fillId="12" borderId="0" pivotButton="0" quotePrefix="0" xfId="0"/>
    <xf numFmtId="0" fontId="4" fillId="12" borderId="0" pivotButton="0" quotePrefix="0" xfId="0"/>
    <xf numFmtId="0" fontId="4" fillId="12" borderId="0" applyAlignment="1" pivotButton="0" quotePrefix="0" xfId="0">
      <alignment wrapText="1"/>
    </xf>
    <xf numFmtId="0" fontId="4" fillId="12" borderId="0" applyAlignment="1" pivotButton="0" quotePrefix="0" xfId="0">
      <alignment horizontal="center" wrapText="1"/>
    </xf>
    <xf numFmtId="0" fontId="4" fillId="12" borderId="0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1" fillId="13" borderId="0" pivotButton="0" quotePrefix="0" xfId="0"/>
    <xf numFmtId="0" fontId="4" fillId="13" borderId="0" pivotButton="0" quotePrefix="0" xfId="0"/>
    <xf numFmtId="0" fontId="4" fillId="13" borderId="0" applyAlignment="1" pivotButton="0" quotePrefix="0" xfId="0">
      <alignment wrapText="1"/>
    </xf>
    <xf numFmtId="0" fontId="4" fillId="13" borderId="0" applyAlignment="1" pivotButton="0" quotePrefix="0" xfId="0">
      <alignment horizontal="center" wrapText="1"/>
    </xf>
    <xf numFmtId="0" fontId="4" fillId="13" borderId="0" applyAlignment="1" pivotButton="0" quotePrefix="0" xfId="0">
      <alignment horizontal="center" vertical="center" wrapText="1"/>
    </xf>
    <xf numFmtId="0" fontId="4" fillId="13" borderId="5" applyAlignment="1" pivotButton="0" quotePrefix="0" xfId="0">
      <alignment horizontal="center" vertical="center" wrapText="1"/>
    </xf>
    <xf numFmtId="3" fontId="1" fillId="0" borderId="2" pivotButton="0" quotePrefix="0" xfId="0"/>
    <xf numFmtId="164" fontId="1" fillId="0" borderId="2" pivotButton="0" quotePrefix="0" xfId="0"/>
    <xf numFmtId="2" fontId="1" fillId="0" borderId="2" pivotButton="0" quotePrefix="0" xfId="0"/>
    <xf numFmtId="3" fontId="1" fillId="0" borderId="4" pivotButton="0" quotePrefix="0" xfId="0"/>
    <xf numFmtId="4" fontId="1" fillId="0" borderId="2" pivotButton="0" quotePrefix="0" xfId="0"/>
    <xf numFmtId="3" fontId="1" fillId="0" borderId="3" pivotButton="0" quotePrefix="0" xfId="0"/>
    <xf numFmtId="2" fontId="1" fillId="0" borderId="3" pivotButton="0" quotePrefix="0" xfId="0"/>
    <xf numFmtId="164" fontId="1" fillId="0" borderId="3" pivotButton="0" quotePrefix="0" xfId="0"/>
    <xf numFmtId="4" fontId="1" fillId="0" borderId="3" pivotButton="0" quotePrefix="0" xfId="0"/>
    <xf numFmtId="3" fontId="7" fillId="6" borderId="2" pivotButton="0" quotePrefix="0" xfId="0"/>
    <xf numFmtId="3" fontId="7" fillId="0" borderId="2" pivotButton="0" quotePrefix="0" xfId="0"/>
    <xf numFmtId="3" fontId="8" fillId="7" borderId="2" pivotButton="0" quotePrefix="0" xfId="0"/>
    <xf numFmtId="3" fontId="8" fillId="0" borderId="2" pivotButton="0" quotePrefix="0" xfId="0"/>
    <xf numFmtId="3" fontId="1" fillId="0" borderId="3" applyAlignment="1" pivotButton="0" quotePrefix="0" xfId="0">
      <alignment vertical="center"/>
    </xf>
    <xf numFmtId="2" fontId="1" fillId="0" borderId="3" applyAlignment="1" pivotButton="0" quotePrefix="0" xfId="0">
      <alignment vertical="center"/>
    </xf>
    <xf numFmtId="164" fontId="1" fillId="0" borderId="3" applyAlignment="1" pivotButton="0" quotePrefix="0" xfId="0">
      <alignment vertical="center"/>
    </xf>
    <xf numFmtId="4" fontId="1" fillId="0" borderId="3" applyAlignment="1" pivotButton="0" quotePrefix="0" xfId="0">
      <alignment vertical="center"/>
    </xf>
    <xf numFmtId="2" fontId="1" fillId="0" borderId="2" applyAlignment="1" pivotButton="0" quotePrefix="0" xfId="0">
      <alignment vertical="center" wrapText="1"/>
    </xf>
    <xf numFmtId="2" fontId="1" fillId="0" borderId="3" applyAlignment="1" pivotButton="0" quotePrefix="0" xfId="0">
      <alignment vertical="center" wrapText="1"/>
    </xf>
    <xf numFmtId="3" fontId="1" fillId="0" borderId="6" pivotButton="0" quotePrefix="0" xfId="0"/>
    <xf numFmtId="164" fontId="1" fillId="0" borderId="6" pivotButton="0" quotePrefix="0" xfId="0"/>
    <xf numFmtId="3" fontId="1" fillId="0" borderId="7" pivotButton="0" quotePrefix="0" xfId="0"/>
    <xf numFmtId="164" fontId="1" fillId="0" borderId="7" pivotButton="0" quotePrefix="0" xfId="0"/>
  </cellXfs>
  <cellStyles count="1">
    <cellStyle name="Normal" xfId="0"/>
  </cellStyles>
  <dxfs count="15">
    <dxf>
      <font>
        <b val="1"/>
        <color rgb="FF008000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C00000"/>
      </font>
    </dxf>
    <dxf>
      <font>
        <b val="1"/>
        <color rgb="FF008000"/>
      </font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C00000"/>
      </font>
    </dxf>
    <dxf>
      <font>
        <b val="1"/>
        <color rgb="FF008000"/>
      </font>
    </dxf>
    <dxf>
      <font>
        <b val="1"/>
        <color rgb="FFC00000"/>
      </font>
    </dxf>
    <dxf>
      <font>
        <b val="1"/>
        <color rgb="FF008000"/>
      </font>
    </dxf>
    <dxf>
      <font>
        <b val="1"/>
        <color rgb="FFC00000"/>
      </font>
    </dxf>
    <dxf>
      <font>
        <b val="1"/>
        <color rgb="FF008000"/>
      </font>
    </dxf>
    <dxf>
      <font>
        <b val="1"/>
        <color rgb="FFC00000"/>
      </font>
    </dxf>
    <dxf>
      <font>
        <b val="1"/>
        <color rgb="FF008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2" customWidth="1" min="2" max="2"/>
  </cols>
  <sheetData>
    <row r="1">
      <c r="A1" s="2" t="inlineStr">
        <is>
          <t>Статистика дневника исходов</t>
        </is>
      </c>
      <c r="B1" s="2" t="n"/>
      <c r="C1" s="2" t="n"/>
      <c r="D1" s="2" t="n"/>
      <c r="E1" s="2" t="n"/>
    </row>
    <row r="2">
      <c r="A2" s="1" t="inlineStr">
        <is>
          <t>Дата</t>
        </is>
      </c>
      <c r="B2" s="1" t="inlineStr">
        <is>
          <t>12.10.2026</t>
        </is>
      </c>
      <c r="C2" s="1" t="n"/>
      <c r="D2" s="1" t="n"/>
      <c r="E2" s="1" t="n"/>
    </row>
    <row r="3">
      <c r="A3" s="1" t="n"/>
      <c r="B3" s="1" t="n"/>
      <c r="C3" s="1" t="n"/>
      <c r="D3" s="1" t="n"/>
      <c r="E3" s="1" t="n"/>
    </row>
    <row r="4">
      <c r="A4" s="41" t="inlineStr">
        <is>
          <t>Показатель</t>
        </is>
      </c>
      <c r="B4" s="41" t="inlineStr">
        <is>
          <t>Значение</t>
        </is>
      </c>
      <c r="C4" s="1" t="n"/>
      <c r="D4" s="1" t="n"/>
      <c r="E4" s="1" t="n"/>
    </row>
    <row r="5">
      <c r="A5" s="42" t="inlineStr">
        <is>
          <t>Всего купонов</t>
        </is>
      </c>
      <c r="B5" s="42" t="n">
        <v>104</v>
      </c>
      <c r="C5" s="1" t="n"/>
      <c r="D5" s="1" t="n"/>
      <c r="E5" s="1" t="n"/>
    </row>
    <row r="6">
      <c r="A6" s="14" t="inlineStr">
        <is>
          <t>Оборот</t>
        </is>
      </c>
      <c r="B6" s="113" t="n">
        <v>19833</v>
      </c>
      <c r="C6" s="1" t="n"/>
      <c r="D6" s="1" t="n"/>
      <c r="E6" s="1" t="n"/>
    </row>
    <row r="7">
      <c r="A7" s="14" t="inlineStr">
        <is>
          <t>Финансово закрыто</t>
        </is>
      </c>
      <c r="B7" s="113" t="n">
        <v>70</v>
      </c>
      <c r="C7" s="1" t="n"/>
      <c r="D7" s="1" t="n"/>
      <c r="E7" s="1" t="n"/>
    </row>
    <row r="8">
      <c r="A8" s="14" t="inlineStr">
        <is>
          <t>Открыто</t>
        </is>
      </c>
      <c r="B8" s="113" t="n">
        <v>34</v>
      </c>
      <c r="C8" s="1" t="n"/>
      <c r="D8" s="1" t="n"/>
      <c r="E8" s="1" t="n"/>
    </row>
    <row r="9">
      <c r="A9" s="14" t="inlineStr">
        <is>
          <t>Оборот закрытых</t>
        </is>
      </c>
      <c r="B9" s="113" t="n">
        <v>13133</v>
      </c>
      <c r="C9" s="1" t="n"/>
      <c r="D9" s="1" t="n"/>
      <c r="E9" s="1" t="n"/>
    </row>
    <row r="10">
      <c r="A10" s="14" t="inlineStr">
        <is>
          <t>Фактический возврат</t>
        </is>
      </c>
      <c r="B10" s="113" t="n">
        <v>14635</v>
      </c>
      <c r="C10" s="1" t="n"/>
      <c r="D10" s="1" t="n"/>
      <c r="E10" s="1" t="n"/>
    </row>
    <row r="11">
      <c r="A11" s="14" t="inlineStr">
        <is>
          <t>Результат</t>
        </is>
      </c>
      <c r="B11" s="113" t="n">
        <v>1502</v>
      </c>
      <c r="C11" s="1" t="n"/>
      <c r="D11" s="1" t="n"/>
      <c r="E11" s="1" t="n"/>
    </row>
    <row r="12">
      <c r="A12" s="14" t="inlineStr">
        <is>
          <t>ROI</t>
        </is>
      </c>
      <c r="B12" s="114" t="n">
        <v>0.1143683849843905</v>
      </c>
      <c r="C12" s="1" t="n"/>
      <c r="D12" s="1" t="n"/>
      <c r="E12" s="1" t="n"/>
    </row>
    <row r="13">
      <c r="A13" s="14" t="inlineStr">
        <is>
          <t>Выигрыши</t>
        </is>
      </c>
      <c r="B13" s="14" t="n">
        <v>35</v>
      </c>
      <c r="C13" s="1" t="n"/>
      <c r="D13" s="1" t="n"/>
      <c r="E13" s="1" t="n"/>
    </row>
    <row r="14">
      <c r="A14" s="14" t="inlineStr">
        <is>
          <t>Проигрыши</t>
        </is>
      </c>
      <c r="B14" s="14" t="n">
        <v>27</v>
      </c>
      <c r="C14" s="1" t="n"/>
      <c r="D14" s="1" t="n"/>
      <c r="E14" s="1" t="n"/>
    </row>
    <row r="15">
      <c r="A15" s="14" t="inlineStr">
        <is>
          <t>Возвраты</t>
        </is>
      </c>
      <c r="B15" s="14" t="n">
        <v>7</v>
      </c>
      <c r="C15" s="1" t="n"/>
      <c r="D15" s="1" t="n"/>
      <c r="E15" s="1" t="n"/>
    </row>
    <row r="16">
      <c r="A16" s="14" t="inlineStr">
        <is>
          <t>Продано</t>
        </is>
      </c>
      <c r="B16" s="14" t="n">
        <v>1</v>
      </c>
      <c r="C16" s="1" t="n"/>
      <c r="D16" s="1" t="n"/>
      <c r="E16" s="1" t="n"/>
    </row>
    <row r="17">
      <c r="A17" s="14" t="inlineStr">
        <is>
          <t>Проходимость</t>
        </is>
      </c>
      <c r="B17" s="114" t="n">
        <v>0.5645161290322581</v>
      </c>
      <c r="C17" s="1" t="n"/>
      <c r="D17" s="1" t="n"/>
      <c r="E17" s="1" t="n"/>
    </row>
    <row r="18">
      <c r="A18" s="14" t="inlineStr">
        <is>
          <t>Средний коэффициент</t>
        </is>
      </c>
      <c r="B18" s="115" t="n">
        <v>1.910576923076923</v>
      </c>
      <c r="C18" s="1" t="n"/>
      <c r="D18" s="1" t="n"/>
      <c r="E18" s="1" t="n"/>
    </row>
    <row r="19">
      <c r="A19" s="14" t="inlineStr">
        <is>
          <t>Средневзвешенный коэффициент</t>
        </is>
      </c>
      <c r="B19" s="115" t="n">
        <v>1.876519437301467</v>
      </c>
      <c r="C19" s="1" t="n"/>
      <c r="D19" s="1" t="n"/>
      <c r="E19" s="1" t="n"/>
    </row>
    <row r="20">
      <c r="A20" s="14" t="inlineStr">
        <is>
          <t>Объём открытых</t>
        </is>
      </c>
      <c r="B20" s="113" t="n">
        <v>6700</v>
      </c>
      <c r="C20" s="1" t="n"/>
      <c r="D20" s="1" t="n"/>
      <c r="E20" s="1" t="n"/>
    </row>
    <row r="21">
      <c r="A21" s="43" t="inlineStr">
        <is>
          <t>Возможный возврат открытых</t>
        </is>
      </c>
      <c r="B21" s="116" t="n">
        <v>12128</v>
      </c>
      <c r="C21" s="1" t="n"/>
      <c r="D21" s="1" t="n"/>
      <c r="E21" s="1" t="n"/>
    </row>
    <row r="22">
      <c r="A22" s="1" t="n"/>
      <c r="B22" s="1" t="n"/>
      <c r="C22" s="1" t="n"/>
      <c r="D22" s="1" t="n"/>
      <c r="E22" s="1" t="n"/>
    </row>
    <row r="23">
      <c r="A23" s="47" t="inlineStr">
        <is>
          <t>Примечание</t>
        </is>
      </c>
      <c r="B23" s="47" t="inlineStr">
        <is>
          <t>Купон №414 учтён по фактической продаже: 2 274 → 1 728, результат -546. Купон №443 - фрибет 500: денежный оборот 0, чистый выигрыш 690 без возврата номинала.</t>
        </is>
      </c>
      <c r="C23" s="1" t="n"/>
      <c r="D23" s="1" t="n"/>
      <c r="E23" s="1" t="n"/>
    </row>
    <row r="24">
      <c r="A24" s="47" t="inlineStr">
        <is>
          <t>Источник</t>
        </is>
      </c>
      <c r="B24" s="47" t="inlineStr">
        <is>
          <t>Скриншоты истории Olimpbet: итоговые статусы и счета купонов №377-450; открытые купоны №350, №447 и №451-479.</t>
        </is>
      </c>
      <c r="C24" s="1" t="n"/>
      <c r="D24" s="1" t="n"/>
      <c r="E24" s="1" t="n"/>
    </row>
  </sheetData>
  <conditionalFormatting sqref="B11:B12">
    <cfRule type="cellIs" priority="1" operator="lessThan" dxfId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9"/>
  <sheetViews>
    <sheetView showGridLines="0" workbookViewId="0">
      <pane xSplit="2" ySplit="5" topLeftCell="C6" activePane="bottomRight" state="frozen"/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1" customWidth="1" min="4" max="4"/>
    <col width="9" customWidth="1" min="5" max="5"/>
    <col width="11" customWidth="1" min="6" max="6"/>
    <col width="13" customWidth="1" min="7" max="7"/>
    <col width="18" customWidth="1" min="8" max="8"/>
    <col width="13" customWidth="1" min="9" max="9"/>
    <col width="19" customWidth="1" min="10" max="10"/>
    <col width="12" customWidth="1" min="11" max="11"/>
    <col width="10" customWidth="1" min="12" max="12"/>
    <col width="14" customWidth="1" min="13" max="13"/>
    <col width="10" customWidth="1" min="14" max="14"/>
    <col width="20" customWidth="1" min="15" max="15"/>
    <col width="12" customWidth="1" min="16" max="16"/>
    <col width="15" customWidth="1" min="17" max="17"/>
    <col width="22" customWidth="1" min="18" max="18"/>
    <col width="20" customWidth="1" min="19" max="19"/>
    <col width="22" customWidth="1" min="20" max="20"/>
    <col width="18" customWidth="1" min="21" max="21"/>
    <col width="30" customWidth="1" min="22" max="22"/>
    <col width="36" customWidth="1" min="23" max="23"/>
  </cols>
  <sheetData>
    <row r="1">
      <c r="A1" s="2" t="inlineStr">
        <is>
          <t>Дневник исходов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69" t="inlineStr">
        <is>
          <t>Основной ключ - № купона. Видео и скрины используются только для переноса данных.</t>
        </is>
      </c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36" customHeight="1">
      <c r="A5" s="13" t="inlineStr">
        <is>
          <t>Дата</t>
        </is>
      </c>
      <c r="B5" s="13" t="inlineStr">
        <is>
          <t>№ купона</t>
        </is>
      </c>
      <c r="C5" s="13" t="inlineStr">
        <is>
          <t>Время</t>
        </is>
      </c>
      <c r="D5" s="13" t="inlineStr">
        <is>
          <t>Тип</t>
        </is>
      </c>
      <c r="E5" s="13" t="inlineStr">
        <is>
          <t>Событий</t>
        </is>
      </c>
      <c r="F5" s="13" t="inlineStr">
        <is>
          <t>Сумма</t>
        </is>
      </c>
      <c r="G5" s="13" t="inlineStr">
        <is>
          <t>Коэффициент</t>
        </is>
      </c>
      <c r="H5" s="13" t="inlineStr">
        <is>
          <t>Возможный возврат</t>
        </is>
      </c>
      <c r="I5" s="13" t="inlineStr">
        <is>
          <t>Статус</t>
        </is>
      </c>
      <c r="J5" s="13" t="inlineStr">
        <is>
          <t>Фактический возврат</t>
        </is>
      </c>
      <c r="K5" s="13" t="inlineStr">
        <is>
          <t>Результат</t>
        </is>
      </c>
      <c r="L5" s="13" t="inlineStr">
        <is>
          <t>ROI</t>
        </is>
      </c>
      <c r="M5" s="13" t="inlineStr">
        <is>
          <t>Букмекер</t>
        </is>
      </c>
      <c r="N5" s="13" t="inlineStr">
        <is>
          <t>Валюта</t>
        </is>
      </c>
      <c r="O5" s="13" t="inlineStr">
        <is>
          <t>Сумма × коэффициент</t>
        </is>
      </c>
      <c r="P5" s="61" t="inlineStr">
        <is>
          <t>Режим</t>
        </is>
      </c>
      <c r="Q5" s="61" t="inlineStr">
        <is>
          <t>Вид спорта</t>
        </is>
      </c>
      <c r="R5" s="61" t="inlineStr">
        <is>
          <t>Тип исхода</t>
        </is>
      </c>
      <c r="S5" s="61" t="inlineStr">
        <is>
          <t>Период</t>
        </is>
      </c>
      <c r="T5" s="61" t="inlineStr">
        <is>
          <t>Диапазон коэффициента</t>
        </is>
      </c>
      <c r="U5" s="61" t="inlineStr">
        <is>
          <t>Диапазон суммы</t>
        </is>
      </c>
      <c r="V5" s="61" t="inlineStr">
        <is>
          <t>Контроль качества</t>
        </is>
      </c>
      <c r="W5" s="61" t="inlineStr">
        <is>
          <t>Турнир</t>
        </is>
      </c>
    </row>
    <row r="6">
      <c r="A6" s="14" t="inlineStr">
        <is>
          <t>10.10.2026</t>
        </is>
      </c>
      <c r="B6" s="14" t="n">
        <v>350</v>
      </c>
      <c r="C6" s="14" t="inlineStr">
        <is>
          <t>14:33</t>
        </is>
      </c>
      <c r="D6" s="14" t="inlineStr">
        <is>
          <t>Ординар</t>
        </is>
      </c>
      <c r="E6" s="14" t="n">
        <v>1</v>
      </c>
      <c r="F6" s="113" t="n">
        <v>200</v>
      </c>
      <c r="G6" s="115" t="n">
        <v>1.77</v>
      </c>
      <c r="H6" s="113">
        <f>ROUND(F6*G6,0)</f>
        <v/>
      </c>
      <c r="I6" s="113" t="inlineStr">
        <is>
          <t>Открыт</t>
        </is>
      </c>
      <c r="J6" s="113" t="n"/>
      <c r="K6" s="113">
        <f>IF(OR(I6="",I6="Открыт"),"",J6-F6)</f>
        <v/>
      </c>
      <c r="L6" s="114">
        <f>IF(K6="","",K6/F6)</f>
        <v/>
      </c>
      <c r="M6" s="14" t="inlineStr">
        <is>
          <t>Olimpbet</t>
        </is>
      </c>
      <c r="N6" s="14" t="inlineStr">
        <is>
          <t>ед.</t>
        </is>
      </c>
      <c r="O6" s="117">
        <f>F6*G6</f>
        <v/>
      </c>
      <c r="P6" s="34" t="inlineStr">
        <is>
          <t>Прематч</t>
        </is>
      </c>
      <c r="Q6" s="34" t="inlineStr">
        <is>
          <t>Хоккей</t>
        </is>
      </c>
      <c r="R6" s="34" t="inlineStr">
        <is>
          <t>Тотал больше</t>
        </is>
      </c>
      <c r="S6" s="34" t="inlineStr">
        <is>
          <t>Матч целиком</t>
        </is>
      </c>
      <c r="T6" s="34" t="inlineStr">
        <is>
          <t>1,70-1,99</t>
        </is>
      </c>
      <c r="U6" s="34" t="inlineStr">
        <is>
          <t>200</t>
        </is>
      </c>
      <c r="V6" s="34" t="str"/>
      <c r="W6" s="34" t="inlineStr">
        <is>
          <t>КХЛ. Регулярный чемпионат</t>
        </is>
      </c>
    </row>
    <row r="7">
      <c r="A7" s="14" t="inlineStr">
        <is>
          <t>11.10.2026</t>
        </is>
      </c>
      <c r="B7" s="14" t="n">
        <v>377</v>
      </c>
      <c r="C7" s="14" t="inlineStr">
        <is>
          <t>09:17</t>
        </is>
      </c>
      <c r="D7" s="14" t="inlineStr">
        <is>
          <t>Экспресс</t>
        </is>
      </c>
      <c r="E7" s="14" t="n">
        <v>3</v>
      </c>
      <c r="F7" s="113" t="n">
        <v>200</v>
      </c>
      <c r="G7" s="115" t="n">
        <v>1.89</v>
      </c>
      <c r="H7" s="113">
        <f>ROUND(F7*G7,0)</f>
        <v/>
      </c>
      <c r="I7" s="113" t="inlineStr">
        <is>
          <t>Выигрыш</t>
        </is>
      </c>
      <c r="J7" s="113" t="n">
        <v>378</v>
      </c>
      <c r="K7" s="113">
        <f>IF(OR(I7="",I7="Открыт"),"",J7-F7)</f>
        <v/>
      </c>
      <c r="L7" s="114">
        <f>IF(K7="","",K7/F7)</f>
        <v/>
      </c>
      <c r="M7" s="14" t="inlineStr">
        <is>
          <t>Olimpbet</t>
        </is>
      </c>
      <c r="N7" s="14" t="inlineStr">
        <is>
          <t>ед.</t>
        </is>
      </c>
      <c r="O7" s="117">
        <f>F7*G7</f>
        <v/>
      </c>
      <c r="P7" s="34" t="inlineStr">
        <is>
          <t>Прематч</t>
        </is>
      </c>
      <c r="Q7" s="34" t="inlineStr">
        <is>
          <t>Футбол</t>
        </is>
      </c>
      <c r="R7" s="34" t="inlineStr">
        <is>
          <t>Экспресс</t>
        </is>
      </c>
      <c r="S7" s="34" t="inlineStr">
        <is>
          <t>Экспресс / смешанный</t>
        </is>
      </c>
      <c r="T7" s="34" t="inlineStr">
        <is>
          <t>1,70-1,99</t>
        </is>
      </c>
      <c r="U7" s="34" t="inlineStr">
        <is>
          <t>200</t>
        </is>
      </c>
      <c r="V7" s="34" t="str"/>
      <c r="W7" s="34" t="inlineStr">
        <is>
          <t>Несколько турниров</t>
        </is>
      </c>
    </row>
    <row r="8">
      <c r="A8" s="14" t="inlineStr">
        <is>
          <t>11.10.2026</t>
        </is>
      </c>
      <c r="B8" s="14" t="n">
        <v>378</v>
      </c>
      <c r="C8" s="14" t="inlineStr">
        <is>
          <t>09:40</t>
        </is>
      </c>
      <c r="D8" s="14" t="inlineStr">
        <is>
          <t>Экспресс</t>
        </is>
      </c>
      <c r="E8" s="14" t="n">
        <v>3</v>
      </c>
      <c r="F8" s="113" t="n">
        <v>100</v>
      </c>
      <c r="G8" s="115" t="n">
        <v>3.74</v>
      </c>
      <c r="H8" s="113">
        <f>ROUND(F8*G8,0)</f>
        <v/>
      </c>
      <c r="I8" s="113" t="inlineStr">
        <is>
          <t>Выигрыш</t>
        </is>
      </c>
      <c r="J8" s="113" t="n">
        <v>374</v>
      </c>
      <c r="K8" s="113">
        <f>IF(OR(I8="",I8="Открыт"),"",J8-F8)</f>
        <v/>
      </c>
      <c r="L8" s="114">
        <f>IF(K8="","",K8/F8)</f>
        <v/>
      </c>
      <c r="M8" s="14" t="inlineStr">
        <is>
          <t>Olimpbet</t>
        </is>
      </c>
      <c r="N8" s="14" t="inlineStr">
        <is>
          <t>ед.</t>
        </is>
      </c>
      <c r="O8" s="117">
        <f>F8*G8</f>
        <v/>
      </c>
      <c r="P8" s="34" t="inlineStr">
        <is>
          <t>Прематч</t>
        </is>
      </c>
      <c r="Q8" s="34" t="inlineStr">
        <is>
          <t>Футбол</t>
        </is>
      </c>
      <c r="R8" s="34" t="inlineStr">
        <is>
          <t>Экспресс</t>
        </is>
      </c>
      <c r="S8" s="34" t="inlineStr">
        <is>
          <t>Экспресс / смешанный</t>
        </is>
      </c>
      <c r="T8" s="34" t="inlineStr">
        <is>
          <t>2,50+</t>
        </is>
      </c>
      <c r="U8" s="34" t="inlineStr">
        <is>
          <t>до 100</t>
        </is>
      </c>
      <c r="V8" s="34" t="str"/>
      <c r="W8" s="34" t="inlineStr">
        <is>
          <t>Несколько турниров</t>
        </is>
      </c>
    </row>
    <row r="9">
      <c r="A9" s="14" t="inlineStr">
        <is>
          <t>11.10.2026</t>
        </is>
      </c>
      <c r="B9" s="14" t="n">
        <v>379</v>
      </c>
      <c r="C9" s="14" t="inlineStr">
        <is>
          <t>09:48</t>
        </is>
      </c>
      <c r="D9" s="14" t="inlineStr">
        <is>
          <t>Ординар</t>
        </is>
      </c>
      <c r="E9" s="14" t="n">
        <v>1</v>
      </c>
      <c r="F9" s="113" t="n">
        <v>100</v>
      </c>
      <c r="G9" s="115" t="n">
        <v>1.73</v>
      </c>
      <c r="H9" s="113">
        <f>ROUND(F9*G9,0)</f>
        <v/>
      </c>
      <c r="I9" s="113" t="inlineStr">
        <is>
          <t>Выигрыш</t>
        </is>
      </c>
      <c r="J9" s="113" t="n">
        <v>137</v>
      </c>
      <c r="K9" s="113" t="n">
        <v>37</v>
      </c>
      <c r="L9" s="114" t="n">
        <v>0.37</v>
      </c>
      <c r="M9" s="14" t="inlineStr">
        <is>
          <t>Olimpbet</t>
        </is>
      </c>
      <c r="N9" s="14" t="inlineStr">
        <is>
          <t>ед.</t>
        </is>
      </c>
      <c r="O9" s="117">
        <f>F9*G9</f>
        <v/>
      </c>
      <c r="P9" s="34" t="inlineStr">
        <is>
          <t>Прематч</t>
        </is>
      </c>
      <c r="Q9" s="34" t="inlineStr">
        <is>
          <t>Футбол</t>
        </is>
      </c>
      <c r="R9" s="34" t="inlineStr">
        <is>
          <t>Фора</t>
        </is>
      </c>
      <c r="S9" s="34" t="inlineStr">
        <is>
          <t>Матч целиком</t>
        </is>
      </c>
      <c r="T9" s="34" t="inlineStr">
        <is>
          <t>1,70-1,99</t>
        </is>
      </c>
      <c r="U9" s="34" t="inlineStr">
        <is>
          <t>до 100</t>
        </is>
      </c>
      <c r="V9" s="34" t="str"/>
      <c r="W9" s="34" t="inlineStr">
        <is>
          <t>Бразилия. Серия A</t>
        </is>
      </c>
    </row>
    <row r="10">
      <c r="A10" s="14" t="inlineStr">
        <is>
          <t>11.10.2026</t>
        </is>
      </c>
      <c r="B10" s="14" t="n">
        <v>380</v>
      </c>
      <c r="C10" s="14" t="inlineStr">
        <is>
          <t>09:49</t>
        </is>
      </c>
      <c r="D10" s="14" t="inlineStr">
        <is>
          <t>Ординар</t>
        </is>
      </c>
      <c r="E10" s="14" t="n">
        <v>1</v>
      </c>
      <c r="F10" s="113" t="n">
        <v>100</v>
      </c>
      <c r="G10" s="115" t="n">
        <v>1.97</v>
      </c>
      <c r="H10" s="113">
        <f>ROUND(F10*G10,0)</f>
        <v/>
      </c>
      <c r="I10" s="113" t="inlineStr">
        <is>
          <t>Проигрыш</t>
        </is>
      </c>
      <c r="J10" s="113" t="n">
        <v>0</v>
      </c>
      <c r="K10" s="113" t="n">
        <v>-100</v>
      </c>
      <c r="L10" s="114" t="n">
        <v>-1</v>
      </c>
      <c r="M10" s="14" t="inlineStr">
        <is>
          <t>Olimpbet</t>
        </is>
      </c>
      <c r="N10" s="14" t="inlineStr">
        <is>
          <t>ед.</t>
        </is>
      </c>
      <c r="O10" s="117">
        <f>F10*G10</f>
        <v/>
      </c>
      <c r="P10" s="34" t="inlineStr">
        <is>
          <t>Прематч</t>
        </is>
      </c>
      <c r="Q10" s="34" t="inlineStr">
        <is>
          <t>Футбол</t>
        </is>
      </c>
      <c r="R10" s="34" t="inlineStr">
        <is>
          <t>Обе забьют</t>
        </is>
      </c>
      <c r="S10" s="34" t="inlineStr">
        <is>
          <t>Матч целиком</t>
        </is>
      </c>
      <c r="T10" s="34" t="inlineStr">
        <is>
          <t>1,70-1,99</t>
        </is>
      </c>
      <c r="U10" s="34" t="inlineStr">
        <is>
          <t>до 100</t>
        </is>
      </c>
      <c r="V10" s="34" t="str"/>
      <c r="W10" s="34" t="inlineStr">
        <is>
          <t>Бразилия. Серия A</t>
        </is>
      </c>
    </row>
    <row r="11">
      <c r="A11" s="14" t="inlineStr">
        <is>
          <t>11.10.2026</t>
        </is>
      </c>
      <c r="B11" s="14" t="n">
        <v>381</v>
      </c>
      <c r="C11" s="14" t="inlineStr">
        <is>
          <t>10:14</t>
        </is>
      </c>
      <c r="D11" s="14" t="inlineStr">
        <is>
          <t>Ординар</t>
        </is>
      </c>
      <c r="E11" s="14" t="n">
        <v>1</v>
      </c>
      <c r="F11" s="113" t="n">
        <v>100</v>
      </c>
      <c r="G11" s="115" t="n">
        <v>1.91</v>
      </c>
      <c r="H11" s="113">
        <f>ROUND(F11*G11,0)</f>
        <v/>
      </c>
      <c r="I11" s="113" t="inlineStr">
        <is>
          <t>Проигрыш</t>
        </is>
      </c>
      <c r="J11" s="113" t="n">
        <v>0</v>
      </c>
      <c r="K11" s="113">
        <f>IF(OR(I11="",I11="Открыт"),"",J11-F11)</f>
        <v/>
      </c>
      <c r="L11" s="114">
        <f>IF(K11="","",K11/F11)</f>
        <v/>
      </c>
      <c r="M11" s="14" t="inlineStr">
        <is>
          <t>Olimpbet</t>
        </is>
      </c>
      <c r="N11" s="14" t="inlineStr">
        <is>
          <t>ед.</t>
        </is>
      </c>
      <c r="O11" s="117">
        <f>F11*G11</f>
        <v/>
      </c>
      <c r="P11" s="34" t="inlineStr">
        <is>
          <t>Прематч</t>
        </is>
      </c>
      <c r="Q11" s="34" t="inlineStr">
        <is>
          <t>Футбол</t>
        </is>
      </c>
      <c r="R11" s="34" t="inlineStr">
        <is>
          <t>Тотал больше</t>
        </is>
      </c>
      <c r="S11" s="34" t="inlineStr">
        <is>
          <t>Матч целиком</t>
        </is>
      </c>
      <c r="T11" s="34" t="inlineStr">
        <is>
          <t>1,70-1,99</t>
        </is>
      </c>
      <c r="U11" s="34" t="inlineStr">
        <is>
          <t>до 100</t>
        </is>
      </c>
      <c r="V11" s="34" t="str"/>
      <c r="W11" s="34" t="inlineStr">
        <is>
          <t>Англия. Чемпионшип</t>
        </is>
      </c>
    </row>
    <row r="12">
      <c r="A12" s="14" t="inlineStr">
        <is>
          <t>11.10.2026</t>
        </is>
      </c>
      <c r="B12" s="14" t="n">
        <v>382</v>
      </c>
      <c r="C12" s="14" t="inlineStr">
        <is>
          <t>10:14</t>
        </is>
      </c>
      <c r="D12" s="14" t="inlineStr">
        <is>
          <t>Ординар</t>
        </is>
      </c>
      <c r="E12" s="14" t="n">
        <v>1</v>
      </c>
      <c r="F12" s="113" t="n">
        <v>100</v>
      </c>
      <c r="G12" s="115" t="n">
        <v>1.56</v>
      </c>
      <c r="H12" s="113">
        <f>ROUND(F12*G12,0)</f>
        <v/>
      </c>
      <c r="I12" s="113" t="inlineStr">
        <is>
          <t>Выигрыш</t>
        </is>
      </c>
      <c r="J12" s="113" t="n">
        <v>156</v>
      </c>
      <c r="K12" s="113">
        <f>IF(OR(I12="",I12="Открыт"),"",J12-F12)</f>
        <v/>
      </c>
      <c r="L12" s="114">
        <f>IF(K12="","",K12/F12)</f>
        <v/>
      </c>
      <c r="M12" s="14" t="inlineStr">
        <is>
          <t>Olimpbet</t>
        </is>
      </c>
      <c r="N12" s="14" t="inlineStr">
        <is>
          <t>ед.</t>
        </is>
      </c>
      <c r="O12" s="117">
        <f>F12*G12</f>
        <v/>
      </c>
      <c r="P12" s="34" t="inlineStr">
        <is>
          <t>Прематч</t>
        </is>
      </c>
      <c r="Q12" s="34" t="inlineStr">
        <is>
          <t>Футбол</t>
        </is>
      </c>
      <c r="R12" s="34" t="inlineStr">
        <is>
          <t>Победа</t>
        </is>
      </c>
      <c r="S12" s="34" t="inlineStr">
        <is>
          <t>Матч целиком</t>
        </is>
      </c>
      <c r="T12" s="34" t="inlineStr">
        <is>
          <t>1,50-1,69</t>
        </is>
      </c>
      <c r="U12" s="34" t="inlineStr">
        <is>
          <t>до 100</t>
        </is>
      </c>
      <c r="V12" s="34" t="str"/>
      <c r="W12" s="34" t="inlineStr">
        <is>
          <t>Англия. Чемпионшип</t>
        </is>
      </c>
    </row>
    <row r="13">
      <c r="A13" s="14" t="inlineStr">
        <is>
          <t>11.10.2026</t>
        </is>
      </c>
      <c r="B13" s="14" t="n">
        <v>383</v>
      </c>
      <c r="C13" s="14" t="inlineStr">
        <is>
          <t>10:15</t>
        </is>
      </c>
      <c r="D13" s="14" t="inlineStr">
        <is>
          <t>Ординар</t>
        </is>
      </c>
      <c r="E13" s="14" t="n">
        <v>1</v>
      </c>
      <c r="F13" s="113" t="n">
        <v>100</v>
      </c>
      <c r="G13" s="115" t="n">
        <v>2.07</v>
      </c>
      <c r="H13" s="113">
        <f>ROUND(F13*G13,0)</f>
        <v/>
      </c>
      <c r="I13" s="113" t="inlineStr">
        <is>
          <t>Проигрыш</t>
        </is>
      </c>
      <c r="J13" s="113" t="n">
        <v>0</v>
      </c>
      <c r="K13" s="113">
        <f>IF(OR(I13="",I13="Открыт"),"",J13-F13)</f>
        <v/>
      </c>
      <c r="L13" s="114">
        <f>IF(K13="","",K13/F13)</f>
        <v/>
      </c>
      <c r="M13" s="14" t="inlineStr">
        <is>
          <t>Olimpbet</t>
        </is>
      </c>
      <c r="N13" s="14" t="inlineStr">
        <is>
          <t>ед.</t>
        </is>
      </c>
      <c r="O13" s="117">
        <f>F13*G13</f>
        <v/>
      </c>
      <c r="P13" s="34" t="inlineStr">
        <is>
          <t>Прематч</t>
        </is>
      </c>
      <c r="Q13" s="34" t="inlineStr">
        <is>
          <t>Футбол</t>
        </is>
      </c>
      <c r="R13" s="34" t="inlineStr">
        <is>
          <t>Обе забьют</t>
        </is>
      </c>
      <c r="S13" s="34" t="inlineStr">
        <is>
          <t>Матч целиком</t>
        </is>
      </c>
      <c r="T13" s="34" t="inlineStr">
        <is>
          <t>2,00-2,49</t>
        </is>
      </c>
      <c r="U13" s="34" t="inlineStr">
        <is>
          <t>до 100</t>
        </is>
      </c>
      <c r="V13" s="34" t="str"/>
      <c r="W13" s="34" t="inlineStr">
        <is>
          <t>Россия. Премьер-лига</t>
        </is>
      </c>
    </row>
    <row r="14">
      <c r="A14" s="14" t="inlineStr">
        <is>
          <t>11.10.2026</t>
        </is>
      </c>
      <c r="B14" s="14" t="n">
        <v>384</v>
      </c>
      <c r="C14" s="14" t="inlineStr">
        <is>
          <t>10:15</t>
        </is>
      </c>
      <c r="D14" s="14" t="inlineStr">
        <is>
          <t>Ординар</t>
        </is>
      </c>
      <c r="E14" s="14" t="n">
        <v>1</v>
      </c>
      <c r="F14" s="113" t="n">
        <v>100</v>
      </c>
      <c r="G14" s="115" t="n">
        <v>2.23</v>
      </c>
      <c r="H14" s="113">
        <f>ROUND(F14*G14,0)</f>
        <v/>
      </c>
      <c r="I14" s="113" t="inlineStr">
        <is>
          <t>Проигрыш</t>
        </is>
      </c>
      <c r="J14" s="113" t="n">
        <v>0</v>
      </c>
      <c r="K14" s="113">
        <f>IF(OR(I14="",I14="Открыт"),"",J14-F14)</f>
        <v/>
      </c>
      <c r="L14" s="114">
        <f>IF(K14="","",K14/F14)</f>
        <v/>
      </c>
      <c r="M14" s="14" t="inlineStr">
        <is>
          <t>Olimpbet</t>
        </is>
      </c>
      <c r="N14" s="14" t="inlineStr">
        <is>
          <t>ед.</t>
        </is>
      </c>
      <c r="O14" s="117">
        <f>F14*G14</f>
        <v/>
      </c>
      <c r="P14" s="34" t="inlineStr">
        <is>
          <t>Прематч</t>
        </is>
      </c>
      <c r="Q14" s="34" t="inlineStr">
        <is>
          <t>Футбол</t>
        </is>
      </c>
      <c r="R14" s="34" t="inlineStr">
        <is>
          <t>Победа</t>
        </is>
      </c>
      <c r="S14" s="34" t="inlineStr">
        <is>
          <t>Матч целиком</t>
        </is>
      </c>
      <c r="T14" s="34" t="inlineStr">
        <is>
          <t>2,00-2,49</t>
        </is>
      </c>
      <c r="U14" s="34" t="inlineStr">
        <is>
          <t>до 100</t>
        </is>
      </c>
      <c r="V14" s="34" t="str"/>
      <c r="W14" s="34" t="inlineStr">
        <is>
          <t>Беларусь. Высшая лига</t>
        </is>
      </c>
    </row>
    <row r="15">
      <c r="A15" s="14" t="inlineStr">
        <is>
          <t>11.10.2026</t>
        </is>
      </c>
      <c r="B15" s="14" t="n">
        <v>385</v>
      </c>
      <c r="C15" s="14" t="inlineStr">
        <is>
          <t>10:15</t>
        </is>
      </c>
      <c r="D15" s="14" t="inlineStr">
        <is>
          <t>Ординар</t>
        </is>
      </c>
      <c r="E15" s="14" t="n">
        <v>1</v>
      </c>
      <c r="F15" s="113" t="n">
        <v>100</v>
      </c>
      <c r="G15" s="115" t="n">
        <v>1.58</v>
      </c>
      <c r="H15" s="113">
        <f>ROUND(F15*G15,0)</f>
        <v/>
      </c>
      <c r="I15" s="113" t="inlineStr">
        <is>
          <t>Возврат</t>
        </is>
      </c>
      <c r="J15" s="113" t="n">
        <v>100</v>
      </c>
      <c r="K15" s="113">
        <f>IF(OR(I15="",I15="Открыт"),"",J15-F15)</f>
        <v/>
      </c>
      <c r="L15" s="114">
        <f>IF(K15="","",K15/F15)</f>
        <v/>
      </c>
      <c r="M15" s="14" t="inlineStr">
        <is>
          <t>Olimpbet</t>
        </is>
      </c>
      <c r="N15" s="14" t="inlineStr">
        <is>
          <t>ед.</t>
        </is>
      </c>
      <c r="O15" s="117">
        <f>F15*G15</f>
        <v/>
      </c>
      <c r="P15" s="34" t="inlineStr">
        <is>
          <t>Прематч</t>
        </is>
      </c>
      <c r="Q15" s="34" t="inlineStr">
        <is>
          <t>Футбол</t>
        </is>
      </c>
      <c r="R15" s="34" t="inlineStr">
        <is>
          <t>Фора</t>
        </is>
      </c>
      <c r="S15" s="34" t="inlineStr">
        <is>
          <t>Матч целиком</t>
        </is>
      </c>
      <c r="T15" s="34" t="inlineStr">
        <is>
          <t>1,50-1,69</t>
        </is>
      </c>
      <c r="U15" s="34" t="inlineStr">
        <is>
          <t>до 100</t>
        </is>
      </c>
      <c r="V15" s="34" t="str"/>
      <c r="W15" s="34" t="inlineStr">
        <is>
          <t>Беларусь. Высшая лига</t>
        </is>
      </c>
    </row>
    <row r="16">
      <c r="A16" s="14" t="inlineStr">
        <is>
          <t>11.10.2026</t>
        </is>
      </c>
      <c r="B16" s="14" t="n">
        <v>386</v>
      </c>
      <c r="C16" s="14" t="inlineStr">
        <is>
          <t>10:15</t>
        </is>
      </c>
      <c r="D16" s="14" t="inlineStr">
        <is>
          <t>Ординар</t>
        </is>
      </c>
      <c r="E16" s="14" t="n">
        <v>1</v>
      </c>
      <c r="F16" s="113" t="n">
        <v>100</v>
      </c>
      <c r="G16" s="115" t="n">
        <v>1.8</v>
      </c>
      <c r="H16" s="113">
        <f>ROUND(F16*G16,0)</f>
        <v/>
      </c>
      <c r="I16" s="113" t="inlineStr">
        <is>
          <t>Возврат</t>
        </is>
      </c>
      <c r="J16" s="113" t="n">
        <v>100</v>
      </c>
      <c r="K16" s="113">
        <f>IF(OR(I16="",I16="Открыт"),"",J16-F16)</f>
        <v/>
      </c>
      <c r="L16" s="114">
        <f>IF(K16="","",K16/F16)</f>
        <v/>
      </c>
      <c r="M16" s="14" t="inlineStr">
        <is>
          <t>Olimpbet</t>
        </is>
      </c>
      <c r="N16" s="14" t="inlineStr">
        <is>
          <t>ед.</t>
        </is>
      </c>
      <c r="O16" s="117">
        <f>F16*G16</f>
        <v/>
      </c>
      <c r="P16" s="34" t="inlineStr">
        <is>
          <t>Прематч</t>
        </is>
      </c>
      <c r="Q16" s="34" t="inlineStr">
        <is>
          <t>Футбол</t>
        </is>
      </c>
      <c r="R16" s="34" t="inlineStr">
        <is>
          <t>Фора</t>
        </is>
      </c>
      <c r="S16" s="34" t="inlineStr">
        <is>
          <t>Матч целиком</t>
        </is>
      </c>
      <c r="T16" s="34" t="inlineStr">
        <is>
          <t>1,70-1,99</t>
        </is>
      </c>
      <c r="U16" s="34" t="inlineStr">
        <is>
          <t>до 100</t>
        </is>
      </c>
      <c r="V16" s="34" t="str"/>
      <c r="W16" s="34" t="inlineStr">
        <is>
          <t>Испания. Ла Лига</t>
        </is>
      </c>
    </row>
    <row r="17">
      <c r="A17" s="14" t="inlineStr">
        <is>
          <t>11.10.2026</t>
        </is>
      </c>
      <c r="B17" s="14" t="n">
        <v>387</v>
      </c>
      <c r="C17" s="14" t="inlineStr">
        <is>
          <t>10:16</t>
        </is>
      </c>
      <c r="D17" s="14" t="inlineStr">
        <is>
          <t>Ординар</t>
        </is>
      </c>
      <c r="E17" s="14" t="n">
        <v>1</v>
      </c>
      <c r="F17" s="113" t="n">
        <v>100</v>
      </c>
      <c r="G17" s="115" t="n">
        <v>1.46</v>
      </c>
      <c r="H17" s="113">
        <f>ROUND(F17*G17,0)</f>
        <v/>
      </c>
      <c r="I17" s="113" t="inlineStr">
        <is>
          <t>Выигрыш</t>
        </is>
      </c>
      <c r="J17" s="113" t="n">
        <v>146</v>
      </c>
      <c r="K17" s="113">
        <f>IF(OR(I17="",I17="Открыт"),"",J17-F17)</f>
        <v/>
      </c>
      <c r="L17" s="114">
        <f>IF(K17="","",K17/F17)</f>
        <v/>
      </c>
      <c r="M17" s="14" t="inlineStr">
        <is>
          <t>Olimpbet</t>
        </is>
      </c>
      <c r="N17" s="14" t="inlineStr">
        <is>
          <t>ед.</t>
        </is>
      </c>
      <c r="O17" s="117">
        <f>F17*G17</f>
        <v/>
      </c>
      <c r="P17" s="34" t="inlineStr">
        <is>
          <t>Прематч</t>
        </is>
      </c>
      <c r="Q17" s="34" t="inlineStr">
        <is>
          <t>Футбол</t>
        </is>
      </c>
      <c r="R17" s="34" t="inlineStr">
        <is>
          <t>Тотал больше</t>
        </is>
      </c>
      <c r="S17" s="34" t="inlineStr">
        <is>
          <t>Матч целиком</t>
        </is>
      </c>
      <c r="T17" s="34" t="inlineStr">
        <is>
          <t>до 1,50</t>
        </is>
      </c>
      <c r="U17" s="34" t="inlineStr">
        <is>
          <t>до 100</t>
        </is>
      </c>
      <c r="V17" s="34" t="str"/>
      <c r="W17" s="34" t="inlineStr">
        <is>
          <t>Испания. Ла Лига</t>
        </is>
      </c>
    </row>
    <row r="18">
      <c r="A18" s="14" t="inlineStr">
        <is>
          <t>11.10.2026</t>
        </is>
      </c>
      <c r="B18" s="14" t="n">
        <v>388</v>
      </c>
      <c r="C18" s="14" t="inlineStr">
        <is>
          <t>10:16</t>
        </is>
      </c>
      <c r="D18" s="14" t="inlineStr">
        <is>
          <t>Ординар</t>
        </is>
      </c>
      <c r="E18" s="14" t="n">
        <v>1</v>
      </c>
      <c r="F18" s="113" t="n">
        <v>100</v>
      </c>
      <c r="G18" s="115" t="n">
        <v>1.72</v>
      </c>
      <c r="H18" s="113">
        <f>ROUND(F18*G18,0)</f>
        <v/>
      </c>
      <c r="I18" s="113" t="inlineStr">
        <is>
          <t>Выигрыш</t>
        </is>
      </c>
      <c r="J18" s="113" t="n">
        <v>172</v>
      </c>
      <c r="K18" s="113">
        <f>IF(OR(I18="",I18="Открыт"),"",J18-F18)</f>
        <v/>
      </c>
      <c r="L18" s="114">
        <f>IF(K18="","",K18/F18)</f>
        <v/>
      </c>
      <c r="M18" s="14" t="inlineStr">
        <is>
          <t>Olimpbet</t>
        </is>
      </c>
      <c r="N18" s="14" t="inlineStr">
        <is>
          <t>ед.</t>
        </is>
      </c>
      <c r="O18" s="117">
        <f>F18*G18</f>
        <v/>
      </c>
      <c r="P18" s="34" t="inlineStr">
        <is>
          <t>Прематч</t>
        </is>
      </c>
      <c r="Q18" s="34" t="inlineStr">
        <is>
          <t>Футбол</t>
        </is>
      </c>
      <c r="R18" s="34" t="inlineStr">
        <is>
          <t>Победа</t>
        </is>
      </c>
      <c r="S18" s="34" t="inlineStr">
        <is>
          <t>Матч целиком</t>
        </is>
      </c>
      <c r="T18" s="34" t="inlineStr">
        <is>
          <t>1,70-1,99</t>
        </is>
      </c>
      <c r="U18" s="34" t="inlineStr">
        <is>
          <t>до 100</t>
        </is>
      </c>
      <c r="V18" s="34" t="str"/>
      <c r="W18" s="34" t="inlineStr">
        <is>
          <t>Италия. Серия A</t>
        </is>
      </c>
    </row>
    <row r="19">
      <c r="A19" s="14" t="inlineStr">
        <is>
          <t>11.10.2026</t>
        </is>
      </c>
      <c r="B19" s="14" t="n">
        <v>389</v>
      </c>
      <c r="C19" s="14" t="inlineStr">
        <is>
          <t>10:17</t>
        </is>
      </c>
      <c r="D19" s="14" t="inlineStr">
        <is>
          <t>Ординар</t>
        </is>
      </c>
      <c r="E19" s="14" t="n">
        <v>1</v>
      </c>
      <c r="F19" s="113" t="n">
        <v>100</v>
      </c>
      <c r="G19" s="115" t="n">
        <v>1.42</v>
      </c>
      <c r="H19" s="113">
        <f>ROUND(F19*G19,0)</f>
        <v/>
      </c>
      <c r="I19" s="113" t="inlineStr">
        <is>
          <t>Выигрыш</t>
        </is>
      </c>
      <c r="J19" s="113" t="n">
        <v>142</v>
      </c>
      <c r="K19" s="113">
        <f>IF(OR(I19="",I19="Открыт"),"",J19-F19)</f>
        <v/>
      </c>
      <c r="L19" s="114">
        <f>IF(K19="","",K19/F19)</f>
        <v/>
      </c>
      <c r="M19" s="14" t="inlineStr">
        <is>
          <t>Olimpbet</t>
        </is>
      </c>
      <c r="N19" s="14" t="inlineStr">
        <is>
          <t>ед.</t>
        </is>
      </c>
      <c r="O19" s="117">
        <f>F19*G19</f>
        <v/>
      </c>
      <c r="P19" s="34" t="inlineStr">
        <is>
          <t>Прематч</t>
        </is>
      </c>
      <c r="Q19" s="34" t="inlineStr">
        <is>
          <t>Футбол</t>
        </is>
      </c>
      <c r="R19" s="34" t="inlineStr">
        <is>
          <t>Фора</t>
        </is>
      </c>
      <c r="S19" s="34" t="inlineStr">
        <is>
          <t>Матч целиком</t>
        </is>
      </c>
      <c r="T19" s="34" t="inlineStr">
        <is>
          <t>до 1,50</t>
        </is>
      </c>
      <c r="U19" s="34" t="inlineStr">
        <is>
          <t>до 100</t>
        </is>
      </c>
      <c r="V19" s="34" t="str"/>
      <c r="W19" s="34" t="inlineStr">
        <is>
          <t>Беларусь. Высшая лига</t>
        </is>
      </c>
    </row>
    <row r="20">
      <c r="A20" s="14" t="inlineStr">
        <is>
          <t>11.10.2026</t>
        </is>
      </c>
      <c r="B20" s="14" t="n">
        <v>390</v>
      </c>
      <c r="C20" s="14" t="inlineStr">
        <is>
          <t>10:17</t>
        </is>
      </c>
      <c r="D20" s="14" t="inlineStr">
        <is>
          <t>Ординар</t>
        </is>
      </c>
      <c r="E20" s="14" t="n">
        <v>1</v>
      </c>
      <c r="F20" s="113" t="n">
        <v>100</v>
      </c>
      <c r="G20" s="115" t="n">
        <v>1.69</v>
      </c>
      <c r="H20" s="113">
        <f>ROUND(F20*G20,0)</f>
        <v/>
      </c>
      <c r="I20" s="113" t="inlineStr">
        <is>
          <t>Выигрыш</t>
        </is>
      </c>
      <c r="J20" s="113" t="n">
        <v>169</v>
      </c>
      <c r="K20" s="113">
        <f>IF(OR(I20="",I20="Открыт"),"",J20-F20)</f>
        <v/>
      </c>
      <c r="L20" s="114">
        <f>IF(K20="","",K20/F20)</f>
        <v/>
      </c>
      <c r="M20" s="14" t="inlineStr">
        <is>
          <t>Olimpbet</t>
        </is>
      </c>
      <c r="N20" s="14" t="inlineStr">
        <is>
          <t>ед.</t>
        </is>
      </c>
      <c r="O20" s="117">
        <f>F20*G20</f>
        <v/>
      </c>
      <c r="P20" s="34" t="inlineStr">
        <is>
          <t>Прематч</t>
        </is>
      </c>
      <c r="Q20" s="34" t="inlineStr">
        <is>
          <t>Футбол</t>
        </is>
      </c>
      <c r="R20" s="34" t="inlineStr">
        <is>
          <t>Фора</t>
        </is>
      </c>
      <c r="S20" s="34" t="inlineStr">
        <is>
          <t>Матч целиком</t>
        </is>
      </c>
      <c r="T20" s="34" t="inlineStr">
        <is>
          <t>1,50-1,69</t>
        </is>
      </c>
      <c r="U20" s="34" t="inlineStr">
        <is>
          <t>до 100</t>
        </is>
      </c>
      <c r="V20" s="34" t="str"/>
      <c r="W20" s="34" t="inlineStr">
        <is>
          <t>Англия. Премьер-лига</t>
        </is>
      </c>
    </row>
    <row r="21">
      <c r="A21" s="14" t="inlineStr">
        <is>
          <t>11.10.2026</t>
        </is>
      </c>
      <c r="B21" s="14" t="n">
        <v>391</v>
      </c>
      <c r="C21" s="14" t="inlineStr">
        <is>
          <t>10:17</t>
        </is>
      </c>
      <c r="D21" s="14" t="inlineStr">
        <is>
          <t>Ординар</t>
        </is>
      </c>
      <c r="E21" s="14" t="n">
        <v>1</v>
      </c>
      <c r="F21" s="113" t="n">
        <v>100</v>
      </c>
      <c r="G21" s="115" t="n">
        <v>1.44</v>
      </c>
      <c r="H21" s="113">
        <f>ROUND(F21*G21,0)</f>
        <v/>
      </c>
      <c r="I21" s="113" t="inlineStr">
        <is>
          <t>Выигрыш</t>
        </is>
      </c>
      <c r="J21" s="113" t="n">
        <v>144</v>
      </c>
      <c r="K21" s="113">
        <f>IF(OR(I21="",I21="Открыт"),"",J21-F21)</f>
        <v/>
      </c>
      <c r="L21" s="114">
        <f>IF(K21="","",K21/F21)</f>
        <v/>
      </c>
      <c r="M21" s="14" t="inlineStr">
        <is>
          <t>Olimpbet</t>
        </is>
      </c>
      <c r="N21" s="14" t="inlineStr">
        <is>
          <t>ед.</t>
        </is>
      </c>
      <c r="O21" s="117">
        <f>F21*G21</f>
        <v/>
      </c>
      <c r="P21" s="34" t="inlineStr">
        <is>
          <t>Прематч</t>
        </is>
      </c>
      <c r="Q21" s="34" t="inlineStr">
        <is>
          <t>Футбол</t>
        </is>
      </c>
      <c r="R21" s="34" t="inlineStr">
        <is>
          <t>Фора</t>
        </is>
      </c>
      <c r="S21" s="34" t="inlineStr">
        <is>
          <t>Матч целиком</t>
        </is>
      </c>
      <c r="T21" s="34" t="inlineStr">
        <is>
          <t>до 1,50</t>
        </is>
      </c>
      <c r="U21" s="34" t="inlineStr">
        <is>
          <t>до 100</t>
        </is>
      </c>
      <c r="V21" s="34" t="str"/>
      <c r="W21" s="34" t="inlineStr">
        <is>
          <t>Россия. Премьер-лига</t>
        </is>
      </c>
    </row>
    <row r="22">
      <c r="A22" s="14" t="inlineStr">
        <is>
          <t>11.10.2026</t>
        </is>
      </c>
      <c r="B22" s="14" t="n">
        <v>392</v>
      </c>
      <c r="C22" s="14" t="inlineStr">
        <is>
          <t>10:18</t>
        </is>
      </c>
      <c r="D22" s="14" t="inlineStr">
        <is>
          <t>Ординар</t>
        </is>
      </c>
      <c r="E22" s="14" t="n">
        <v>1</v>
      </c>
      <c r="F22" s="113" t="n">
        <v>100</v>
      </c>
      <c r="G22" s="115" t="n">
        <v>1.64</v>
      </c>
      <c r="H22" s="113">
        <f>ROUND(F22*G22,0)</f>
        <v/>
      </c>
      <c r="I22" s="113" t="inlineStr">
        <is>
          <t>Проигрыш</t>
        </is>
      </c>
      <c r="J22" s="113" t="n">
        <v>0</v>
      </c>
      <c r="K22" s="113" t="n">
        <v>-100</v>
      </c>
      <c r="L22" s="114" t="n">
        <v>-1</v>
      </c>
      <c r="M22" s="14" t="inlineStr">
        <is>
          <t>Olimpbet</t>
        </is>
      </c>
      <c r="N22" s="14" t="inlineStr">
        <is>
          <t>ед.</t>
        </is>
      </c>
      <c r="O22" s="117">
        <f>F22*G22</f>
        <v/>
      </c>
      <c r="P22" s="34" t="inlineStr">
        <is>
          <t>Прематч</t>
        </is>
      </c>
      <c r="Q22" s="34" t="inlineStr">
        <is>
          <t>Футбол</t>
        </is>
      </c>
      <c r="R22" s="34" t="inlineStr">
        <is>
          <t>Фора</t>
        </is>
      </c>
      <c r="S22" s="34" t="inlineStr">
        <is>
          <t>Матч целиком</t>
        </is>
      </c>
      <c r="T22" s="34" t="inlineStr">
        <is>
          <t>1,50-1,69</t>
        </is>
      </c>
      <c r="U22" s="34" t="inlineStr">
        <is>
          <t>до 100</t>
        </is>
      </c>
      <c r="V22" s="34" t="str"/>
      <c r="W22" s="34" t="inlineStr">
        <is>
          <t>Аргентина. Лига Профессиональ</t>
        </is>
      </c>
    </row>
    <row r="23">
      <c r="A23" s="14" t="inlineStr">
        <is>
          <t>11.10.2026</t>
        </is>
      </c>
      <c r="B23" s="14" t="n">
        <v>393</v>
      </c>
      <c r="C23" s="14" t="inlineStr">
        <is>
          <t>10:21</t>
        </is>
      </c>
      <c r="D23" s="14" t="inlineStr">
        <is>
          <t>Ординар</t>
        </is>
      </c>
      <c r="E23" s="14" t="n">
        <v>1</v>
      </c>
      <c r="F23" s="113" t="n">
        <v>100</v>
      </c>
      <c r="G23" s="115" t="n">
        <v>1.72</v>
      </c>
      <c r="H23" s="113">
        <f>ROUND(F23*G23,0)</f>
        <v/>
      </c>
      <c r="I23" s="113" t="inlineStr">
        <is>
          <t>Проигрыш</t>
        </is>
      </c>
      <c r="J23" s="113" t="n">
        <v>0</v>
      </c>
      <c r="K23" s="113">
        <f>IF(OR(I23="",I23="Открыт"),"",J23-F23)</f>
        <v/>
      </c>
      <c r="L23" s="114">
        <f>IF(K23="","",K23/F23)</f>
        <v/>
      </c>
      <c r="M23" s="14" t="inlineStr">
        <is>
          <t>Olimpbet</t>
        </is>
      </c>
      <c r="N23" s="14" t="inlineStr">
        <is>
          <t>ед.</t>
        </is>
      </c>
      <c r="O23" s="117">
        <f>F23*G23</f>
        <v/>
      </c>
      <c r="P23" s="34" t="inlineStr">
        <is>
          <t>Прематч</t>
        </is>
      </c>
      <c r="Q23" s="34" t="inlineStr">
        <is>
          <t>Футбол</t>
        </is>
      </c>
      <c r="R23" s="34" t="inlineStr">
        <is>
          <t>Тотал больше</t>
        </is>
      </c>
      <c r="S23" s="34" t="inlineStr">
        <is>
          <t>Матч целиком</t>
        </is>
      </c>
      <c r="T23" s="34" t="inlineStr">
        <is>
          <t>1,70-1,99</t>
        </is>
      </c>
      <c r="U23" s="34" t="inlineStr">
        <is>
          <t>до 100</t>
        </is>
      </c>
      <c r="V23" s="34" t="str"/>
      <c r="W23" s="34" t="inlineStr">
        <is>
          <t>Шотландия. Премьер-лига</t>
        </is>
      </c>
    </row>
    <row r="24">
      <c r="A24" s="14" t="inlineStr">
        <is>
          <t>11.10.2026</t>
        </is>
      </c>
      <c r="B24" s="14" t="n">
        <v>394</v>
      </c>
      <c r="C24" s="14" t="inlineStr">
        <is>
          <t>10:23</t>
        </is>
      </c>
      <c r="D24" s="14" t="inlineStr">
        <is>
          <t>Ординар</t>
        </is>
      </c>
      <c r="E24" s="14" t="n">
        <v>1</v>
      </c>
      <c r="F24" s="113" t="n">
        <v>100</v>
      </c>
      <c r="G24" s="115" t="n">
        <v>1.91</v>
      </c>
      <c r="H24" s="113">
        <f>ROUND(F24*G24,0)</f>
        <v/>
      </c>
      <c r="I24" s="113" t="inlineStr">
        <is>
          <t>Проигрыш</t>
        </is>
      </c>
      <c r="J24" s="113" t="n">
        <v>0</v>
      </c>
      <c r="K24" s="113">
        <f>IF(OR(I24="",I24="Открыт"),"",J24-F24)</f>
        <v/>
      </c>
      <c r="L24" s="114">
        <f>IF(K24="","",K24/F24)</f>
        <v/>
      </c>
      <c r="M24" s="14" t="inlineStr">
        <is>
          <t>Olimpbet</t>
        </is>
      </c>
      <c r="N24" s="14" t="inlineStr">
        <is>
          <t>ед.</t>
        </is>
      </c>
      <c r="O24" s="117">
        <f>F24*G24</f>
        <v/>
      </c>
      <c r="P24" s="34" t="inlineStr">
        <is>
          <t>Прематч</t>
        </is>
      </c>
      <c r="Q24" s="34" t="inlineStr">
        <is>
          <t>Хоккей</t>
        </is>
      </c>
      <c r="R24" s="34" t="inlineStr">
        <is>
          <t>Победа</t>
        </is>
      </c>
      <c r="S24" s="34" t="inlineStr">
        <is>
          <t>Матч целиком</t>
        </is>
      </c>
      <c r="T24" s="34" t="inlineStr">
        <is>
          <t>1,70-1,99</t>
        </is>
      </c>
      <c r="U24" s="34" t="inlineStr">
        <is>
          <t>до 100</t>
        </is>
      </c>
      <c r="V24" s="34" t="str"/>
      <c r="W24" s="34" t="inlineStr">
        <is>
          <t>КХЛ. Регулярный чемпионат</t>
        </is>
      </c>
    </row>
    <row r="25">
      <c r="A25" s="14" t="inlineStr">
        <is>
          <t>11.10.2026</t>
        </is>
      </c>
      <c r="B25" s="14" t="n">
        <v>395</v>
      </c>
      <c r="C25" s="14" t="inlineStr">
        <is>
          <t>10:23</t>
        </is>
      </c>
      <c r="D25" s="14" t="inlineStr">
        <is>
          <t>Ординар</t>
        </is>
      </c>
      <c r="E25" s="14" t="n">
        <v>1</v>
      </c>
      <c r="F25" s="113" t="n">
        <v>100</v>
      </c>
      <c r="G25" s="115" t="n">
        <v>1.99</v>
      </c>
      <c r="H25" s="113">
        <f>ROUND(F25*G25,0)</f>
        <v/>
      </c>
      <c r="I25" s="113" t="inlineStr">
        <is>
          <t>Выигрыш</t>
        </is>
      </c>
      <c r="J25" s="113" t="n">
        <v>199</v>
      </c>
      <c r="K25" s="113">
        <f>IF(OR(I25="",I25="Открыт"),"",J25-F25)</f>
        <v/>
      </c>
      <c r="L25" s="114">
        <f>IF(K25="","",K25/F25)</f>
        <v/>
      </c>
      <c r="M25" s="14" t="inlineStr">
        <is>
          <t>Olimpbet</t>
        </is>
      </c>
      <c r="N25" s="14" t="inlineStr">
        <is>
          <t>ед.</t>
        </is>
      </c>
      <c r="O25" s="117">
        <f>F25*G25</f>
        <v/>
      </c>
      <c r="P25" s="34" t="inlineStr">
        <is>
          <t>Прематч</t>
        </is>
      </c>
      <c r="Q25" s="34" t="inlineStr">
        <is>
          <t>Хоккей</t>
        </is>
      </c>
      <c r="R25" s="34" t="inlineStr">
        <is>
          <t>Тотал больше</t>
        </is>
      </c>
      <c r="S25" s="34" t="inlineStr">
        <is>
          <t>Матч целиком</t>
        </is>
      </c>
      <c r="T25" s="34" t="inlineStr">
        <is>
          <t>1,70-1,99</t>
        </is>
      </c>
      <c r="U25" s="34" t="inlineStr">
        <is>
          <t>до 100</t>
        </is>
      </c>
      <c r="V25" s="34" t="str"/>
      <c r="W25" s="34" t="inlineStr">
        <is>
          <t>КХЛ. Регулярный чемпионат</t>
        </is>
      </c>
    </row>
    <row r="26">
      <c r="A26" s="14" t="inlineStr">
        <is>
          <t>11.10.2026</t>
        </is>
      </c>
      <c r="B26" s="14" t="n">
        <v>396</v>
      </c>
      <c r="C26" s="14" t="inlineStr">
        <is>
          <t>10:25</t>
        </is>
      </c>
      <c r="D26" s="14" t="inlineStr">
        <is>
          <t>Ординар</t>
        </is>
      </c>
      <c r="E26" s="14" t="n">
        <v>1</v>
      </c>
      <c r="F26" s="113" t="n">
        <v>100</v>
      </c>
      <c r="G26" s="115" t="n">
        <v>2.29</v>
      </c>
      <c r="H26" s="113">
        <f>ROUND(F26*G26,0)</f>
        <v/>
      </c>
      <c r="I26" s="113" t="inlineStr">
        <is>
          <t>Проигрыш</t>
        </is>
      </c>
      <c r="J26" s="113" t="n">
        <v>0</v>
      </c>
      <c r="K26" s="113">
        <f>IF(OR(I26="",I26="Открыт"),"",J26-F26)</f>
        <v/>
      </c>
      <c r="L26" s="114">
        <f>IF(K26="","",K26/F26)</f>
        <v/>
      </c>
      <c r="M26" s="14" t="inlineStr">
        <is>
          <t>Olimpbet</t>
        </is>
      </c>
      <c r="N26" s="14" t="inlineStr">
        <is>
          <t>ед.</t>
        </is>
      </c>
      <c r="O26" s="117">
        <f>F26*G26</f>
        <v/>
      </c>
      <c r="P26" s="34" t="inlineStr">
        <is>
          <t>Прематч</t>
        </is>
      </c>
      <c r="Q26" s="34" t="inlineStr">
        <is>
          <t>Теннис</t>
        </is>
      </c>
      <c r="R26" s="34" t="inlineStr">
        <is>
          <t>Победа</t>
        </is>
      </c>
      <c r="S26" s="34" t="inlineStr">
        <is>
          <t>Матч целиком</t>
        </is>
      </c>
      <c r="T26" s="34" t="inlineStr">
        <is>
          <t>2,00-2,49</t>
        </is>
      </c>
      <c r="U26" s="34" t="inlineStr">
        <is>
          <t>до 100</t>
        </is>
      </c>
      <c r="V26" s="34" t="str"/>
      <c r="W26" s="34" t="inlineStr">
        <is>
          <t>ATP 1000. Шанхай. Хард</t>
        </is>
      </c>
    </row>
    <row r="27">
      <c r="A27" s="14" t="inlineStr">
        <is>
          <t>11.10.2026</t>
        </is>
      </c>
      <c r="B27" s="14" t="n">
        <v>397</v>
      </c>
      <c r="C27" s="14" t="inlineStr">
        <is>
          <t>10:25</t>
        </is>
      </c>
      <c r="D27" s="14" t="inlineStr">
        <is>
          <t>Ординар</t>
        </is>
      </c>
      <c r="E27" s="14" t="n">
        <v>1</v>
      </c>
      <c r="F27" s="113" t="n">
        <v>100</v>
      </c>
      <c r="G27" s="115" t="n">
        <v>1.68</v>
      </c>
      <c r="H27" s="113">
        <f>ROUND(F27*G27,0)</f>
        <v/>
      </c>
      <c r="I27" s="113" t="inlineStr">
        <is>
          <t>Выигрыш</t>
        </is>
      </c>
      <c r="J27" s="113" t="n">
        <v>168</v>
      </c>
      <c r="K27" s="113">
        <f>IF(OR(I27="",I27="Открыт"),"",J27-F27)</f>
        <v/>
      </c>
      <c r="L27" s="114">
        <f>IF(K27="","",K27/F27)</f>
        <v/>
      </c>
      <c r="M27" s="14" t="inlineStr">
        <is>
          <t>Olimpbet</t>
        </is>
      </c>
      <c r="N27" s="14" t="inlineStr">
        <is>
          <t>ед.</t>
        </is>
      </c>
      <c r="O27" s="117">
        <f>F27*G27</f>
        <v/>
      </c>
      <c r="P27" s="34" t="inlineStr">
        <is>
          <t>Прематч</t>
        </is>
      </c>
      <c r="Q27" s="34" t="inlineStr">
        <is>
          <t>Теннис</t>
        </is>
      </c>
      <c r="R27" s="34" t="inlineStr">
        <is>
          <t>Тотал больше</t>
        </is>
      </c>
      <c r="S27" s="34" t="inlineStr">
        <is>
          <t>Матч целиком</t>
        </is>
      </c>
      <c r="T27" s="34" t="inlineStr">
        <is>
          <t>1,50-1,69</t>
        </is>
      </c>
      <c r="U27" s="34" t="inlineStr">
        <is>
          <t>до 100</t>
        </is>
      </c>
      <c r="V27" s="34" t="str"/>
      <c r="W27" s="34" t="inlineStr">
        <is>
          <t>ATP 1000. Шанхай. Хард</t>
        </is>
      </c>
    </row>
    <row r="28">
      <c r="A28" s="14" t="inlineStr">
        <is>
          <t>11.10.2026</t>
        </is>
      </c>
      <c r="B28" s="14" t="n">
        <v>398</v>
      </c>
      <c r="C28" s="14" t="inlineStr">
        <is>
          <t>10:45</t>
        </is>
      </c>
      <c r="D28" s="14" t="inlineStr">
        <is>
          <t>Ординар</t>
        </is>
      </c>
      <c r="E28" s="14" t="n">
        <v>1</v>
      </c>
      <c r="F28" s="113" t="n">
        <v>200</v>
      </c>
      <c r="G28" s="115" t="n">
        <v>1.43</v>
      </c>
      <c r="H28" s="113">
        <f>ROUND(F28*G28,0)</f>
        <v/>
      </c>
      <c r="I28" s="113" t="inlineStr">
        <is>
          <t>Возврат</t>
        </is>
      </c>
      <c r="J28" s="113" t="n">
        <v>200</v>
      </c>
      <c r="K28" s="113">
        <f>IF(OR(I28="",I28="Открыт"),"",J28-F28)</f>
        <v/>
      </c>
      <c r="L28" s="114">
        <f>IF(K28="","",K28/F28)</f>
        <v/>
      </c>
      <c r="M28" s="14" t="inlineStr">
        <is>
          <t>Olimpbet</t>
        </is>
      </c>
      <c r="N28" s="14" t="inlineStr">
        <is>
          <t>ед.</t>
        </is>
      </c>
      <c r="O28" s="117">
        <f>F28*G28</f>
        <v/>
      </c>
      <c r="P28" s="34" t="inlineStr">
        <is>
          <t>Прематч</t>
        </is>
      </c>
      <c r="Q28" s="34" t="inlineStr">
        <is>
          <t>Хоккей</t>
        </is>
      </c>
      <c r="R28" s="34" t="inlineStr">
        <is>
          <t>Тотал меньше</t>
        </is>
      </c>
      <c r="S28" s="34" t="inlineStr">
        <is>
          <t>Матч целиком</t>
        </is>
      </c>
      <c r="T28" s="34" t="inlineStr">
        <is>
          <t>до 1,50</t>
        </is>
      </c>
      <c r="U28" s="34" t="inlineStr">
        <is>
          <t>200</t>
        </is>
      </c>
      <c r="V28" s="34" t="str"/>
      <c r="W28" s="34" t="inlineStr">
        <is>
          <t>КХЛ. Регулярный чемпионат</t>
        </is>
      </c>
    </row>
    <row r="29">
      <c r="A29" s="14" t="inlineStr">
        <is>
          <t>11.10.2026</t>
        </is>
      </c>
      <c r="B29" s="14" t="n">
        <v>399</v>
      </c>
      <c r="C29" s="14" t="inlineStr">
        <is>
          <t>12:08</t>
        </is>
      </c>
      <c r="D29" s="14" t="inlineStr">
        <is>
          <t>Ординар</t>
        </is>
      </c>
      <c r="E29" s="14" t="n">
        <v>1</v>
      </c>
      <c r="F29" s="113" t="n">
        <v>100</v>
      </c>
      <c r="G29" s="115" t="n">
        <v>1.62</v>
      </c>
      <c r="H29" s="113">
        <f>ROUND(F29*G29,0)</f>
        <v/>
      </c>
      <c r="I29" s="113" t="inlineStr">
        <is>
          <t>Выигрыш</t>
        </is>
      </c>
      <c r="J29" s="113" t="n">
        <v>162</v>
      </c>
      <c r="K29" s="113">
        <f>IF(OR(I29="",I29="Открыт"),"",J29-F29)</f>
        <v/>
      </c>
      <c r="L29" s="114">
        <f>IF(K29="","",K29/F29)</f>
        <v/>
      </c>
      <c r="M29" s="14" t="inlineStr">
        <is>
          <t>Olimpbet</t>
        </is>
      </c>
      <c r="N29" s="14" t="inlineStr">
        <is>
          <t>ед.</t>
        </is>
      </c>
      <c r="O29" s="117">
        <f>F29*G29</f>
        <v/>
      </c>
      <c r="P29" s="34" t="inlineStr">
        <is>
          <t>Прематч</t>
        </is>
      </c>
      <c r="Q29" s="34" t="inlineStr">
        <is>
          <t>Хоккей</t>
        </is>
      </c>
      <c r="R29" s="34" t="inlineStr">
        <is>
          <t>Тотал больше</t>
        </is>
      </c>
      <c r="S29" s="34" t="inlineStr">
        <is>
          <t>Матч целиком</t>
        </is>
      </c>
      <c r="T29" s="34" t="inlineStr">
        <is>
          <t>1,50-1,69</t>
        </is>
      </c>
      <c r="U29" s="34" t="inlineStr">
        <is>
          <t>до 100</t>
        </is>
      </c>
      <c r="V29" s="34" t="str"/>
      <c r="W29" s="34" t="inlineStr">
        <is>
          <t>КХЛ. Регулярный чемпионат</t>
        </is>
      </c>
    </row>
    <row r="30">
      <c r="A30" s="14" t="inlineStr">
        <is>
          <t>11.10.2026</t>
        </is>
      </c>
      <c r="B30" s="14" t="n">
        <v>400</v>
      </c>
      <c r="C30" s="14" t="inlineStr">
        <is>
          <t>12:28</t>
        </is>
      </c>
      <c r="D30" s="14" t="inlineStr">
        <is>
          <t>Ординар</t>
        </is>
      </c>
      <c r="E30" s="14" t="n">
        <v>1</v>
      </c>
      <c r="F30" s="113" t="n">
        <v>100</v>
      </c>
      <c r="G30" s="115" t="n">
        <v>2.5</v>
      </c>
      <c r="H30" s="113">
        <f>ROUND(F30*G30,0)</f>
        <v/>
      </c>
      <c r="I30" s="113" t="inlineStr">
        <is>
          <t>Выигрыш</t>
        </is>
      </c>
      <c r="J30" s="113" t="n">
        <v>250</v>
      </c>
      <c r="K30" s="113">
        <f>IF(OR(I30="",I30="Открыт"),"",J30-F30)</f>
        <v/>
      </c>
      <c r="L30" s="114">
        <f>IF(K30="","",K30/F30)</f>
        <v/>
      </c>
      <c r="M30" s="14" t="inlineStr">
        <is>
          <t>Olimpbet</t>
        </is>
      </c>
      <c r="N30" s="14" t="inlineStr">
        <is>
          <t>ед.</t>
        </is>
      </c>
      <c r="O30" s="117">
        <f>F30*G30</f>
        <v/>
      </c>
      <c r="P30" s="34" t="inlineStr">
        <is>
          <t>Live</t>
        </is>
      </c>
      <c r="Q30" s="34" t="inlineStr">
        <is>
          <t>Футбол</t>
        </is>
      </c>
      <c r="R30" s="34" t="inlineStr">
        <is>
          <t>Тотал больше</t>
        </is>
      </c>
      <c r="S30" s="34" t="inlineStr">
        <is>
          <t>Матч целиком</t>
        </is>
      </c>
      <c r="T30" s="34" t="inlineStr">
        <is>
          <t>2,50+</t>
        </is>
      </c>
      <c r="U30" s="34" t="inlineStr">
        <is>
          <t>до 100</t>
        </is>
      </c>
      <c r="V30" s="34" t="str"/>
      <c r="W30" s="34" t="inlineStr">
        <is>
          <t>Индонезия. Суперлига</t>
        </is>
      </c>
    </row>
    <row r="31">
      <c r="A31" s="14" t="inlineStr">
        <is>
          <t>11.10.2026</t>
        </is>
      </c>
      <c r="B31" s="14" t="n">
        <v>401</v>
      </c>
      <c r="C31" s="14" t="inlineStr">
        <is>
          <t>12:37</t>
        </is>
      </c>
      <c r="D31" s="14" t="inlineStr">
        <is>
          <t>Ординар</t>
        </is>
      </c>
      <c r="E31" s="14" t="n">
        <v>1</v>
      </c>
      <c r="F31" s="113" t="n">
        <v>200</v>
      </c>
      <c r="G31" s="115" t="n">
        <v>1.62</v>
      </c>
      <c r="H31" s="113">
        <f>ROUND(F31*G31,0)</f>
        <v/>
      </c>
      <c r="I31" s="113" t="inlineStr">
        <is>
          <t>Выигрыш</t>
        </is>
      </c>
      <c r="J31" s="113" t="n">
        <v>324</v>
      </c>
      <c r="K31" s="113">
        <f>IF(OR(I31="",I31="Открыт"),"",J31-F31)</f>
        <v/>
      </c>
      <c r="L31" s="114">
        <f>IF(K31="","",K31/F31)</f>
        <v/>
      </c>
      <c r="M31" s="14" t="inlineStr">
        <is>
          <t>Olimpbet</t>
        </is>
      </c>
      <c r="N31" s="14" t="inlineStr">
        <is>
          <t>ед.</t>
        </is>
      </c>
      <c r="O31" s="117">
        <f>F31*G31</f>
        <v/>
      </c>
      <c r="P31" s="34" t="inlineStr">
        <is>
          <t>Прематч</t>
        </is>
      </c>
      <c r="Q31" s="34" t="inlineStr">
        <is>
          <t>Футбол</t>
        </is>
      </c>
      <c r="R31" s="34" t="inlineStr">
        <is>
          <t>Статистика матча</t>
        </is>
      </c>
      <c r="S31" s="34" t="inlineStr">
        <is>
          <t>Матч целиком</t>
        </is>
      </c>
      <c r="T31" s="34" t="inlineStr">
        <is>
          <t>1,50-1,69</t>
        </is>
      </c>
      <c r="U31" s="34" t="inlineStr">
        <is>
          <t>200</t>
        </is>
      </c>
      <c r="V31" s="34" t="str"/>
      <c r="W31" s="34" t="inlineStr">
        <is>
          <t>Россия. Премьер-лига. Статистика</t>
        </is>
      </c>
    </row>
    <row r="32">
      <c r="A32" s="14" t="inlineStr">
        <is>
          <t>11.10.2026</t>
        </is>
      </c>
      <c r="B32" s="14" t="n">
        <v>402</v>
      </c>
      <c r="C32" s="14" t="inlineStr">
        <is>
          <t>12:40</t>
        </is>
      </c>
      <c r="D32" s="14" t="inlineStr">
        <is>
          <t>Ординар</t>
        </is>
      </c>
      <c r="E32" s="14" t="n">
        <v>1</v>
      </c>
      <c r="F32" s="113" t="n">
        <v>100</v>
      </c>
      <c r="G32" s="115" t="n">
        <v>1.85</v>
      </c>
      <c r="H32" s="113">
        <f>ROUND(F32*G32,0)</f>
        <v/>
      </c>
      <c r="I32" s="113" t="inlineStr">
        <is>
          <t>Выигрыш</t>
        </is>
      </c>
      <c r="J32" s="113" t="n">
        <v>185</v>
      </c>
      <c r="K32" s="113">
        <f>IF(OR(I32="",I32="Открыт"),"",J32-F32)</f>
        <v/>
      </c>
      <c r="L32" s="114">
        <f>IF(K32="","",K32/F32)</f>
        <v/>
      </c>
      <c r="M32" s="14" t="inlineStr">
        <is>
          <t>Olimpbet</t>
        </is>
      </c>
      <c r="N32" s="14" t="inlineStr">
        <is>
          <t>ед.</t>
        </is>
      </c>
      <c r="O32" s="117">
        <f>F32*G32</f>
        <v/>
      </c>
      <c r="P32" s="34" t="inlineStr">
        <is>
          <t>Прематч</t>
        </is>
      </c>
      <c r="Q32" s="34" t="inlineStr">
        <is>
          <t>Футбол</t>
        </is>
      </c>
      <c r="R32" s="34" t="inlineStr">
        <is>
          <t>Тотал больше</t>
        </is>
      </c>
      <c r="S32" s="34" t="inlineStr">
        <is>
          <t>Матч целиком</t>
        </is>
      </c>
      <c r="T32" s="34" t="inlineStr">
        <is>
          <t>1,70-1,99</t>
        </is>
      </c>
      <c r="U32" s="34" t="inlineStr">
        <is>
          <t>до 100</t>
        </is>
      </c>
      <c r="V32" s="34" t="str"/>
      <c r="W32" s="34" t="inlineStr">
        <is>
          <t>Нидерланды. Эредивизи</t>
        </is>
      </c>
    </row>
    <row r="33">
      <c r="A33" s="14" t="inlineStr">
        <is>
          <t>11.10.2026</t>
        </is>
      </c>
      <c r="B33" s="14" t="n">
        <v>403</v>
      </c>
      <c r="C33" s="14" t="inlineStr">
        <is>
          <t>12:43</t>
        </is>
      </c>
      <c r="D33" s="14" t="inlineStr">
        <is>
          <t>Ординар</t>
        </is>
      </c>
      <c r="E33" s="14" t="n">
        <v>1</v>
      </c>
      <c r="F33" s="113" t="n">
        <v>200</v>
      </c>
      <c r="G33" s="115" t="n">
        <v>1.98</v>
      </c>
      <c r="H33" s="113">
        <f>ROUND(F33*G33,0)</f>
        <v/>
      </c>
      <c r="I33" s="113" t="inlineStr">
        <is>
          <t>Выигрыш</t>
        </is>
      </c>
      <c r="J33" s="113" t="n">
        <v>396</v>
      </c>
      <c r="K33" s="113">
        <f>IF(OR(I33="",I33="Открыт"),"",J33-F33)</f>
        <v/>
      </c>
      <c r="L33" s="114">
        <f>IF(K33="","",K33/F33)</f>
        <v/>
      </c>
      <c r="M33" s="14" t="inlineStr">
        <is>
          <t>Olimpbet</t>
        </is>
      </c>
      <c r="N33" s="14" t="inlineStr">
        <is>
          <t>ед.</t>
        </is>
      </c>
      <c r="O33" s="117">
        <f>F33*G33</f>
        <v/>
      </c>
      <c r="P33" s="34" t="inlineStr">
        <is>
          <t>Прематч</t>
        </is>
      </c>
      <c r="Q33" s="34" t="inlineStr">
        <is>
          <t>Теннис</t>
        </is>
      </c>
      <c r="R33" s="34" t="inlineStr">
        <is>
          <t>Тотал больше</t>
        </is>
      </c>
      <c r="S33" s="34" t="inlineStr">
        <is>
          <t>Матч целиком</t>
        </is>
      </c>
      <c r="T33" s="34" t="inlineStr">
        <is>
          <t>1,70-1,99</t>
        </is>
      </c>
      <c r="U33" s="34" t="inlineStr">
        <is>
          <t>200</t>
        </is>
      </c>
      <c r="V33" s="34" t="str"/>
      <c r="W33" s="34" t="inlineStr">
        <is>
          <t>ATP 1000. Шанхай. Хард</t>
        </is>
      </c>
    </row>
    <row r="34">
      <c r="A34" s="14" t="inlineStr">
        <is>
          <t>11.10.2026</t>
        </is>
      </c>
      <c r="B34" s="14" t="n">
        <v>404</v>
      </c>
      <c r="C34" s="14" t="inlineStr">
        <is>
          <t>12:47</t>
        </is>
      </c>
      <c r="D34" s="14" t="inlineStr">
        <is>
          <t>Ординар</t>
        </is>
      </c>
      <c r="E34" s="14" t="n">
        <v>1</v>
      </c>
      <c r="F34" s="113" t="n">
        <v>100</v>
      </c>
      <c r="G34" s="115" t="n">
        <v>1.85</v>
      </c>
      <c r="H34" s="113">
        <f>ROUND(F34*G34,0)</f>
        <v/>
      </c>
      <c r="I34" s="113" t="inlineStr">
        <is>
          <t>Проигрыш</t>
        </is>
      </c>
      <c r="J34" s="113" t="n">
        <v>0</v>
      </c>
      <c r="K34" s="113">
        <f>IF(OR(I34="",I34="Открыт"),"",J34-F34)</f>
        <v/>
      </c>
      <c r="L34" s="114">
        <f>IF(K34="","",K34/F34)</f>
        <v/>
      </c>
      <c r="M34" s="14" t="inlineStr">
        <is>
          <t>Olimpbet</t>
        </is>
      </c>
      <c r="N34" s="14" t="inlineStr">
        <is>
          <t>ед.</t>
        </is>
      </c>
      <c r="O34" s="117">
        <f>F34*G34</f>
        <v/>
      </c>
      <c r="P34" s="34" t="inlineStr">
        <is>
          <t>Прематч</t>
        </is>
      </c>
      <c r="Q34" s="34" t="inlineStr">
        <is>
          <t>Футбол</t>
        </is>
      </c>
      <c r="R34" s="34" t="inlineStr">
        <is>
          <t>Тотал меньше</t>
        </is>
      </c>
      <c r="S34" s="34" t="inlineStr">
        <is>
          <t>Матч целиком</t>
        </is>
      </c>
      <c r="T34" s="34" t="inlineStr">
        <is>
          <t>1,70-1,99</t>
        </is>
      </c>
      <c r="U34" s="34" t="inlineStr">
        <is>
          <t>до 100</t>
        </is>
      </c>
      <c r="V34" s="34" t="str"/>
      <c r="W34" s="34" t="inlineStr">
        <is>
          <t>Беларусь. Высшая лига</t>
        </is>
      </c>
    </row>
    <row r="35">
      <c r="A35" s="14" t="inlineStr">
        <is>
          <t>11.10.2026</t>
        </is>
      </c>
      <c r="B35" s="14" t="n">
        <v>405</v>
      </c>
      <c r="C35" s="14" t="inlineStr">
        <is>
          <t>12:47</t>
        </is>
      </c>
      <c r="D35" s="14" t="inlineStr">
        <is>
          <t>Ординар</t>
        </is>
      </c>
      <c r="E35" s="14" t="n">
        <v>1</v>
      </c>
      <c r="F35" s="113" t="n">
        <v>100</v>
      </c>
      <c r="G35" s="115" t="n">
        <v>1.85</v>
      </c>
      <c r="H35" s="113">
        <f>ROUND(F35*G35,0)</f>
        <v/>
      </c>
      <c r="I35" s="113" t="inlineStr">
        <is>
          <t>Проигрыш</t>
        </is>
      </c>
      <c r="J35" s="113" t="n">
        <v>0</v>
      </c>
      <c r="K35" s="113">
        <f>IF(OR(I35="",I35="Открыт"),"",J35-F35)</f>
        <v/>
      </c>
      <c r="L35" s="114">
        <f>IF(K35="","",K35/F35)</f>
        <v/>
      </c>
      <c r="M35" s="14" t="inlineStr">
        <is>
          <t>Olimpbet</t>
        </is>
      </c>
      <c r="N35" s="14" t="inlineStr">
        <is>
          <t>ед.</t>
        </is>
      </c>
      <c r="O35" s="117">
        <f>F35*G35</f>
        <v/>
      </c>
      <c r="P35" s="34" t="inlineStr">
        <is>
          <t>Прематч</t>
        </is>
      </c>
      <c r="Q35" s="34" t="inlineStr">
        <is>
          <t>Футбол</t>
        </is>
      </c>
      <c r="R35" s="34" t="inlineStr">
        <is>
          <t>Тотал меньше</t>
        </is>
      </c>
      <c r="S35" s="34" t="inlineStr">
        <is>
          <t>Матч целиком</t>
        </is>
      </c>
      <c r="T35" s="34" t="inlineStr">
        <is>
          <t>1,70-1,99</t>
        </is>
      </c>
      <c r="U35" s="34" t="inlineStr">
        <is>
          <t>до 100</t>
        </is>
      </c>
      <c r="V35" s="34" t="str"/>
      <c r="W35" s="34" t="inlineStr">
        <is>
          <t>Беларусь. Высшая лига</t>
        </is>
      </c>
    </row>
    <row r="36">
      <c r="A36" s="14" t="inlineStr">
        <is>
          <t>11.10.2026</t>
        </is>
      </c>
      <c r="B36" s="14" t="n">
        <v>406</v>
      </c>
      <c r="C36" s="14" t="inlineStr">
        <is>
          <t>12:51</t>
        </is>
      </c>
      <c r="D36" s="14" t="inlineStr">
        <is>
          <t>Экспресс</t>
        </is>
      </c>
      <c r="E36" s="14" t="n">
        <v>2</v>
      </c>
      <c r="F36" s="113" t="n">
        <v>200</v>
      </c>
      <c r="G36" s="115" t="n">
        <v>1.86</v>
      </c>
      <c r="H36" s="113">
        <f>ROUND(F36*G36,0)</f>
        <v/>
      </c>
      <c r="I36" s="113" t="inlineStr">
        <is>
          <t>Выигрыш</t>
        </is>
      </c>
      <c r="J36" s="113" t="n">
        <v>372</v>
      </c>
      <c r="K36" s="113" t="n">
        <v>172</v>
      </c>
      <c r="L36" s="114" t="n">
        <v>0.86</v>
      </c>
      <c r="M36" s="14" t="inlineStr">
        <is>
          <t>Olimpbet</t>
        </is>
      </c>
      <c r="N36" s="14" t="inlineStr">
        <is>
          <t>ед.</t>
        </is>
      </c>
      <c r="O36" s="117">
        <f>F36*G36</f>
        <v/>
      </c>
      <c r="P36" s="34" t="inlineStr">
        <is>
          <t>Прематч</t>
        </is>
      </c>
      <c r="Q36" s="34" t="inlineStr">
        <is>
          <t>Хоккей</t>
        </is>
      </c>
      <c r="R36" s="34" t="inlineStr">
        <is>
          <t>Экспресс</t>
        </is>
      </c>
      <c r="S36" s="34" t="inlineStr">
        <is>
          <t>Экспресс / смешанный</t>
        </is>
      </c>
      <c r="T36" s="34" t="inlineStr">
        <is>
          <t>1,70-1,99</t>
        </is>
      </c>
      <c r="U36" s="34" t="inlineStr">
        <is>
          <t>200</t>
        </is>
      </c>
      <c r="V36" s="34" t="str"/>
      <c r="W36" s="34" t="inlineStr">
        <is>
          <t>Несколько турниров</t>
        </is>
      </c>
    </row>
    <row r="37">
      <c r="A37" s="14" t="inlineStr">
        <is>
          <t>11.10.2026</t>
        </is>
      </c>
      <c r="B37" s="14" t="n">
        <v>407</v>
      </c>
      <c r="C37" s="14" t="inlineStr">
        <is>
          <t>12:53</t>
        </is>
      </c>
      <c r="D37" s="14" t="inlineStr">
        <is>
          <t>Ординар</t>
        </is>
      </c>
      <c r="E37" s="14" t="n">
        <v>1</v>
      </c>
      <c r="F37" s="113" t="n">
        <v>100</v>
      </c>
      <c r="G37" s="115" t="n">
        <v>1.68</v>
      </c>
      <c r="H37" s="113">
        <f>ROUND(F37*G37,0)</f>
        <v/>
      </c>
      <c r="I37" s="113" t="inlineStr">
        <is>
          <t>Выигрыш</t>
        </is>
      </c>
      <c r="J37" s="113" t="n">
        <v>168</v>
      </c>
      <c r="K37" s="113">
        <f>IF(OR(I37="",I37="Открыт"),"",J37-F37)</f>
        <v/>
      </c>
      <c r="L37" s="114">
        <f>IF(K37="","",K37/F37)</f>
        <v/>
      </c>
      <c r="M37" s="14" t="inlineStr">
        <is>
          <t>Olimpbet</t>
        </is>
      </c>
      <c r="N37" s="14" t="inlineStr">
        <is>
          <t>ед.</t>
        </is>
      </c>
      <c r="O37" s="117">
        <f>F37*G37</f>
        <v/>
      </c>
      <c r="P37" s="34" t="inlineStr">
        <is>
          <t>Прематч</t>
        </is>
      </c>
      <c r="Q37" s="34" t="inlineStr">
        <is>
          <t>Теннис</t>
        </is>
      </c>
      <c r="R37" s="34" t="inlineStr">
        <is>
          <t>Тотал больше</t>
        </is>
      </c>
      <c r="S37" s="34" t="inlineStr">
        <is>
          <t>1-й сет</t>
        </is>
      </c>
      <c r="T37" s="34" t="inlineStr">
        <is>
          <t>1,50-1,69</t>
        </is>
      </c>
      <c r="U37" s="34" t="inlineStr">
        <is>
          <t>до 100</t>
        </is>
      </c>
      <c r="V37" s="34" t="str"/>
      <c r="W37" s="34" t="inlineStr">
        <is>
          <t>ATP Challenger. Ольбия. Квалификация</t>
        </is>
      </c>
    </row>
    <row r="38">
      <c r="A38" s="14" t="inlineStr">
        <is>
          <t>11.10.2026</t>
        </is>
      </c>
      <c r="B38" s="14" t="n">
        <v>408</v>
      </c>
      <c r="C38" s="14" t="inlineStr">
        <is>
          <t>14:26</t>
        </is>
      </c>
      <c r="D38" s="14" t="inlineStr">
        <is>
          <t>Ординар</t>
        </is>
      </c>
      <c r="E38" s="14" t="n">
        <v>1</v>
      </c>
      <c r="F38" s="113" t="n">
        <v>100</v>
      </c>
      <c r="G38" s="115" t="n">
        <v>1.71</v>
      </c>
      <c r="H38" s="113">
        <f>ROUND(F38*G38,0)</f>
        <v/>
      </c>
      <c r="I38" s="113" t="inlineStr">
        <is>
          <t>Проигрыш</t>
        </is>
      </c>
      <c r="J38" s="113" t="n">
        <v>0</v>
      </c>
      <c r="K38" s="113" t="n">
        <v>-100</v>
      </c>
      <c r="L38" s="114" t="n">
        <v>-1</v>
      </c>
      <c r="M38" s="14" t="inlineStr">
        <is>
          <t>Olimpbet</t>
        </is>
      </c>
      <c r="N38" s="14" t="inlineStr">
        <is>
          <t>ед.</t>
        </is>
      </c>
      <c r="O38" s="117">
        <f>F38*G38</f>
        <v/>
      </c>
      <c r="P38" s="34" t="inlineStr">
        <is>
          <t>Прематч</t>
        </is>
      </c>
      <c r="Q38" s="34" t="inlineStr">
        <is>
          <t>Хоккей</t>
        </is>
      </c>
      <c r="R38" s="34" t="inlineStr">
        <is>
          <t>Победа</t>
        </is>
      </c>
      <c r="S38" s="34" t="inlineStr">
        <is>
          <t>Матч целиком</t>
        </is>
      </c>
      <c r="T38" s="34" t="inlineStr">
        <is>
          <t>1,70-1,99</t>
        </is>
      </c>
      <c r="U38" s="34" t="inlineStr">
        <is>
          <t>до 100</t>
        </is>
      </c>
      <c r="V38" s="34" t="str"/>
      <c r="W38" s="34" t="inlineStr">
        <is>
          <t>AHL. Регулярный сезон</t>
        </is>
      </c>
    </row>
    <row r="39">
      <c r="A39" s="14" t="inlineStr">
        <is>
          <t>11.10.2026</t>
        </is>
      </c>
      <c r="B39" s="14" t="n">
        <v>409</v>
      </c>
      <c r="C39" s="14" t="inlineStr">
        <is>
          <t>14:29</t>
        </is>
      </c>
      <c r="D39" s="14" t="inlineStr">
        <is>
          <t>Ординар</t>
        </is>
      </c>
      <c r="E39" s="14" t="n">
        <v>1</v>
      </c>
      <c r="F39" s="113" t="n">
        <v>100</v>
      </c>
      <c r="G39" s="115" t="n">
        <v>1.67</v>
      </c>
      <c r="H39" s="113">
        <f>ROUND(F39*G39,0)</f>
        <v/>
      </c>
      <c r="I39" s="113" t="inlineStr">
        <is>
          <t>Выигрыш</t>
        </is>
      </c>
      <c r="J39" s="113" t="n">
        <v>167</v>
      </c>
      <c r="K39" s="113">
        <f>IF(OR(I39="",I39="Открыт"),"",J39-F39)</f>
        <v/>
      </c>
      <c r="L39" s="114">
        <f>IF(K39="","",K39/F39)</f>
        <v/>
      </c>
      <c r="M39" s="14" t="inlineStr">
        <is>
          <t>Olimpbet</t>
        </is>
      </c>
      <c r="N39" s="14" t="inlineStr">
        <is>
          <t>ед.</t>
        </is>
      </c>
      <c r="O39" s="117">
        <f>F39*G39</f>
        <v/>
      </c>
      <c r="P39" s="34" t="inlineStr">
        <is>
          <t>Прематч</t>
        </is>
      </c>
      <c r="Q39" s="34" t="inlineStr">
        <is>
          <t>Хоккей</t>
        </is>
      </c>
      <c r="R39" s="34" t="inlineStr">
        <is>
          <t>Фора</t>
        </is>
      </c>
      <c r="S39" s="34" t="inlineStr">
        <is>
          <t>Матч целиком</t>
        </is>
      </c>
      <c r="T39" s="34" t="inlineStr">
        <is>
          <t>1,50-1,69</t>
        </is>
      </c>
      <c r="U39" s="34" t="inlineStr">
        <is>
          <t>до 100</t>
        </is>
      </c>
      <c r="V39" s="34" t="str"/>
      <c r="W39" s="34" t="inlineStr">
        <is>
          <t>Швейцария. National League</t>
        </is>
      </c>
    </row>
    <row r="40">
      <c r="A40" s="14" t="inlineStr">
        <is>
          <t>11.10.2026</t>
        </is>
      </c>
      <c r="B40" s="14" t="n">
        <v>410</v>
      </c>
      <c r="C40" s="14" t="inlineStr">
        <is>
          <t>14:29</t>
        </is>
      </c>
      <c r="D40" s="14" t="inlineStr">
        <is>
          <t>Ординар</t>
        </is>
      </c>
      <c r="E40" s="14" t="n">
        <v>1</v>
      </c>
      <c r="F40" s="113" t="n">
        <v>100</v>
      </c>
      <c r="G40" s="115" t="n">
        <v>1.96</v>
      </c>
      <c r="H40" s="113">
        <f>ROUND(F40*G40,0)</f>
        <v/>
      </c>
      <c r="I40" s="113" t="inlineStr">
        <is>
          <t>Возврат</t>
        </is>
      </c>
      <c r="J40" s="113" t="n">
        <v>100</v>
      </c>
      <c r="K40" s="113">
        <f>IF(OR(I40="",I40="Открыт"),"",J40-F40)</f>
        <v/>
      </c>
      <c r="L40" s="114">
        <f>IF(K40="","",K40/F40)</f>
        <v/>
      </c>
      <c r="M40" s="14" t="inlineStr">
        <is>
          <t>Olimpbet</t>
        </is>
      </c>
      <c r="N40" s="14" t="inlineStr">
        <is>
          <t>ед.</t>
        </is>
      </c>
      <c r="O40" s="117">
        <f>F40*G40</f>
        <v/>
      </c>
      <c r="P40" s="34" t="inlineStr">
        <is>
          <t>Прематч</t>
        </is>
      </c>
      <c r="Q40" s="34" t="inlineStr">
        <is>
          <t>Хоккей</t>
        </is>
      </c>
      <c r="R40" s="34" t="inlineStr">
        <is>
          <t>Фора</t>
        </is>
      </c>
      <c r="S40" s="34" t="inlineStr">
        <is>
          <t>Матч целиком</t>
        </is>
      </c>
      <c r="T40" s="34" t="inlineStr">
        <is>
          <t>1,70-1,99</t>
        </is>
      </c>
      <c r="U40" s="34" t="inlineStr">
        <is>
          <t>до 100</t>
        </is>
      </c>
      <c r="V40" s="34" t="str"/>
      <c r="W40" s="34" t="inlineStr">
        <is>
          <t>OLIMPBET ВХЛ. Регулярный чемпионат</t>
        </is>
      </c>
    </row>
    <row r="41">
      <c r="A41" s="14" t="inlineStr">
        <is>
          <t>11.10.2026</t>
        </is>
      </c>
      <c r="B41" s="14" t="n">
        <v>411</v>
      </c>
      <c r="C41" s="14" t="inlineStr">
        <is>
          <t>14:52</t>
        </is>
      </c>
      <c r="D41" s="14" t="inlineStr">
        <is>
          <t>Ординар</t>
        </is>
      </c>
      <c r="E41" s="14" t="n">
        <v>1</v>
      </c>
      <c r="F41" s="113" t="n">
        <v>200</v>
      </c>
      <c r="G41" s="115" t="n">
        <v>1.77</v>
      </c>
      <c r="H41" s="113">
        <f>ROUND(F41*G41,0)</f>
        <v/>
      </c>
      <c r="I41" s="113" t="inlineStr">
        <is>
          <t>Выигрыш</t>
        </is>
      </c>
      <c r="J41" s="113" t="n">
        <v>354</v>
      </c>
      <c r="K41" s="113">
        <f>IF(OR(I41="",I41="Открыт"),"",J41-F41)</f>
        <v/>
      </c>
      <c r="L41" s="114">
        <f>IF(K41="","",K41/F41)</f>
        <v/>
      </c>
      <c r="M41" s="14" t="inlineStr">
        <is>
          <t>Olimpbet</t>
        </is>
      </c>
      <c r="N41" s="14" t="inlineStr">
        <is>
          <t>ед.</t>
        </is>
      </c>
      <c r="O41" s="117">
        <f>F41*G41</f>
        <v/>
      </c>
      <c r="P41" s="34" t="inlineStr">
        <is>
          <t>Live</t>
        </is>
      </c>
      <c r="Q41" s="34" t="inlineStr">
        <is>
          <t>Хоккей</t>
        </is>
      </c>
      <c r="R41" s="34" t="inlineStr">
        <is>
          <t>Фора</t>
        </is>
      </c>
      <c r="S41" s="34" t="inlineStr">
        <is>
          <t>Матч целиком</t>
        </is>
      </c>
      <c r="T41" s="34" t="inlineStr">
        <is>
          <t>1,70-1,99</t>
        </is>
      </c>
      <c r="U41" s="34" t="inlineStr">
        <is>
          <t>200</t>
        </is>
      </c>
      <c r="V41" s="34" t="str"/>
      <c r="W41" s="34" t="inlineStr">
        <is>
          <t>Финляндия. SM-Sarja до 20 лет</t>
        </is>
      </c>
    </row>
    <row r="42">
      <c r="A42" s="14" t="inlineStr">
        <is>
          <t>11.10.2026</t>
        </is>
      </c>
      <c r="B42" s="14" t="n">
        <v>412</v>
      </c>
      <c r="C42" s="14" t="inlineStr">
        <is>
          <t>14:53</t>
        </is>
      </c>
      <c r="D42" s="14" t="inlineStr">
        <is>
          <t>Ординар</t>
        </is>
      </c>
      <c r="E42" s="14" t="n">
        <v>1</v>
      </c>
      <c r="F42" s="113" t="n">
        <v>300</v>
      </c>
      <c r="G42" s="115" t="n">
        <v>1.54</v>
      </c>
      <c r="H42" s="113">
        <f>ROUND(F42*G42,0)</f>
        <v/>
      </c>
      <c r="I42" s="113" t="inlineStr">
        <is>
          <t>Проигрыш</t>
        </is>
      </c>
      <c r="J42" s="113" t="n">
        <v>0</v>
      </c>
      <c r="K42" s="113">
        <f>IF(OR(I42="",I42="Открыт"),"",J42-F42)</f>
        <v/>
      </c>
      <c r="L42" s="114">
        <f>IF(K42="","",K42/F42)</f>
        <v/>
      </c>
      <c r="M42" s="14" t="inlineStr">
        <is>
          <t>Olimpbet</t>
        </is>
      </c>
      <c r="N42" s="14" t="inlineStr">
        <is>
          <t>ед.</t>
        </is>
      </c>
      <c r="O42" s="117">
        <f>F42*G42</f>
        <v/>
      </c>
      <c r="P42" s="34" t="inlineStr">
        <is>
          <t>Прематч</t>
        </is>
      </c>
      <c r="Q42" s="34" t="inlineStr">
        <is>
          <t>Футбол</t>
        </is>
      </c>
      <c r="R42" s="34" t="inlineStr">
        <is>
          <t>Тотал больше</t>
        </is>
      </c>
      <c r="S42" s="34" t="inlineStr">
        <is>
          <t>Матч целиком</t>
        </is>
      </c>
      <c r="T42" s="34" t="inlineStr">
        <is>
          <t>1,50-1,69</t>
        </is>
      </c>
      <c r="U42" s="34" t="inlineStr">
        <is>
          <t>201-499</t>
        </is>
      </c>
      <c r="V42" s="34" t="str"/>
      <c r="W42" s="34" t="inlineStr">
        <is>
          <t>Россия. Премьер-лига</t>
        </is>
      </c>
    </row>
    <row r="43">
      <c r="A43" s="14" t="inlineStr">
        <is>
          <t>11.10.2026</t>
        </is>
      </c>
      <c r="B43" s="14" t="n">
        <v>413</v>
      </c>
      <c r="C43" s="14" t="inlineStr">
        <is>
          <t>15:12</t>
        </is>
      </c>
      <c r="D43" s="14" t="inlineStr">
        <is>
          <t>Ординар</t>
        </is>
      </c>
      <c r="E43" s="14" t="n">
        <v>1</v>
      </c>
      <c r="F43" s="113" t="n">
        <v>200</v>
      </c>
      <c r="G43" s="115" t="n">
        <v>3.13</v>
      </c>
      <c r="H43" s="113">
        <f>ROUND(F43*G43,0)</f>
        <v/>
      </c>
      <c r="I43" s="113" t="inlineStr">
        <is>
          <t>Проигрыш</t>
        </is>
      </c>
      <c r="J43" s="113" t="n">
        <v>0</v>
      </c>
      <c r="K43" s="113">
        <f>IF(OR(I43="",I43="Открыт"),"",J43-F43)</f>
        <v/>
      </c>
      <c r="L43" s="114">
        <f>IF(K43="","",K43/F43)</f>
        <v/>
      </c>
      <c r="M43" s="14" t="inlineStr">
        <is>
          <t>Olimpbet</t>
        </is>
      </c>
      <c r="N43" s="14" t="inlineStr">
        <is>
          <t>ед.</t>
        </is>
      </c>
      <c r="O43" s="117">
        <f>F43*G43</f>
        <v/>
      </c>
      <c r="P43" s="34" t="inlineStr">
        <is>
          <t>Live</t>
        </is>
      </c>
      <c r="Q43" s="34" t="inlineStr">
        <is>
          <t>Теннис</t>
        </is>
      </c>
      <c r="R43" s="34" t="inlineStr">
        <is>
          <t>Тотал меньше</t>
        </is>
      </c>
      <c r="S43" s="34" t="inlineStr">
        <is>
          <t>Матч целиком</t>
        </is>
      </c>
      <c r="T43" s="34" t="inlineStr">
        <is>
          <t>2,50+</t>
        </is>
      </c>
      <c r="U43" s="34" t="inlineStr">
        <is>
          <t>200</t>
        </is>
      </c>
      <c r="V43" s="34" t="inlineStr">
        <is>
          <t>ошибочная фора - в настройках стояла галочка "принимать изменение форы"</t>
        </is>
      </c>
      <c r="W43" s="34" t="inlineStr">
        <is>
          <t>WTA 125. Роверето. Квалификация</t>
        </is>
      </c>
    </row>
    <row r="44">
      <c r="A44" s="14" t="inlineStr">
        <is>
          <t>11.10.2026</t>
        </is>
      </c>
      <c r="B44" s="14" t="n">
        <v>414</v>
      </c>
      <c r="C44" s="14" t="inlineStr">
        <is>
          <t>15:13</t>
        </is>
      </c>
      <c r="D44" s="14" t="inlineStr">
        <is>
          <t>Ординар</t>
        </is>
      </c>
      <c r="E44" s="14" t="n">
        <v>1</v>
      </c>
      <c r="F44" s="113" t="n">
        <v>2274</v>
      </c>
      <c r="G44" s="115" t="n">
        <v>1.73</v>
      </c>
      <c r="H44" s="113">
        <f>ROUND(F44*G44,0)</f>
        <v/>
      </c>
      <c r="I44" s="113" t="inlineStr">
        <is>
          <t>Продано</t>
        </is>
      </c>
      <c r="J44" s="113" t="n">
        <v>1728</v>
      </c>
      <c r="K44" s="113">
        <f>IF(OR(I44="",I44="Открыт"),"",J44-F44)</f>
        <v/>
      </c>
      <c r="L44" s="114">
        <f>IF(K44="","",K44/F44)</f>
        <v/>
      </c>
      <c r="M44" s="14" t="inlineStr">
        <is>
          <t>Olimpbet</t>
        </is>
      </c>
      <c r="N44" s="14" t="inlineStr">
        <is>
          <t>ед.</t>
        </is>
      </c>
      <c r="O44" s="117">
        <f>F44*G44</f>
        <v/>
      </c>
      <c r="P44" s="34" t="inlineStr">
        <is>
          <t>Live</t>
        </is>
      </c>
      <c r="Q44" s="34" t="inlineStr">
        <is>
          <t>Хоккей</t>
        </is>
      </c>
      <c r="R44" s="34" t="inlineStr">
        <is>
          <t>Фора</t>
        </is>
      </c>
      <c r="S44" s="34" t="inlineStr">
        <is>
          <t>Матч целиком</t>
        </is>
      </c>
      <c r="T44" s="34" t="inlineStr">
        <is>
          <t>1,70-1,99</t>
        </is>
      </c>
      <c r="U44" s="34" t="inlineStr">
        <is>
          <t>500+</t>
        </is>
      </c>
      <c r="V44" s="34" t="str"/>
      <c r="W44" s="34" t="inlineStr">
        <is>
          <t>Финляндия. SM-Sarja до 20 лет</t>
        </is>
      </c>
    </row>
    <row r="45">
      <c r="A45" s="14" t="inlineStr">
        <is>
          <t>11.10.2026</t>
        </is>
      </c>
      <c r="B45" s="14" t="n">
        <v>415</v>
      </c>
      <c r="C45" s="14" t="inlineStr">
        <is>
          <t>16:00</t>
        </is>
      </c>
      <c r="D45" s="14" t="inlineStr">
        <is>
          <t>Ординар</t>
        </is>
      </c>
      <c r="E45" s="14" t="n">
        <v>1</v>
      </c>
      <c r="F45" s="113" t="n">
        <v>200</v>
      </c>
      <c r="G45" s="115" t="n">
        <v>1.86</v>
      </c>
      <c r="H45" s="113">
        <f>ROUND(F45*G45,0)</f>
        <v/>
      </c>
      <c r="I45" s="113" t="inlineStr">
        <is>
          <t>Проигрыш</t>
        </is>
      </c>
      <c r="J45" s="113" t="n">
        <v>0</v>
      </c>
      <c r="K45" s="113">
        <f>IF(OR(I45="",I45="Открыт"),"",J45-F45)</f>
        <v/>
      </c>
      <c r="L45" s="114">
        <f>IF(K45="","",K45/F45)</f>
        <v/>
      </c>
      <c r="M45" s="14" t="inlineStr">
        <is>
          <t>Olimpbet</t>
        </is>
      </c>
      <c r="N45" s="14" t="inlineStr">
        <is>
          <t>ед.</t>
        </is>
      </c>
      <c r="O45" s="117">
        <f>F45*G45</f>
        <v/>
      </c>
      <c r="P45" s="34" t="inlineStr">
        <is>
          <t>Live</t>
        </is>
      </c>
      <c r="Q45" s="34" t="inlineStr">
        <is>
          <t>Футбол</t>
        </is>
      </c>
      <c r="R45" s="34" t="inlineStr">
        <is>
          <t>Тотал больше</t>
        </is>
      </c>
      <c r="S45" s="34" t="inlineStr">
        <is>
          <t>Матч целиком</t>
        </is>
      </c>
      <c r="T45" s="34" t="inlineStr">
        <is>
          <t>1,70-1,99</t>
        </is>
      </c>
      <c r="U45" s="34" t="inlineStr">
        <is>
          <t>200</t>
        </is>
      </c>
      <c r="V45" s="34" t="str"/>
      <c r="W45" s="34" t="inlineStr">
        <is>
          <t>Испания. Ла Лига 2</t>
        </is>
      </c>
    </row>
    <row r="46">
      <c r="A46" s="14" t="inlineStr">
        <is>
          <t>11.10.2026</t>
        </is>
      </c>
      <c r="B46" s="14" t="n">
        <v>416</v>
      </c>
      <c r="C46" s="14" t="inlineStr">
        <is>
          <t>16:01</t>
        </is>
      </c>
      <c r="D46" s="14" t="inlineStr">
        <is>
          <t>Ординар</t>
        </is>
      </c>
      <c r="E46" s="14" t="n">
        <v>1</v>
      </c>
      <c r="F46" s="113" t="n">
        <v>224</v>
      </c>
      <c r="G46" s="115" t="n">
        <v>2.71</v>
      </c>
      <c r="H46" s="113">
        <f>ROUND(F46*G46,0)</f>
        <v/>
      </c>
      <c r="I46" s="113" t="inlineStr">
        <is>
          <t>Выигрыш</t>
        </is>
      </c>
      <c r="J46" s="113" t="n">
        <v>607</v>
      </c>
      <c r="K46" s="113">
        <f>IF(OR(I46="",I46="Открыт"),"",J46-F46)</f>
        <v/>
      </c>
      <c r="L46" s="114">
        <f>IF(K46="","",K46/F46)</f>
        <v/>
      </c>
      <c r="M46" s="14" t="inlineStr">
        <is>
          <t>Olimpbet</t>
        </is>
      </c>
      <c r="N46" s="14" t="inlineStr">
        <is>
          <t>ед.</t>
        </is>
      </c>
      <c r="O46" s="117">
        <f>F46*G46</f>
        <v/>
      </c>
      <c r="P46" s="34" t="inlineStr">
        <is>
          <t>Live</t>
        </is>
      </c>
      <c r="Q46" s="34" t="inlineStr">
        <is>
          <t>Футбол</t>
        </is>
      </c>
      <c r="R46" s="34" t="inlineStr">
        <is>
          <t>Тотал больше</t>
        </is>
      </c>
      <c r="S46" s="34" t="inlineStr">
        <is>
          <t>1-й тайм</t>
        </is>
      </c>
      <c r="T46" s="34" t="inlineStr">
        <is>
          <t>2,50+</t>
        </is>
      </c>
      <c r="U46" s="34" t="inlineStr">
        <is>
          <t>201-499</t>
        </is>
      </c>
      <c r="V46" s="34" t="str"/>
      <c r="W46" s="34" t="inlineStr">
        <is>
          <t>Англия. Премьер-лига</t>
        </is>
      </c>
    </row>
    <row r="47">
      <c r="A47" s="14" t="inlineStr">
        <is>
          <t>11.10.2026</t>
        </is>
      </c>
      <c r="B47" s="14" t="n">
        <v>417</v>
      </c>
      <c r="C47" s="14" t="inlineStr">
        <is>
          <t>16:36</t>
        </is>
      </c>
      <c r="D47" s="14" t="inlineStr">
        <is>
          <t>Ординар</t>
        </is>
      </c>
      <c r="E47" s="14" t="n">
        <v>1</v>
      </c>
      <c r="F47" s="113" t="n">
        <v>100</v>
      </c>
      <c r="G47" s="115" t="n">
        <v>1.59</v>
      </c>
      <c r="H47" s="113">
        <f>ROUND(F47*G47,0)</f>
        <v/>
      </c>
      <c r="I47" s="113" t="inlineStr">
        <is>
          <t>Проигрыш</t>
        </is>
      </c>
      <c r="J47" s="113" t="n">
        <v>0</v>
      </c>
      <c r="K47" s="113">
        <f>IF(OR(I47="",I47="Открыт"),"",J47-F47)</f>
        <v/>
      </c>
      <c r="L47" s="114">
        <f>IF(K47="","",K47/F47)</f>
        <v/>
      </c>
      <c r="M47" s="14" t="inlineStr">
        <is>
          <t>Olimpbet</t>
        </is>
      </c>
      <c r="N47" s="14" t="inlineStr">
        <is>
          <t>ед.</t>
        </is>
      </c>
      <c r="O47" s="117">
        <f>F47*G47</f>
        <v/>
      </c>
      <c r="P47" s="34" t="inlineStr">
        <is>
          <t>Прематч</t>
        </is>
      </c>
      <c r="Q47" s="34" t="inlineStr">
        <is>
          <t>Футбол</t>
        </is>
      </c>
      <c r="R47" s="34" t="inlineStr">
        <is>
          <t>Тотал больше</t>
        </is>
      </c>
      <c r="S47" s="34" t="inlineStr">
        <is>
          <t>1-й тайм</t>
        </is>
      </c>
      <c r="T47" s="34" t="inlineStr">
        <is>
          <t>1,50-1,69</t>
        </is>
      </c>
      <c r="U47" s="34" t="inlineStr">
        <is>
          <t>до 100</t>
        </is>
      </c>
      <c r="V47" s="34" t="str"/>
      <c r="W47" s="34" t="inlineStr">
        <is>
          <t>Италия. Серия A</t>
        </is>
      </c>
    </row>
    <row r="48">
      <c r="A48" s="14" t="inlineStr">
        <is>
          <t>11.10.2026</t>
        </is>
      </c>
      <c r="B48" s="14" t="n">
        <v>418</v>
      </c>
      <c r="C48" s="14" t="inlineStr">
        <is>
          <t>16:47</t>
        </is>
      </c>
      <c r="D48" s="14" t="inlineStr">
        <is>
          <t>Ординар</t>
        </is>
      </c>
      <c r="E48" s="14" t="n">
        <v>1</v>
      </c>
      <c r="F48" s="113" t="n">
        <v>100</v>
      </c>
      <c r="G48" s="115" t="n">
        <v>5.57</v>
      </c>
      <c r="H48" s="113">
        <f>ROUND(F48*G48,0)</f>
        <v/>
      </c>
      <c r="I48" s="113" t="inlineStr">
        <is>
          <t>Проигрыш</t>
        </is>
      </c>
      <c r="J48" s="113" t="n">
        <v>0</v>
      </c>
      <c r="K48" s="113">
        <f>IF(OR(I48="",I48="Открыт"),"",J48-F48)</f>
        <v/>
      </c>
      <c r="L48" s="114">
        <f>IF(K48="","",K48/F48)</f>
        <v/>
      </c>
      <c r="M48" s="14" t="inlineStr">
        <is>
          <t>Olimpbet</t>
        </is>
      </c>
      <c r="N48" s="14" t="inlineStr">
        <is>
          <t>ед.</t>
        </is>
      </c>
      <c r="O48" s="117">
        <f>F48*G48</f>
        <v/>
      </c>
      <c r="P48" s="34" t="inlineStr">
        <is>
          <t>Live</t>
        </is>
      </c>
      <c r="Q48" s="34" t="inlineStr">
        <is>
          <t>Футбол</t>
        </is>
      </c>
      <c r="R48" s="34" t="inlineStr">
        <is>
          <t>Тотал больше</t>
        </is>
      </c>
      <c r="S48" s="34" t="inlineStr">
        <is>
          <t>Матч целиком</t>
        </is>
      </c>
      <c r="T48" s="34" t="inlineStr">
        <is>
          <t>2,50+</t>
        </is>
      </c>
      <c r="U48" s="34" t="inlineStr">
        <is>
          <t>до 100</t>
        </is>
      </c>
      <c r="V48" s="34" t="str"/>
      <c r="W48" s="34" t="inlineStr">
        <is>
          <t>Испания. Ла Лига</t>
        </is>
      </c>
    </row>
    <row r="49">
      <c r="A49" s="14" t="inlineStr">
        <is>
          <t>11.10.2026</t>
        </is>
      </c>
      <c r="B49" s="14" t="n">
        <v>419</v>
      </c>
      <c r="C49" s="14" t="inlineStr">
        <is>
          <t>16:53</t>
        </is>
      </c>
      <c r="D49" s="14" t="inlineStr">
        <is>
          <t>Ординар</t>
        </is>
      </c>
      <c r="E49" s="14" t="n">
        <v>1</v>
      </c>
      <c r="F49" s="113" t="n">
        <v>735</v>
      </c>
      <c r="G49" s="115" t="n">
        <v>2.17</v>
      </c>
      <c r="H49" s="113">
        <f>ROUND(F49*G49,0)</f>
        <v/>
      </c>
      <c r="I49" s="113" t="inlineStr">
        <is>
          <t>Выигрыш</t>
        </is>
      </c>
      <c r="J49" s="113" t="n">
        <v>1595</v>
      </c>
      <c r="K49" s="113">
        <f>IF(OR(I49="",I49="Открыт"),"",J49-F49)</f>
        <v/>
      </c>
      <c r="L49" s="114">
        <f>IF(K49="","",K49/F49)</f>
        <v/>
      </c>
      <c r="M49" s="14" t="inlineStr">
        <is>
          <t>Olimpbet</t>
        </is>
      </c>
      <c r="N49" s="14" t="inlineStr">
        <is>
          <t>ед.</t>
        </is>
      </c>
      <c r="O49" s="117">
        <f>F49*G49</f>
        <v/>
      </c>
      <c r="P49" s="34" t="inlineStr">
        <is>
          <t>Live</t>
        </is>
      </c>
      <c r="Q49" s="34" t="inlineStr">
        <is>
          <t>Футбол</t>
        </is>
      </c>
      <c r="R49" s="34" t="inlineStr">
        <is>
          <t>Тотал больше</t>
        </is>
      </c>
      <c r="S49" s="34" t="inlineStr">
        <is>
          <t>Матч целиком</t>
        </is>
      </c>
      <c r="T49" s="34" t="inlineStr">
        <is>
          <t>2,00-2,49</t>
        </is>
      </c>
      <c r="U49" s="34" t="inlineStr">
        <is>
          <t>500+</t>
        </is>
      </c>
      <c r="V49" s="34" t="str"/>
      <c r="W49" s="34" t="inlineStr">
        <is>
          <t>Англия. Премьер-лига</t>
        </is>
      </c>
    </row>
    <row r="50">
      <c r="A50" s="14" t="inlineStr">
        <is>
          <t>11.10.2026</t>
        </is>
      </c>
      <c r="B50" s="14" t="n">
        <v>420</v>
      </c>
      <c r="C50" s="14" t="inlineStr">
        <is>
          <t>17:01</t>
        </is>
      </c>
      <c r="D50" s="14" t="inlineStr">
        <is>
          <t>Ординар</t>
        </is>
      </c>
      <c r="E50" s="14" t="n">
        <v>1</v>
      </c>
      <c r="F50" s="113" t="n">
        <v>100</v>
      </c>
      <c r="G50" s="115" t="n">
        <v>1.82</v>
      </c>
      <c r="H50" s="113">
        <f>ROUND(F50*G50,0)</f>
        <v/>
      </c>
      <c r="I50" s="113" t="inlineStr">
        <is>
          <t>Открыт</t>
        </is>
      </c>
      <c r="J50" s="113" t="n"/>
      <c r="K50" s="113">
        <f>IF(OR(I50="",I50="Открыт"),"",J50-F50)</f>
        <v/>
      </c>
      <c r="L50" s="114">
        <f>IF(K50="","",K50/F50)</f>
        <v/>
      </c>
      <c r="M50" s="14" t="inlineStr">
        <is>
          <t>Olimpbet</t>
        </is>
      </c>
      <c r="N50" s="14" t="inlineStr">
        <is>
          <t>ед.</t>
        </is>
      </c>
      <c r="O50" s="117">
        <f>F50*G50</f>
        <v/>
      </c>
      <c r="P50" s="34" t="inlineStr">
        <is>
          <t>Прематч</t>
        </is>
      </c>
      <c r="Q50" s="34" t="inlineStr">
        <is>
          <t>Хоккей</t>
        </is>
      </c>
      <c r="R50" s="34" t="inlineStr">
        <is>
          <t>Тотал меньше</t>
        </is>
      </c>
      <c r="S50" s="34" t="inlineStr">
        <is>
          <t>Матч целиком</t>
        </is>
      </c>
      <c r="T50" s="34" t="inlineStr">
        <is>
          <t>1,70-1,99</t>
        </is>
      </c>
      <c r="U50" s="34" t="inlineStr">
        <is>
          <t>до 100</t>
        </is>
      </c>
      <c r="V50" s="34" t="str"/>
      <c r="W50" s="34" t="inlineStr">
        <is>
          <t>НХЛ. Регулярный сезон</t>
        </is>
      </c>
    </row>
    <row r="51">
      <c r="A51" s="14" t="inlineStr">
        <is>
          <t>11.10.2026</t>
        </is>
      </c>
      <c r="B51" s="14" t="n">
        <v>421</v>
      </c>
      <c r="C51" s="14" t="inlineStr">
        <is>
          <t>18:29</t>
        </is>
      </c>
      <c r="D51" s="14" t="inlineStr">
        <is>
          <t>Ординар</t>
        </is>
      </c>
      <c r="E51" s="14" t="n">
        <v>1</v>
      </c>
      <c r="F51" s="113" t="n">
        <v>200</v>
      </c>
      <c r="G51" s="115" t="n">
        <v>1.58</v>
      </c>
      <c r="H51" s="113">
        <f>ROUND(F51*G51,0)</f>
        <v/>
      </c>
      <c r="I51" s="113" t="inlineStr">
        <is>
          <t>Проигрыш</t>
        </is>
      </c>
      <c r="J51" s="113" t="n">
        <v>0</v>
      </c>
      <c r="K51" s="113">
        <f>IF(OR(I51="",I51="Открыт"),"",J51-F51)</f>
        <v/>
      </c>
      <c r="L51" s="114">
        <f>IF(K51="","",K51/F51)</f>
        <v/>
      </c>
      <c r="M51" s="14" t="inlineStr">
        <is>
          <t>Olimpbet</t>
        </is>
      </c>
      <c r="N51" s="14" t="inlineStr">
        <is>
          <t>ед.</t>
        </is>
      </c>
      <c r="O51" s="117">
        <f>F51*G51</f>
        <v/>
      </c>
      <c r="P51" s="34" t="inlineStr">
        <is>
          <t>Прематч</t>
        </is>
      </c>
      <c r="Q51" s="34" t="inlineStr">
        <is>
          <t>Футбол</t>
        </is>
      </c>
      <c r="R51" s="34" t="inlineStr">
        <is>
          <t>Тотал больше</t>
        </is>
      </c>
      <c r="S51" s="34" t="inlineStr">
        <is>
          <t>1-й тайм</t>
        </is>
      </c>
      <c r="T51" s="34" t="inlineStr">
        <is>
          <t>1,50-1,69</t>
        </is>
      </c>
      <c r="U51" s="34" t="inlineStr">
        <is>
          <t>200</t>
        </is>
      </c>
      <c r="V51" s="34" t="str"/>
      <c r="W51" s="34" t="inlineStr">
        <is>
          <t>Англия. Премьер-лига</t>
        </is>
      </c>
    </row>
    <row r="52">
      <c r="A52" s="14" t="inlineStr">
        <is>
          <t>11.10.2026</t>
        </is>
      </c>
      <c r="B52" s="14" t="n">
        <v>422</v>
      </c>
      <c r="C52" s="14" t="inlineStr">
        <is>
          <t>18:33</t>
        </is>
      </c>
      <c r="D52" s="14" t="inlineStr">
        <is>
          <t>Ординар</t>
        </is>
      </c>
      <c r="E52" s="14" t="n">
        <v>1</v>
      </c>
      <c r="F52" s="113" t="n">
        <v>200</v>
      </c>
      <c r="G52" s="115" t="n">
        <v>1.68</v>
      </c>
      <c r="H52" s="113">
        <f>ROUND(F52*G52,0)</f>
        <v/>
      </c>
      <c r="I52" s="113" t="inlineStr">
        <is>
          <t>Открыт</t>
        </is>
      </c>
      <c r="J52" s="113" t="n"/>
      <c r="K52" s="113">
        <f>IF(OR(I52="",I52="Открыт"),"",J52-F52)</f>
        <v/>
      </c>
      <c r="L52" s="114">
        <f>IF(K52="","",K52/F52)</f>
        <v/>
      </c>
      <c r="M52" s="14" t="inlineStr">
        <is>
          <t>Olimpbet</t>
        </is>
      </c>
      <c r="N52" s="14" t="inlineStr">
        <is>
          <t>ед.</t>
        </is>
      </c>
      <c r="O52" s="117">
        <f>F52*G52</f>
        <v/>
      </c>
      <c r="P52" s="34" t="inlineStr">
        <is>
          <t>Прематч</t>
        </is>
      </c>
      <c r="Q52" s="34" t="inlineStr">
        <is>
          <t>Теннис</t>
        </is>
      </c>
      <c r="R52" s="34" t="inlineStr">
        <is>
          <t>Фора</t>
        </is>
      </c>
      <c r="S52" s="34" t="inlineStr">
        <is>
          <t>Матч целиком</t>
        </is>
      </c>
      <c r="T52" s="34" t="inlineStr">
        <is>
          <t>1,50-1,69</t>
        </is>
      </c>
      <c r="U52" s="34" t="inlineStr">
        <is>
          <t>200</t>
        </is>
      </c>
      <c r="V52" s="34" t="str"/>
      <c r="W52" s="34" t="inlineStr">
        <is>
          <t>ATP Challenger. Ольбия. Италия. Хард</t>
        </is>
      </c>
    </row>
    <row r="53">
      <c r="A53" s="14" t="inlineStr">
        <is>
          <t>11.10.2026</t>
        </is>
      </c>
      <c r="B53" s="14" t="n">
        <v>423</v>
      </c>
      <c r="C53" s="14" t="inlineStr">
        <is>
          <t>18:41</t>
        </is>
      </c>
      <c r="D53" s="14" t="inlineStr">
        <is>
          <t>Ординар</t>
        </is>
      </c>
      <c r="E53" s="14" t="n">
        <v>1</v>
      </c>
      <c r="F53" s="113" t="n">
        <v>200</v>
      </c>
      <c r="G53" s="115" t="n">
        <v>1.6</v>
      </c>
      <c r="H53" s="113">
        <f>ROUND(F53*G53,0)</f>
        <v/>
      </c>
      <c r="I53" s="113" t="inlineStr">
        <is>
          <t>Выигрыш</t>
        </is>
      </c>
      <c r="J53" s="113" t="n">
        <v>320</v>
      </c>
      <c r="K53" s="113">
        <f>IF(OR(I53="",I53="Открыт"),"",J53-F53)</f>
        <v/>
      </c>
      <c r="L53" s="114">
        <f>IF(K53="","",K53/F53)</f>
        <v/>
      </c>
      <c r="M53" s="14" t="inlineStr">
        <is>
          <t>Olimpbet</t>
        </is>
      </c>
      <c r="N53" s="14" t="inlineStr">
        <is>
          <t>ед.</t>
        </is>
      </c>
      <c r="O53" s="117">
        <f>F53*G53</f>
        <v/>
      </c>
      <c r="P53" s="34" t="inlineStr">
        <is>
          <t>Прематч</t>
        </is>
      </c>
      <c r="Q53" s="34" t="inlineStr">
        <is>
          <t>Теннис</t>
        </is>
      </c>
      <c r="R53" s="34" t="inlineStr">
        <is>
          <t>Победа</t>
        </is>
      </c>
      <c r="S53" s="34" t="inlineStr">
        <is>
          <t>Матч целиком</t>
        </is>
      </c>
      <c r="T53" s="34" t="inlineStr">
        <is>
          <t>1,50-1,69</t>
        </is>
      </c>
      <c r="U53" s="34" t="inlineStr">
        <is>
          <t>200</t>
        </is>
      </c>
      <c r="V53" s="34" t="str"/>
      <c r="W53" s="34" t="inlineStr">
        <is>
          <t>ATP Challenger. Роан. Франция. Хард. Квалификация</t>
        </is>
      </c>
    </row>
    <row r="54">
      <c r="A54" s="14" t="inlineStr">
        <is>
          <t>11.10.2026</t>
        </is>
      </c>
      <c r="B54" s="14" t="n">
        <v>424</v>
      </c>
      <c r="C54" s="14" t="inlineStr">
        <is>
          <t>18:53</t>
        </is>
      </c>
      <c r="D54" s="14" t="inlineStr">
        <is>
          <t>Ординар</t>
        </is>
      </c>
      <c r="E54" s="14" t="n">
        <v>1</v>
      </c>
      <c r="F54" s="113" t="n">
        <v>200</v>
      </c>
      <c r="G54" s="115" t="n">
        <v>1.96</v>
      </c>
      <c r="H54" s="113">
        <f>ROUND(F54*G54,0)</f>
        <v/>
      </c>
      <c r="I54" s="113" t="inlineStr">
        <is>
          <t>Выигрыш</t>
        </is>
      </c>
      <c r="J54" s="113" t="n">
        <v>392</v>
      </c>
      <c r="K54" s="113">
        <f>IF(OR(I54="",I54="Открыт"),"",J54-F54)</f>
        <v/>
      </c>
      <c r="L54" s="114">
        <f>IF(K54="","",K54/F54)</f>
        <v/>
      </c>
      <c r="M54" s="14" t="inlineStr">
        <is>
          <t>Olimpbet</t>
        </is>
      </c>
      <c r="N54" s="14" t="inlineStr">
        <is>
          <t>ед.</t>
        </is>
      </c>
      <c r="O54" s="117">
        <f>F54*G54</f>
        <v/>
      </c>
      <c r="P54" s="34" t="inlineStr">
        <is>
          <t>Прематч</t>
        </is>
      </c>
      <c r="Q54" s="34" t="inlineStr">
        <is>
          <t>Футбол</t>
        </is>
      </c>
      <c r="R54" s="34" t="inlineStr">
        <is>
          <t>Тотал больше</t>
        </is>
      </c>
      <c r="S54" s="34" t="inlineStr">
        <is>
          <t>1-й тайм</t>
        </is>
      </c>
      <c r="T54" s="34" t="inlineStr">
        <is>
          <t>1,70-1,99</t>
        </is>
      </c>
      <c r="U54" s="34" t="inlineStr">
        <is>
          <t>200</t>
        </is>
      </c>
      <c r="V54" s="34" t="str"/>
      <c r="W54" s="34" t="inlineStr">
        <is>
          <t>Турция. Суперлига</t>
        </is>
      </c>
    </row>
    <row r="55">
      <c r="A55" s="14" t="inlineStr">
        <is>
          <t>11.10.2026</t>
        </is>
      </c>
      <c r="B55" s="14" t="n">
        <v>425</v>
      </c>
      <c r="C55" s="14" t="inlineStr">
        <is>
          <t>18:57</t>
        </is>
      </c>
      <c r="D55" s="14" t="inlineStr">
        <is>
          <t>Ординар</t>
        </is>
      </c>
      <c r="E55" s="14" t="n">
        <v>1</v>
      </c>
      <c r="F55" s="113" t="n">
        <v>200</v>
      </c>
      <c r="G55" s="115" t="n">
        <v>2.02</v>
      </c>
      <c r="H55" s="113">
        <f>ROUND(F55*G55,0)</f>
        <v/>
      </c>
      <c r="I55" s="113" t="inlineStr">
        <is>
          <t>Проигрыш</t>
        </is>
      </c>
      <c r="J55" s="113" t="n">
        <v>0</v>
      </c>
      <c r="K55" s="113">
        <f>IF(OR(I55="",I55="Открыт"),"",J55-F55)</f>
        <v/>
      </c>
      <c r="L55" s="114">
        <f>IF(K55="","",K55/F55)</f>
        <v/>
      </c>
      <c r="M55" s="14" t="inlineStr">
        <is>
          <t>Olimpbet</t>
        </is>
      </c>
      <c r="N55" s="14" t="inlineStr">
        <is>
          <t>ед.</t>
        </is>
      </c>
      <c r="O55" s="117">
        <f>F55*G55</f>
        <v/>
      </c>
      <c r="P55" s="34" t="inlineStr">
        <is>
          <t>Live</t>
        </is>
      </c>
      <c r="Q55" s="34" t="inlineStr">
        <is>
          <t>Футбол</t>
        </is>
      </c>
      <c r="R55" s="34" t="inlineStr">
        <is>
          <t>Тотал больше</t>
        </is>
      </c>
      <c r="S55" s="34" t="inlineStr">
        <is>
          <t>1-й тайм</t>
        </is>
      </c>
      <c r="T55" s="34" t="inlineStr">
        <is>
          <t>2,00-2,49</t>
        </is>
      </c>
      <c r="U55" s="34" t="inlineStr">
        <is>
          <t>200</t>
        </is>
      </c>
      <c r="V55" s="34" t="str"/>
      <c r="W55" s="34" t="inlineStr">
        <is>
          <t>Англия. Премьер-лига</t>
        </is>
      </c>
    </row>
    <row r="56">
      <c r="A56" s="14" t="inlineStr">
        <is>
          <t>11.10.2026</t>
        </is>
      </c>
      <c r="B56" s="14" t="n">
        <v>426</v>
      </c>
      <c r="C56" s="14" t="inlineStr">
        <is>
          <t>19:25</t>
        </is>
      </c>
      <c r="D56" s="14" t="inlineStr">
        <is>
          <t>Ординар</t>
        </is>
      </c>
      <c r="E56" s="14" t="n">
        <v>1</v>
      </c>
      <c r="F56" s="113" t="n">
        <v>100</v>
      </c>
      <c r="G56" s="115" t="n">
        <v>3.77</v>
      </c>
      <c r="H56" s="113">
        <f>ROUND(F56*G56,0)</f>
        <v/>
      </c>
      <c r="I56" s="113" t="inlineStr">
        <is>
          <t>Проигрыш</t>
        </is>
      </c>
      <c r="J56" s="113" t="n">
        <v>0</v>
      </c>
      <c r="K56" s="113">
        <f>IF(OR(I56="",I56="Открыт"),"",J56-F56)</f>
        <v/>
      </c>
      <c r="L56" s="114">
        <f>IF(K56="","",K56/F56)</f>
        <v/>
      </c>
      <c r="M56" s="14" t="inlineStr">
        <is>
          <t>Olimpbet</t>
        </is>
      </c>
      <c r="N56" s="14" t="inlineStr">
        <is>
          <t>ед.</t>
        </is>
      </c>
      <c r="O56" s="117">
        <f>F56*G56</f>
        <v/>
      </c>
      <c r="P56" s="34" t="inlineStr">
        <is>
          <t>Live</t>
        </is>
      </c>
      <c r="Q56" s="34" t="inlineStr">
        <is>
          <t>Футбол</t>
        </is>
      </c>
      <c r="R56" s="34" t="inlineStr">
        <is>
          <t>Тотал больше</t>
        </is>
      </c>
      <c r="S56" s="34" t="inlineStr">
        <is>
          <t>Матч целиком</t>
        </is>
      </c>
      <c r="T56" s="34" t="inlineStr">
        <is>
          <t>2,50+</t>
        </is>
      </c>
      <c r="U56" s="34" t="inlineStr">
        <is>
          <t>до 100</t>
        </is>
      </c>
      <c r="V56" s="34" t="str"/>
      <c r="W56" s="34" t="inlineStr">
        <is>
          <t>Португалия. Примейра-лига</t>
        </is>
      </c>
    </row>
    <row r="57">
      <c r="A57" s="14" t="inlineStr">
        <is>
          <t>11.10.2026</t>
        </is>
      </c>
      <c r="B57" s="14" t="n">
        <v>427</v>
      </c>
      <c r="C57" s="14" t="inlineStr">
        <is>
          <t>19:44</t>
        </is>
      </c>
      <c r="D57" s="14" t="inlineStr">
        <is>
          <t>Ординар</t>
        </is>
      </c>
      <c r="E57" s="14" t="n">
        <v>1</v>
      </c>
      <c r="F57" s="113" t="n">
        <v>200</v>
      </c>
      <c r="G57" s="115" t="n">
        <v>1.49</v>
      </c>
      <c r="H57" s="113">
        <f>ROUND(F57*G57,0)</f>
        <v/>
      </c>
      <c r="I57" s="113" t="inlineStr">
        <is>
          <t>Выигрыш</t>
        </is>
      </c>
      <c r="J57" s="113" t="n">
        <v>298</v>
      </c>
      <c r="K57" s="113">
        <f>IF(OR(I57="",I57="Открыт"),"",J57-F57)</f>
        <v/>
      </c>
      <c r="L57" s="114">
        <f>IF(K57="","",K57/F57)</f>
        <v/>
      </c>
      <c r="M57" s="14" t="inlineStr">
        <is>
          <t>Olimpbet</t>
        </is>
      </c>
      <c r="N57" s="14" t="inlineStr">
        <is>
          <t>ед.</t>
        </is>
      </c>
      <c r="O57" s="117">
        <f>F57*G57</f>
        <v/>
      </c>
      <c r="P57" s="34" t="inlineStr">
        <is>
          <t>Live</t>
        </is>
      </c>
      <c r="Q57" s="34" t="inlineStr">
        <is>
          <t>Футбол</t>
        </is>
      </c>
      <c r="R57" s="34" t="inlineStr">
        <is>
          <t>Статистика матча</t>
        </is>
      </c>
      <c r="S57" s="34" t="inlineStr">
        <is>
          <t>Матч целиком</t>
        </is>
      </c>
      <c r="T57" s="34" t="inlineStr">
        <is>
          <t>до 1,50</t>
        </is>
      </c>
      <c r="U57" s="34" t="inlineStr">
        <is>
          <t>200</t>
        </is>
      </c>
      <c r="V57" s="34" t="str"/>
      <c r="W57" s="34" t="inlineStr">
        <is>
          <t>Испания. Ла Лига. Статистика</t>
        </is>
      </c>
    </row>
    <row r="58">
      <c r="A58" s="14" t="inlineStr">
        <is>
          <t>11.10.2026</t>
        </is>
      </c>
      <c r="B58" s="14" t="n">
        <v>428</v>
      </c>
      <c r="C58" s="14" t="inlineStr">
        <is>
          <t>19:44</t>
        </is>
      </c>
      <c r="D58" s="14" t="inlineStr">
        <is>
          <t>Ординар</t>
        </is>
      </c>
      <c r="E58" s="14" t="n">
        <v>1</v>
      </c>
      <c r="F58" s="113" t="n">
        <v>100</v>
      </c>
      <c r="G58" s="115" t="n">
        <v>1.59</v>
      </c>
      <c r="H58" s="113">
        <f>ROUND(F58*G58,0)</f>
        <v/>
      </c>
      <c r="I58" s="113" t="inlineStr">
        <is>
          <t>Проигрыш</t>
        </is>
      </c>
      <c r="J58" s="113" t="n">
        <v>0</v>
      </c>
      <c r="K58" s="113">
        <f>IF(OR(I58="",I58="Открыт"),"",J58-F58)</f>
        <v/>
      </c>
      <c r="L58" s="114">
        <f>IF(K58="","",K58/F58)</f>
        <v/>
      </c>
      <c r="M58" s="14" t="inlineStr">
        <is>
          <t>Olimpbet</t>
        </is>
      </c>
      <c r="N58" s="14" t="inlineStr">
        <is>
          <t>ед.</t>
        </is>
      </c>
      <c r="O58" s="117">
        <f>F58*G58</f>
        <v/>
      </c>
      <c r="P58" s="34" t="inlineStr">
        <is>
          <t>Live</t>
        </is>
      </c>
      <c r="Q58" s="34" t="inlineStr">
        <is>
          <t>Футбол</t>
        </is>
      </c>
      <c r="R58" s="34" t="inlineStr">
        <is>
          <t>Статистика матча</t>
        </is>
      </c>
      <c r="S58" s="34" t="inlineStr">
        <is>
          <t>1-й тайм</t>
        </is>
      </c>
      <c r="T58" s="34" t="inlineStr">
        <is>
          <t>1,50-1,69</t>
        </is>
      </c>
      <c r="U58" s="34" t="inlineStr">
        <is>
          <t>до 100</t>
        </is>
      </c>
      <c r="V58" s="34" t="inlineStr">
        <is>
          <t>ошибочный матч</t>
        </is>
      </c>
      <c r="W58" s="34" t="inlineStr">
        <is>
          <t>Испания. Ла Лига. Статистика</t>
        </is>
      </c>
    </row>
    <row r="59">
      <c r="A59" s="14" t="inlineStr">
        <is>
          <t>11.10.2026</t>
        </is>
      </c>
      <c r="B59" s="14" t="n">
        <v>429</v>
      </c>
      <c r="C59" s="14" t="inlineStr">
        <is>
          <t>19:45</t>
        </is>
      </c>
      <c r="D59" s="14" t="inlineStr">
        <is>
          <t>Ординар</t>
        </is>
      </c>
      <c r="E59" s="14" t="n">
        <v>1</v>
      </c>
      <c r="F59" s="113" t="n">
        <v>100</v>
      </c>
      <c r="G59" s="115" t="n">
        <v>1.57</v>
      </c>
      <c r="H59" s="113">
        <f>ROUND(F59*G59,0)</f>
        <v/>
      </c>
      <c r="I59" s="113" t="inlineStr">
        <is>
          <t>Проигрыш</t>
        </is>
      </c>
      <c r="J59" s="113" t="n">
        <v>0</v>
      </c>
      <c r="K59" s="113">
        <f>IF(OR(I59="",I59="Открыт"),"",J59-F59)</f>
        <v/>
      </c>
      <c r="L59" s="114">
        <f>IF(K59="","",K59/F59)</f>
        <v/>
      </c>
      <c r="M59" s="14" t="inlineStr">
        <is>
          <t>Olimpbet</t>
        </is>
      </c>
      <c r="N59" s="14" t="inlineStr">
        <is>
          <t>ед.</t>
        </is>
      </c>
      <c r="O59" s="117">
        <f>F59*G59</f>
        <v/>
      </c>
      <c r="P59" s="34" t="inlineStr">
        <is>
          <t>Live</t>
        </is>
      </c>
      <c r="Q59" s="34" t="inlineStr">
        <is>
          <t>Футбол</t>
        </is>
      </c>
      <c r="R59" s="34" t="inlineStr">
        <is>
          <t>Статистика матча</t>
        </is>
      </c>
      <c r="S59" s="34" t="inlineStr">
        <is>
          <t>1-й тайм</t>
        </is>
      </c>
      <c r="T59" s="34" t="inlineStr">
        <is>
          <t>1,50-1,69</t>
        </is>
      </c>
      <c r="U59" s="34" t="inlineStr">
        <is>
          <t>до 100</t>
        </is>
      </c>
      <c r="V59" s="34" t="inlineStr">
        <is>
          <t>ошибочный матч</t>
        </is>
      </c>
      <c r="W59" s="34" t="inlineStr">
        <is>
          <t>Испания. Ла Лига. Статистика</t>
        </is>
      </c>
    </row>
    <row r="60">
      <c r="A60" s="14" t="inlineStr">
        <is>
          <t>11.10.2026</t>
        </is>
      </c>
      <c r="B60" s="14" t="n">
        <v>430</v>
      </c>
      <c r="C60" s="14" t="inlineStr">
        <is>
          <t>19:46</t>
        </is>
      </c>
      <c r="D60" s="14" t="inlineStr">
        <is>
          <t>Ординар</t>
        </is>
      </c>
      <c r="E60" s="14" t="n">
        <v>1</v>
      </c>
      <c r="F60" s="113" t="n">
        <v>200</v>
      </c>
      <c r="G60" s="115" t="n">
        <v>1.62</v>
      </c>
      <c r="H60" s="113">
        <f>ROUND(F60*G60,0)</f>
        <v/>
      </c>
      <c r="I60" s="113" t="inlineStr">
        <is>
          <t>Выигрыш</t>
        </is>
      </c>
      <c r="J60" s="113" t="n">
        <v>324</v>
      </c>
      <c r="K60" s="113">
        <f>IF(OR(I60="",I60="Открыт"),"",J60-F60)</f>
        <v/>
      </c>
      <c r="L60" s="114">
        <f>IF(K60="","",K60/F60)</f>
        <v/>
      </c>
      <c r="M60" s="14" t="inlineStr">
        <is>
          <t>Olimpbet</t>
        </is>
      </c>
      <c r="N60" s="14" t="inlineStr">
        <is>
          <t>ед.</t>
        </is>
      </c>
      <c r="O60" s="117">
        <f>F60*G60</f>
        <v/>
      </c>
      <c r="P60" s="34" t="inlineStr">
        <is>
          <t>Live</t>
        </is>
      </c>
      <c r="Q60" s="34" t="inlineStr">
        <is>
          <t>Футбол</t>
        </is>
      </c>
      <c r="R60" s="34" t="inlineStr">
        <is>
          <t>Тотал больше</t>
        </is>
      </c>
      <c r="S60" s="34" t="inlineStr">
        <is>
          <t>Матч целиком</t>
        </is>
      </c>
      <c r="T60" s="34" t="inlineStr">
        <is>
          <t>1,50-1,69</t>
        </is>
      </c>
      <c r="U60" s="34" t="inlineStr">
        <is>
          <t>200</t>
        </is>
      </c>
      <c r="V60" s="34" t="str"/>
      <c r="W60" s="34" t="inlineStr">
        <is>
          <t>Англия. Премьер-лига</t>
        </is>
      </c>
    </row>
    <row r="61">
      <c r="A61" s="14" t="inlineStr">
        <is>
          <t>11.10.2026</t>
        </is>
      </c>
      <c r="B61" s="14" t="n">
        <v>431</v>
      </c>
      <c r="C61" s="14" t="inlineStr">
        <is>
          <t>19:52</t>
        </is>
      </c>
      <c r="D61" s="14" t="inlineStr">
        <is>
          <t>Ординар</t>
        </is>
      </c>
      <c r="E61" s="14" t="n">
        <v>1</v>
      </c>
      <c r="F61" s="113" t="n">
        <v>200</v>
      </c>
      <c r="G61" s="115" t="n">
        <v>2.53</v>
      </c>
      <c r="H61" s="113">
        <f>ROUND(F61*G61,0)</f>
        <v/>
      </c>
      <c r="I61" s="113" t="inlineStr">
        <is>
          <t>Проигрыш</t>
        </is>
      </c>
      <c r="J61" s="113" t="n">
        <v>0</v>
      </c>
      <c r="K61" s="113">
        <f>IF(OR(I61="",I61="Открыт"),"",J61-F61)</f>
        <v/>
      </c>
      <c r="L61" s="114">
        <f>IF(K61="","",K61/F61)</f>
        <v/>
      </c>
      <c r="M61" s="14" t="inlineStr">
        <is>
          <t>Olimpbet</t>
        </is>
      </c>
      <c r="N61" s="14" t="inlineStr">
        <is>
          <t>ед.</t>
        </is>
      </c>
      <c r="O61" s="117">
        <f>F61*G61</f>
        <v/>
      </c>
      <c r="P61" s="34" t="inlineStr">
        <is>
          <t>Live</t>
        </is>
      </c>
      <c r="Q61" s="34" t="inlineStr">
        <is>
          <t>Футбол</t>
        </is>
      </c>
      <c r="R61" s="34" t="inlineStr">
        <is>
          <t>Тотал больше</t>
        </is>
      </c>
      <c r="S61" s="34" t="inlineStr">
        <is>
          <t>Матч целиком</t>
        </is>
      </c>
      <c r="T61" s="34" t="inlineStr">
        <is>
          <t>2,50+</t>
        </is>
      </c>
      <c r="U61" s="34" t="inlineStr">
        <is>
          <t>200</t>
        </is>
      </c>
      <c r="V61" s="34" t="str"/>
      <c r="W61" s="34" t="inlineStr">
        <is>
          <t>Испания. Сегунда дивизион RFEF. Группа 2</t>
        </is>
      </c>
    </row>
    <row r="62">
      <c r="A62" s="14" t="inlineStr">
        <is>
          <t>11.10.2026</t>
        </is>
      </c>
      <c r="B62" s="14" t="n">
        <v>432</v>
      </c>
      <c r="C62" s="14" t="inlineStr">
        <is>
          <t>20:09</t>
        </is>
      </c>
      <c r="D62" s="14" t="inlineStr">
        <is>
          <t>Ординар</t>
        </is>
      </c>
      <c r="E62" s="14" t="n">
        <v>1</v>
      </c>
      <c r="F62" s="113" t="n">
        <v>200</v>
      </c>
      <c r="G62" s="115" t="n">
        <v>2.29</v>
      </c>
      <c r="H62" s="113">
        <f>ROUND(F62*G62,0)</f>
        <v/>
      </c>
      <c r="I62" s="113" t="inlineStr">
        <is>
          <t>Открыт</t>
        </is>
      </c>
      <c r="J62" s="113" t="n"/>
      <c r="K62" s="113">
        <f>IF(OR(I62="",I62="Открыт"),"",J62-F62)</f>
        <v/>
      </c>
      <c r="L62" s="114">
        <f>IF(K62="","",K62/F62)</f>
        <v/>
      </c>
      <c r="M62" s="14" t="inlineStr">
        <is>
          <t>Olimpbet</t>
        </is>
      </c>
      <c r="N62" s="14" t="inlineStr">
        <is>
          <t>ед.</t>
        </is>
      </c>
      <c r="O62" s="117">
        <f>F62*G62</f>
        <v/>
      </c>
      <c r="P62" s="34" t="inlineStr">
        <is>
          <t>Прематч</t>
        </is>
      </c>
      <c r="Q62" s="34" t="inlineStr">
        <is>
          <t>Хоккей</t>
        </is>
      </c>
      <c r="R62" s="34" t="inlineStr">
        <is>
          <t>Прочее</t>
        </is>
      </c>
      <c r="S62" s="34" t="inlineStr">
        <is>
          <t>Матч целиком</t>
        </is>
      </c>
      <c r="T62" s="34" t="inlineStr">
        <is>
          <t>2,00-2,49</t>
        </is>
      </c>
      <c r="U62" s="34" t="inlineStr">
        <is>
          <t>200</t>
        </is>
      </c>
      <c r="V62" s="34" t="str"/>
      <c r="W62" s="34" t="inlineStr">
        <is>
          <t>AHL. Регулярный сезон</t>
        </is>
      </c>
    </row>
    <row r="63">
      <c r="A63" s="19" t="inlineStr">
        <is>
          <t>11.10.2026</t>
        </is>
      </c>
      <c r="B63" s="19" t="n">
        <v>433</v>
      </c>
      <c r="C63" s="19" t="inlineStr">
        <is>
          <t>21:02</t>
        </is>
      </c>
      <c r="D63" s="19" t="inlineStr">
        <is>
          <t>Ординар</t>
        </is>
      </c>
      <c r="E63" s="19" t="n">
        <v>1</v>
      </c>
      <c r="F63" s="118" t="n">
        <v>200</v>
      </c>
      <c r="G63" s="119" t="n">
        <v>1.81</v>
      </c>
      <c r="H63" s="118">
        <f>ROUND(F63*G63,0)</f>
        <v/>
      </c>
      <c r="I63" s="118" t="inlineStr">
        <is>
          <t>Проигрыш</t>
        </is>
      </c>
      <c r="J63" s="118" t="n">
        <v>0</v>
      </c>
      <c r="K63" s="118" t="n">
        <v>-200</v>
      </c>
      <c r="L63" s="120" t="n">
        <v>-1</v>
      </c>
      <c r="M63" s="19" t="inlineStr">
        <is>
          <t>Olimpbet</t>
        </is>
      </c>
      <c r="N63" s="19" t="inlineStr">
        <is>
          <t>ед.</t>
        </is>
      </c>
      <c r="O63" s="121">
        <f>F63*G63</f>
        <v/>
      </c>
      <c r="P63" s="34" t="inlineStr">
        <is>
          <t>Live</t>
        </is>
      </c>
      <c r="Q63" s="34" t="inlineStr">
        <is>
          <t>Футбол</t>
        </is>
      </c>
      <c r="R63" s="34" t="inlineStr">
        <is>
          <t>Тотал больше</t>
        </is>
      </c>
      <c r="S63" s="34" t="inlineStr">
        <is>
          <t>Матч целиком</t>
        </is>
      </c>
      <c r="T63" s="34" t="inlineStr">
        <is>
          <t>1,70-1,99</t>
        </is>
      </c>
      <c r="U63" s="34" t="inlineStr">
        <is>
          <t>200</t>
        </is>
      </c>
      <c r="V63" s="34" t="str"/>
      <c r="W63" s="34" t="inlineStr">
        <is>
          <t>Эквадор. Серия A</t>
        </is>
      </c>
    </row>
    <row r="64">
      <c r="A64" s="14" t="inlineStr">
        <is>
          <t>11.10.2026</t>
        </is>
      </c>
      <c r="B64" s="14" t="n">
        <v>434</v>
      </c>
      <c r="C64" s="14" t="inlineStr">
        <is>
          <t>21:25</t>
        </is>
      </c>
      <c r="D64" s="14" t="inlineStr">
        <is>
          <t>Ординар</t>
        </is>
      </c>
      <c r="E64" s="14" t="n">
        <v>1</v>
      </c>
      <c r="F64" s="113" t="n">
        <v>200</v>
      </c>
      <c r="G64" s="115" t="n">
        <v>2.11</v>
      </c>
      <c r="H64" s="113" t="n">
        <v>422</v>
      </c>
      <c r="I64" s="122" t="inlineStr">
        <is>
          <t>Выигрыш</t>
        </is>
      </c>
      <c r="J64" s="113" t="n">
        <v>422</v>
      </c>
      <c r="K64" s="123" t="n">
        <v>222</v>
      </c>
      <c r="L64" s="114" t="n">
        <v>1.11</v>
      </c>
      <c r="M64" s="14" t="inlineStr">
        <is>
          <t>Olimpbet</t>
        </is>
      </c>
      <c r="N64" s="14" t="inlineStr">
        <is>
          <t>ед.</t>
        </is>
      </c>
      <c r="O64" s="117" t="n">
        <v>422</v>
      </c>
      <c r="P64" s="34" t="inlineStr">
        <is>
          <t>Live</t>
        </is>
      </c>
      <c r="Q64" s="34" t="inlineStr">
        <is>
          <t>Футбол</t>
        </is>
      </c>
      <c r="R64" s="34" t="inlineStr">
        <is>
          <t>Тотал больше</t>
        </is>
      </c>
      <c r="S64" s="34" t="inlineStr">
        <is>
          <t>1-й тайм</t>
        </is>
      </c>
      <c r="T64" s="34" t="inlineStr">
        <is>
          <t>2,00-2,49</t>
        </is>
      </c>
      <c r="U64" s="34" t="inlineStr">
        <is>
          <t>200</t>
        </is>
      </c>
      <c r="V64" s="34" t="str"/>
      <c r="W64" s="34" t="inlineStr">
        <is>
          <t>Греция. Суперлига</t>
        </is>
      </c>
    </row>
    <row r="65">
      <c r="A65" s="14" t="inlineStr">
        <is>
          <t>11.10.2026</t>
        </is>
      </c>
      <c r="B65" s="14" t="n">
        <v>435</v>
      </c>
      <c r="C65" s="14" t="inlineStr">
        <is>
          <t>21:26</t>
        </is>
      </c>
      <c r="D65" s="14" t="inlineStr">
        <is>
          <t>Ординар</t>
        </is>
      </c>
      <c r="E65" s="14" t="n">
        <v>1</v>
      </c>
      <c r="F65" s="113" t="n">
        <v>200</v>
      </c>
      <c r="G65" s="115" t="n">
        <v>1.79</v>
      </c>
      <c r="H65" s="113" t="n">
        <v>358</v>
      </c>
      <c r="I65" s="122" t="inlineStr">
        <is>
          <t>Выигрыш</t>
        </is>
      </c>
      <c r="J65" s="113" t="n">
        <v>358</v>
      </c>
      <c r="K65" s="123" t="n">
        <v>158</v>
      </c>
      <c r="L65" s="114" t="n">
        <v>0.79</v>
      </c>
      <c r="M65" s="14" t="inlineStr">
        <is>
          <t>Olimpbet</t>
        </is>
      </c>
      <c r="N65" s="14" t="inlineStr">
        <is>
          <t>ед.</t>
        </is>
      </c>
      <c r="O65" s="117" t="n">
        <v>358</v>
      </c>
      <c r="P65" s="34" t="inlineStr">
        <is>
          <t>Live</t>
        </is>
      </c>
      <c r="Q65" s="34" t="inlineStr">
        <is>
          <t>Футбол</t>
        </is>
      </c>
      <c r="R65" s="34" t="inlineStr">
        <is>
          <t>Следующий гол</t>
        </is>
      </c>
      <c r="S65" s="34" t="inlineStr">
        <is>
          <t>Матч целиком</t>
        </is>
      </c>
      <c r="T65" s="34" t="inlineStr">
        <is>
          <t>1,70-1,99</t>
        </is>
      </c>
      <c r="U65" s="34" t="inlineStr">
        <is>
          <t>200</t>
        </is>
      </c>
      <c r="V65" s="34" t="str"/>
      <c r="W65" s="34" t="inlineStr">
        <is>
          <t>Португалия. Примейра-лига</t>
        </is>
      </c>
    </row>
    <row r="66">
      <c r="A66" s="14" t="inlineStr">
        <is>
          <t>11.10.2026</t>
        </is>
      </c>
      <c r="B66" s="14" t="n">
        <v>436</v>
      </c>
      <c r="C66" s="14" t="inlineStr">
        <is>
          <t>21:33</t>
        </is>
      </c>
      <c r="D66" s="14" t="inlineStr">
        <is>
          <t>Ординар</t>
        </is>
      </c>
      <c r="E66" s="14" t="n">
        <v>1</v>
      </c>
      <c r="F66" s="113" t="n">
        <v>200</v>
      </c>
      <c r="G66" s="115" t="n">
        <v>2.58</v>
      </c>
      <c r="H66" s="113" t="n">
        <v>516</v>
      </c>
      <c r="I66" s="124" t="inlineStr">
        <is>
          <t>Проигрыш</t>
        </is>
      </c>
      <c r="J66" s="113" t="n">
        <v>0</v>
      </c>
      <c r="K66" s="125" t="n">
        <v>-200</v>
      </c>
      <c r="L66" s="114" t="n">
        <v>-1</v>
      </c>
      <c r="M66" s="14" t="inlineStr">
        <is>
          <t>Olimpbet</t>
        </is>
      </c>
      <c r="N66" s="14" t="inlineStr">
        <is>
          <t>ед.</t>
        </is>
      </c>
      <c r="O66" s="117" t="n">
        <v>516</v>
      </c>
      <c r="P66" s="34" t="inlineStr">
        <is>
          <t>Live</t>
        </is>
      </c>
      <c r="Q66" s="34" t="inlineStr">
        <is>
          <t>Хоккей</t>
        </is>
      </c>
      <c r="R66" s="34" t="inlineStr">
        <is>
          <t>Тотал больше</t>
        </is>
      </c>
      <c r="S66" s="34" t="inlineStr">
        <is>
          <t>Матч целиком</t>
        </is>
      </c>
      <c r="T66" s="34" t="inlineStr">
        <is>
          <t>2,50+</t>
        </is>
      </c>
      <c r="U66" s="34" t="inlineStr">
        <is>
          <t>200</t>
        </is>
      </c>
      <c r="V66" s="34" t="str"/>
      <c r="W66" s="34" t="inlineStr">
        <is>
          <t>Германия. DEL</t>
        </is>
      </c>
    </row>
    <row r="67">
      <c r="A67" s="19" t="inlineStr">
        <is>
          <t>11.10.2026</t>
        </is>
      </c>
      <c r="B67" s="19" t="n">
        <v>437</v>
      </c>
      <c r="C67" s="19" t="inlineStr">
        <is>
          <t>21:57</t>
        </is>
      </c>
      <c r="D67" s="19" t="inlineStr">
        <is>
          <t>Ординар</t>
        </is>
      </c>
      <c r="E67" s="19" t="n">
        <v>1</v>
      </c>
      <c r="F67" s="118" t="n">
        <v>200</v>
      </c>
      <c r="G67" s="119" t="n">
        <v>1.58</v>
      </c>
      <c r="H67" s="118" t="n">
        <v>316</v>
      </c>
      <c r="I67" s="118" t="inlineStr">
        <is>
          <t>Возврат</t>
        </is>
      </c>
      <c r="J67" s="118" t="n">
        <v>200</v>
      </c>
      <c r="K67" s="118">
        <f>IF(OR(I67="",I67="Открыт"),"",J67-F67)</f>
        <v/>
      </c>
      <c r="L67" s="120">
        <f>IF(K67="","",K67/F67)</f>
        <v/>
      </c>
      <c r="M67" s="19" t="inlineStr">
        <is>
          <t>Olimpbet</t>
        </is>
      </c>
      <c r="N67" s="19" t="inlineStr">
        <is>
          <t>ед.</t>
        </is>
      </c>
      <c r="O67" s="121" t="n">
        <v>316</v>
      </c>
      <c r="P67" s="34" t="inlineStr">
        <is>
          <t>Live</t>
        </is>
      </c>
      <c r="Q67" s="34" t="inlineStr">
        <is>
          <t>Футбол</t>
        </is>
      </c>
      <c r="R67" s="34" t="inlineStr">
        <is>
          <t>Тотал больше</t>
        </is>
      </c>
      <c r="S67" s="34" t="inlineStr">
        <is>
          <t>2-й тайм</t>
        </is>
      </c>
      <c r="T67" s="34" t="inlineStr">
        <is>
          <t>1,50-1,69</t>
        </is>
      </c>
      <c r="U67" s="34" t="inlineStr">
        <is>
          <t>200</t>
        </is>
      </c>
      <c r="V67" s="34" t="str"/>
      <c r="W67" s="34" t="inlineStr">
        <is>
          <t>Аргентина. Примера Насьональ</t>
        </is>
      </c>
    </row>
    <row r="68">
      <c r="A68" s="14" t="inlineStr">
        <is>
          <t>11.10.2026</t>
        </is>
      </c>
      <c r="B68" s="14" t="n">
        <v>438</v>
      </c>
      <c r="C68" s="14" t="inlineStr">
        <is>
          <t>22:32</t>
        </is>
      </c>
      <c r="D68" s="14" t="inlineStr">
        <is>
          <t>Ординар</t>
        </is>
      </c>
      <c r="E68" s="14" t="n">
        <v>1</v>
      </c>
      <c r="F68" s="113" t="n">
        <v>200</v>
      </c>
      <c r="G68" s="115" t="n">
        <v>1.78</v>
      </c>
      <c r="H68" s="113" t="n">
        <v>356</v>
      </c>
      <c r="I68" s="122" t="inlineStr">
        <is>
          <t>Выигрыш</t>
        </is>
      </c>
      <c r="J68" s="113" t="n">
        <v>356</v>
      </c>
      <c r="K68" s="123" t="n">
        <v>156</v>
      </c>
      <c r="L68" s="114" t="n">
        <v>0.78</v>
      </c>
      <c r="M68" s="14" t="inlineStr">
        <is>
          <t>Olimpbet</t>
        </is>
      </c>
      <c r="N68" s="14" t="inlineStr">
        <is>
          <t>ед.</t>
        </is>
      </c>
      <c r="O68" s="117" t="n">
        <v>356</v>
      </c>
      <c r="P68" s="34" t="inlineStr">
        <is>
          <t>Live</t>
        </is>
      </c>
      <c r="Q68" s="34" t="inlineStr">
        <is>
          <t>Футбол</t>
        </is>
      </c>
      <c r="R68" s="34" t="inlineStr">
        <is>
          <t>Тотал больше</t>
        </is>
      </c>
      <c r="S68" s="34" t="inlineStr">
        <is>
          <t>Матч целиком</t>
        </is>
      </c>
      <c r="T68" s="34" t="inlineStr">
        <is>
          <t>1,70-1,99</t>
        </is>
      </c>
      <c r="U68" s="34" t="inlineStr">
        <is>
          <t>200</t>
        </is>
      </c>
      <c r="V68" s="34" t="str"/>
      <c r="W68" s="34" t="inlineStr">
        <is>
          <t>Аргентина. Примера Насьональ</t>
        </is>
      </c>
    </row>
    <row r="69">
      <c r="A69" s="19" t="inlineStr">
        <is>
          <t>11.10.2026</t>
        </is>
      </c>
      <c r="B69" s="19" t="n">
        <v>439</v>
      </c>
      <c r="C69" s="19" t="inlineStr">
        <is>
          <t>22:34</t>
        </is>
      </c>
      <c r="D69" s="19" t="inlineStr">
        <is>
          <t>Ординар</t>
        </is>
      </c>
      <c r="E69" s="19" t="n">
        <v>1</v>
      </c>
      <c r="F69" s="118" t="n">
        <v>200</v>
      </c>
      <c r="G69" s="119" t="n">
        <v>2.07</v>
      </c>
      <c r="H69" s="118" t="n">
        <v>414</v>
      </c>
      <c r="I69" s="118" t="inlineStr">
        <is>
          <t>Возврат</t>
        </is>
      </c>
      <c r="J69" s="118" t="n">
        <v>200</v>
      </c>
      <c r="K69" s="118" t="n">
        <v>0</v>
      </c>
      <c r="L69" s="120" t="n"/>
      <c r="M69" s="19" t="inlineStr">
        <is>
          <t>Olimpbet</t>
        </is>
      </c>
      <c r="N69" s="19" t="inlineStr">
        <is>
          <t>ед.</t>
        </is>
      </c>
      <c r="O69" s="121" t="n">
        <v>414</v>
      </c>
      <c r="P69" s="34" t="inlineStr">
        <is>
          <t>Live</t>
        </is>
      </c>
      <c r="Q69" s="34" t="inlineStr">
        <is>
          <t>Футбол</t>
        </is>
      </c>
      <c r="R69" s="34" t="inlineStr">
        <is>
          <t>Тотал больше</t>
        </is>
      </c>
      <c r="S69" s="34" t="inlineStr">
        <is>
          <t>Матч целиком</t>
        </is>
      </c>
      <c r="T69" s="34" t="inlineStr">
        <is>
          <t>2,00-2,49</t>
        </is>
      </c>
      <c r="U69" s="34" t="inlineStr">
        <is>
          <t>200</t>
        </is>
      </c>
      <c r="V69" s="34" t="str"/>
      <c r="W69" s="34" t="inlineStr">
        <is>
          <t>Польша. 1-я лига</t>
        </is>
      </c>
    </row>
    <row r="70">
      <c r="A70" s="19" t="inlineStr">
        <is>
          <t>11.10.2026</t>
        </is>
      </c>
      <c r="B70" s="19" t="n">
        <v>440</v>
      </c>
      <c r="C70" s="19" t="inlineStr">
        <is>
          <t>22:45</t>
        </is>
      </c>
      <c r="D70" s="19" t="inlineStr">
        <is>
          <t>Ординар</t>
        </is>
      </c>
      <c r="E70" s="19" t="n">
        <v>1</v>
      </c>
      <c r="F70" s="118" t="n">
        <v>200</v>
      </c>
      <c r="G70" s="119" t="n">
        <v>1.73</v>
      </c>
      <c r="H70" s="118" t="n">
        <v>346</v>
      </c>
      <c r="I70" s="118" t="inlineStr">
        <is>
          <t>Проигрыш</t>
        </is>
      </c>
      <c r="J70" s="118" t="n">
        <v>0</v>
      </c>
      <c r="K70" s="118" t="n">
        <v>-200</v>
      </c>
      <c r="L70" s="120" t="n">
        <v>-1</v>
      </c>
      <c r="M70" s="19" t="inlineStr">
        <is>
          <t>Olimpbet</t>
        </is>
      </c>
      <c r="N70" s="19" t="inlineStr">
        <is>
          <t>ед.</t>
        </is>
      </c>
      <c r="O70" s="121" t="n">
        <v>346</v>
      </c>
      <c r="P70" s="34" t="inlineStr">
        <is>
          <t>Прематч</t>
        </is>
      </c>
      <c r="Q70" s="34" t="inlineStr">
        <is>
          <t>Баскетбол</t>
        </is>
      </c>
      <c r="R70" s="34" t="inlineStr">
        <is>
          <t>Фора</t>
        </is>
      </c>
      <c r="S70" s="34" t="inlineStr">
        <is>
          <t>Матч целиком</t>
        </is>
      </c>
      <c r="T70" s="34" t="inlineStr">
        <is>
          <t>1,70-1,99</t>
        </is>
      </c>
      <c r="U70" s="34" t="inlineStr">
        <is>
          <t>200</t>
        </is>
      </c>
      <c r="V70" s="34" t="str"/>
      <c r="W70" s="34" t="inlineStr">
        <is>
          <t>НБА. Предсезонные матчи</t>
        </is>
      </c>
    </row>
    <row r="71">
      <c r="A71" s="19" t="inlineStr">
        <is>
          <t>11.10.2026</t>
        </is>
      </c>
      <c r="B71" s="19" t="n">
        <v>441</v>
      </c>
      <c r="C71" s="19" t="inlineStr">
        <is>
          <t>22:56</t>
        </is>
      </c>
      <c r="D71" s="19" t="inlineStr">
        <is>
          <t>Ординар</t>
        </is>
      </c>
      <c r="E71" s="19" t="n">
        <v>1</v>
      </c>
      <c r="F71" s="118" t="n">
        <v>200</v>
      </c>
      <c r="G71" s="119" t="n">
        <v>1.96</v>
      </c>
      <c r="H71" s="118">
        <f>ROUND(F71*G71,0)</f>
        <v/>
      </c>
      <c r="I71" s="118" t="inlineStr">
        <is>
          <t>Выигрыш</t>
        </is>
      </c>
      <c r="J71" s="118" t="n">
        <v>392</v>
      </c>
      <c r="K71" s="118" t="n">
        <v>192</v>
      </c>
      <c r="L71" s="120" t="n">
        <v>0.96</v>
      </c>
      <c r="M71" s="19" t="inlineStr">
        <is>
          <t>Olimpbet</t>
        </is>
      </c>
      <c r="N71" s="19" t="inlineStr">
        <is>
          <t>ед.</t>
        </is>
      </c>
      <c r="O71" s="121">
        <f>F71*G71</f>
        <v/>
      </c>
      <c r="P71" s="34" t="inlineStr">
        <is>
          <t>Live</t>
        </is>
      </c>
      <c r="Q71" s="34" t="inlineStr">
        <is>
          <t>Футбол</t>
        </is>
      </c>
      <c r="R71" s="34" t="inlineStr">
        <is>
          <t>Тотал больше</t>
        </is>
      </c>
      <c r="S71" s="34" t="inlineStr">
        <is>
          <t>Матч целиком</t>
        </is>
      </c>
      <c r="T71" s="34" t="inlineStr">
        <is>
          <t>1,70-1,99</t>
        </is>
      </c>
      <c r="U71" s="34" t="inlineStr">
        <is>
          <t>200</t>
        </is>
      </c>
      <c r="V71" s="34" t="str"/>
      <c r="W71" s="34" t="inlineStr">
        <is>
          <t>Испания. Ла Лига</t>
        </is>
      </c>
    </row>
    <row r="72">
      <c r="A72" s="19" t="inlineStr">
        <is>
          <t>11.10.2026</t>
        </is>
      </c>
      <c r="B72" s="19" t="n">
        <v>442</v>
      </c>
      <c r="C72" s="19" t="inlineStr">
        <is>
          <t>23:21</t>
        </is>
      </c>
      <c r="D72" s="19" t="inlineStr">
        <is>
          <t>Ординар</t>
        </is>
      </c>
      <c r="E72" s="19" t="n">
        <v>1</v>
      </c>
      <c r="F72" s="118" t="n">
        <v>200</v>
      </c>
      <c r="G72" s="119" t="n">
        <v>1.96</v>
      </c>
      <c r="H72" s="118" t="n">
        <v>392</v>
      </c>
      <c r="I72" s="118" t="inlineStr">
        <is>
          <t>Выигрыш</t>
        </is>
      </c>
      <c r="J72" s="118" t="n">
        <v>392</v>
      </c>
      <c r="K72" s="118" t="n">
        <v>192</v>
      </c>
      <c r="L72" s="120" t="n">
        <v>0.96</v>
      </c>
      <c r="M72" s="19" t="inlineStr">
        <is>
          <t>Olimpbet</t>
        </is>
      </c>
      <c r="N72" s="19" t="inlineStr">
        <is>
          <t>ед.</t>
        </is>
      </c>
      <c r="O72" s="121" t="n">
        <v>392</v>
      </c>
      <c r="P72" s="37" t="inlineStr">
        <is>
          <t>Live</t>
        </is>
      </c>
      <c r="Q72" s="37" t="inlineStr">
        <is>
          <t>Футбол</t>
        </is>
      </c>
      <c r="R72" s="37" t="inlineStr">
        <is>
          <t>Тотал больше</t>
        </is>
      </c>
      <c r="S72" s="37" t="inlineStr">
        <is>
          <t>Матч целиком</t>
        </is>
      </c>
      <c r="T72" s="37" t="inlineStr">
        <is>
          <t>1,70-1,99</t>
        </is>
      </c>
      <c r="U72" s="37" t="inlineStr">
        <is>
          <t>200</t>
        </is>
      </c>
      <c r="V72" s="37" t="str"/>
      <c r="W72" s="37" t="inlineStr">
        <is>
          <t>Италия. Серия A</t>
        </is>
      </c>
    </row>
    <row r="73">
      <c r="A73" s="19" t="inlineStr">
        <is>
          <t>12.10.2026</t>
        </is>
      </c>
      <c r="B73" s="19" t="n">
        <v>443</v>
      </c>
      <c r="C73" s="19" t="inlineStr">
        <is>
          <t>11:28</t>
        </is>
      </c>
      <c r="D73" s="19" t="inlineStr">
        <is>
          <t>Ординар</t>
        </is>
      </c>
      <c r="E73" s="19" t="n">
        <v>1</v>
      </c>
      <c r="F73" s="126" t="n">
        <v>0</v>
      </c>
      <c r="G73" s="127" t="n">
        <v>2.38</v>
      </c>
      <c r="H73" s="126" t="n">
        <v>690</v>
      </c>
      <c r="I73" s="126" t="inlineStr">
        <is>
          <t>Выигрыш</t>
        </is>
      </c>
      <c r="J73" s="126" t="n">
        <v>690</v>
      </c>
      <c r="K73" s="126" t="n">
        <v>690</v>
      </c>
      <c r="L73" s="128" t="n"/>
      <c r="M73" s="37" t="inlineStr">
        <is>
          <t>Olimpbet</t>
        </is>
      </c>
      <c r="N73" s="37" t="inlineStr">
        <is>
          <t>ед.</t>
        </is>
      </c>
      <c r="O73" s="129" t="n">
        <v>690</v>
      </c>
      <c r="P73" s="37" t="inlineStr">
        <is>
          <t>Live</t>
        </is>
      </c>
      <c r="Q73" s="37" t="inlineStr">
        <is>
          <t>Футбол</t>
        </is>
      </c>
      <c r="R73" s="37" t="inlineStr">
        <is>
          <t>Тотал больше</t>
        </is>
      </c>
      <c r="S73" s="37" t="inlineStr">
        <is>
          <t>1-й тайм</t>
        </is>
      </c>
      <c r="T73" s="37" t="inlineStr">
        <is>
          <t>2,00-2,49</t>
        </is>
      </c>
      <c r="U73" s="37" t="inlineStr">
        <is>
          <t>Фрибет</t>
        </is>
      </c>
      <c r="V73" s="37" t="inlineStr">
        <is>
          <t>Фрибет 500: выплачена только чистая прибыль 690 без возврата номинала.</t>
        </is>
      </c>
      <c r="W73" s="37" t="inlineStr">
        <is>
          <t>Китай. 2-я лига</t>
        </is>
      </c>
    </row>
    <row r="74">
      <c r="A74" s="19" t="inlineStr">
        <is>
          <t>12.10.2026</t>
        </is>
      </c>
      <c r="B74" s="19" t="n">
        <v>444</v>
      </c>
      <c r="C74" s="19" t="inlineStr">
        <is>
          <t>11:46</t>
        </is>
      </c>
      <c r="D74" s="19" t="inlineStr">
        <is>
          <t>Ординар</t>
        </is>
      </c>
      <c r="E74" s="19" t="n">
        <v>1</v>
      </c>
      <c r="F74" s="126" t="n">
        <v>200</v>
      </c>
      <c r="G74" s="127" t="n">
        <v>1.84</v>
      </c>
      <c r="H74" s="126" t="n">
        <v>368</v>
      </c>
      <c r="I74" s="126" t="inlineStr">
        <is>
          <t>Выигрыш</t>
        </is>
      </c>
      <c r="J74" s="126" t="n">
        <v>368</v>
      </c>
      <c r="K74" s="126" t="n">
        <v>168</v>
      </c>
      <c r="L74" s="128" t="n">
        <v>0.84</v>
      </c>
      <c r="M74" s="37" t="inlineStr">
        <is>
          <t>Olimpbet</t>
        </is>
      </c>
      <c r="N74" s="37" t="inlineStr">
        <is>
          <t>ед.</t>
        </is>
      </c>
      <c r="O74" s="129" t="n">
        <v>368</v>
      </c>
      <c r="P74" s="37" t="inlineStr">
        <is>
          <t>Live</t>
        </is>
      </c>
      <c r="Q74" s="37" t="inlineStr">
        <is>
          <t>Футбол</t>
        </is>
      </c>
      <c r="R74" s="37" t="inlineStr">
        <is>
          <t>Тотал больше</t>
        </is>
      </c>
      <c r="S74" s="37" t="inlineStr">
        <is>
          <t>Матч целиком</t>
        </is>
      </c>
      <c r="T74" s="37" t="inlineStr">
        <is>
          <t>1,70-1,99</t>
        </is>
      </c>
      <c r="U74" s="37" t="inlineStr">
        <is>
          <t>200</t>
        </is>
      </c>
      <c r="V74" s="37" t="str"/>
      <c r="W74" s="37" t="inlineStr">
        <is>
          <t>Вьетнам. Национальная лига. Женщины</t>
        </is>
      </c>
    </row>
    <row r="75">
      <c r="A75" s="19" t="inlineStr">
        <is>
          <t>12.10.2026</t>
        </is>
      </c>
      <c r="B75" s="19" t="n">
        <v>445</v>
      </c>
      <c r="C75" s="19" t="inlineStr">
        <is>
          <t>12:07</t>
        </is>
      </c>
      <c r="D75" s="19" t="inlineStr">
        <is>
          <t>Ординар</t>
        </is>
      </c>
      <c r="E75" s="19" t="n">
        <v>1</v>
      </c>
      <c r="F75" s="126" t="n">
        <v>200</v>
      </c>
      <c r="G75" s="127" t="n">
        <v>1.59</v>
      </c>
      <c r="H75" s="126" t="n">
        <v>318</v>
      </c>
      <c r="I75" s="126" t="inlineStr">
        <is>
          <t>Возврат</t>
        </is>
      </c>
      <c r="J75" s="126" t="n">
        <v>200</v>
      </c>
      <c r="K75" s="126" t="n">
        <v>0</v>
      </c>
      <c r="L75" s="128" t="n">
        <v>0</v>
      </c>
      <c r="M75" s="37" t="inlineStr">
        <is>
          <t>Olimpbet</t>
        </is>
      </c>
      <c r="N75" s="37" t="inlineStr">
        <is>
          <t>ед.</t>
        </is>
      </c>
      <c r="O75" s="129" t="n">
        <v>318</v>
      </c>
      <c r="P75" s="37" t="inlineStr">
        <is>
          <t>Live</t>
        </is>
      </c>
      <c r="Q75" s="37" t="inlineStr">
        <is>
          <t>Футбол</t>
        </is>
      </c>
      <c r="R75" s="37" t="inlineStr">
        <is>
          <t>Тотал больше</t>
        </is>
      </c>
      <c r="S75" s="37" t="inlineStr">
        <is>
          <t>Матч целиком</t>
        </is>
      </c>
      <c r="T75" s="37" t="inlineStr">
        <is>
          <t>1,50-1,69</t>
        </is>
      </c>
      <c r="U75" s="37" t="inlineStr">
        <is>
          <t>200</t>
        </is>
      </c>
      <c r="V75" s="37" t="str"/>
      <c r="W75" s="37" t="inlineStr">
        <is>
          <t>Китай. 2-я лига</t>
        </is>
      </c>
    </row>
    <row r="76">
      <c r="A76" s="19" t="inlineStr">
        <is>
          <t>12.10.2026</t>
        </is>
      </c>
      <c r="B76" s="19" t="n">
        <v>446</v>
      </c>
      <c r="C76" s="19" t="inlineStr">
        <is>
          <t>13:02</t>
        </is>
      </c>
      <c r="D76" s="19" t="inlineStr">
        <is>
          <t>Ординар</t>
        </is>
      </c>
      <c r="E76" s="19" t="n">
        <v>1</v>
      </c>
      <c r="F76" s="126" t="n">
        <v>200</v>
      </c>
      <c r="G76" s="127" t="n">
        <v>1.83</v>
      </c>
      <c r="H76" s="126" t="n">
        <v>366</v>
      </c>
      <c r="I76" s="126" t="inlineStr">
        <is>
          <t>Выигрыш</t>
        </is>
      </c>
      <c r="J76" s="126" t="n">
        <v>366</v>
      </c>
      <c r="K76" s="126" t="n">
        <v>166</v>
      </c>
      <c r="L76" s="128" t="n">
        <v>0.83</v>
      </c>
      <c r="M76" s="37" t="inlineStr">
        <is>
          <t>Olimpbet</t>
        </is>
      </c>
      <c r="N76" s="37" t="inlineStr">
        <is>
          <t>ед.</t>
        </is>
      </c>
      <c r="O76" s="129" t="n">
        <v>366</v>
      </c>
      <c r="P76" s="37" t="inlineStr">
        <is>
          <t>Прематч</t>
        </is>
      </c>
      <c r="Q76" s="37" t="inlineStr">
        <is>
          <t>Теннис</t>
        </is>
      </c>
      <c r="R76" s="37" t="inlineStr">
        <is>
          <t>Фора</t>
        </is>
      </c>
      <c r="S76" s="37" t="inlineStr">
        <is>
          <t>Матч целиком</t>
        </is>
      </c>
      <c r="T76" s="37" t="inlineStr">
        <is>
          <t>1,70-1,99</t>
        </is>
      </c>
      <c r="U76" s="37" t="inlineStr">
        <is>
          <t>200</t>
        </is>
      </c>
      <c r="V76" s="37" t="str"/>
      <c r="W76" s="37" t="inlineStr">
        <is>
          <t>ATP 1000. Шанхай. Хард</t>
        </is>
      </c>
    </row>
    <row r="77">
      <c r="A77" s="19" t="inlineStr">
        <is>
          <t>12.10.2026</t>
        </is>
      </c>
      <c r="B77" s="19" t="n">
        <v>447</v>
      </c>
      <c r="C77" s="19" t="inlineStr">
        <is>
          <t>13:04</t>
        </is>
      </c>
      <c r="D77" s="19" t="inlineStr">
        <is>
          <t>Ординар</t>
        </is>
      </c>
      <c r="E77" s="19" t="n">
        <v>1</v>
      </c>
      <c r="F77" s="126" t="n">
        <v>200</v>
      </c>
      <c r="G77" s="127" t="n">
        <v>1.81</v>
      </c>
      <c r="H77" s="126" t="n">
        <v>362</v>
      </c>
      <c r="I77" s="126" t="inlineStr">
        <is>
          <t>Открыт</t>
        </is>
      </c>
      <c r="J77" s="126" t="n"/>
      <c r="K77" s="126" t="n"/>
      <c r="L77" s="128" t="n"/>
      <c r="M77" s="37" t="inlineStr">
        <is>
          <t>Olimpbet</t>
        </is>
      </c>
      <c r="N77" s="37" t="inlineStr">
        <is>
          <t>ед.</t>
        </is>
      </c>
      <c r="O77" s="129" t="n">
        <v>362</v>
      </c>
      <c r="P77" s="37" t="inlineStr">
        <is>
          <t>Прематч</t>
        </is>
      </c>
      <c r="Q77" s="37" t="inlineStr">
        <is>
          <t>Хоккей</t>
        </is>
      </c>
      <c r="R77" s="37" t="inlineStr">
        <is>
          <t>Тотал больше</t>
        </is>
      </c>
      <c r="S77" s="37" t="inlineStr">
        <is>
          <t>Матч целиком</t>
        </is>
      </c>
      <c r="T77" s="37" t="inlineStr">
        <is>
          <t>1,70-1,99</t>
        </is>
      </c>
      <c r="U77" s="37" t="inlineStr">
        <is>
          <t>200</t>
        </is>
      </c>
      <c r="V77" s="37" t="str"/>
      <c r="W77" s="37" t="inlineStr">
        <is>
          <t>КХЛ. Регулярный чемпионат</t>
        </is>
      </c>
    </row>
    <row r="78">
      <c r="A78" s="19" t="inlineStr">
        <is>
          <t>12.10.2026</t>
        </is>
      </c>
      <c r="B78" s="19" t="n">
        <v>448</v>
      </c>
      <c r="C78" s="19" t="inlineStr">
        <is>
          <t>14:42</t>
        </is>
      </c>
      <c r="D78" s="19" t="inlineStr">
        <is>
          <t>Ординар</t>
        </is>
      </c>
      <c r="E78" s="19" t="n">
        <v>1</v>
      </c>
      <c r="F78" s="126" t="n">
        <v>200</v>
      </c>
      <c r="G78" s="127" t="n">
        <v>1.89</v>
      </c>
      <c r="H78" s="126" t="n">
        <v>378</v>
      </c>
      <c r="I78" s="126" t="inlineStr">
        <is>
          <t>Проигрыш</t>
        </is>
      </c>
      <c r="J78" s="126" t="n">
        <v>0</v>
      </c>
      <c r="K78" s="126" t="n">
        <v>-200</v>
      </c>
      <c r="L78" s="128" t="n">
        <v>-1</v>
      </c>
      <c r="M78" s="37" t="inlineStr">
        <is>
          <t>Olimpbet</t>
        </is>
      </c>
      <c r="N78" s="37" t="inlineStr">
        <is>
          <t>ед.</t>
        </is>
      </c>
      <c r="O78" s="129" t="n">
        <v>378</v>
      </c>
      <c r="P78" s="37" t="inlineStr">
        <is>
          <t>Live</t>
        </is>
      </c>
      <c r="Q78" s="37" t="inlineStr">
        <is>
          <t>Футбол</t>
        </is>
      </c>
      <c r="R78" s="37" t="inlineStr">
        <is>
          <t>Тотал больше</t>
        </is>
      </c>
      <c r="S78" s="37" t="inlineStr">
        <is>
          <t>Матч целиком</t>
        </is>
      </c>
      <c r="T78" s="37" t="inlineStr">
        <is>
          <t>1,70-1,99</t>
        </is>
      </c>
      <c r="U78" s="37" t="inlineStr">
        <is>
          <t>200</t>
        </is>
      </c>
      <c r="V78" s="37" t="str"/>
      <c r="W78" s="37" t="inlineStr">
        <is>
          <t>Парагвай. Примера. Резерв</t>
        </is>
      </c>
    </row>
    <row r="79">
      <c r="A79" s="19" t="inlineStr">
        <is>
          <t>12.10.2026</t>
        </is>
      </c>
      <c r="B79" s="19" t="n">
        <v>449</v>
      </c>
      <c r="C79" s="19" t="inlineStr">
        <is>
          <t>15:40</t>
        </is>
      </c>
      <c r="D79" s="19" t="inlineStr">
        <is>
          <t>Ординар</t>
        </is>
      </c>
      <c r="E79" s="19" t="n">
        <v>1</v>
      </c>
      <c r="F79" s="126" t="n">
        <v>200</v>
      </c>
      <c r="G79" s="127" t="n">
        <v>1.82</v>
      </c>
      <c r="H79" s="126" t="n">
        <v>364</v>
      </c>
      <c r="I79" s="126" t="inlineStr">
        <is>
          <t>Выигрыш</t>
        </is>
      </c>
      <c r="J79" s="126" t="n">
        <v>364</v>
      </c>
      <c r="K79" s="126" t="n">
        <v>164</v>
      </c>
      <c r="L79" s="128" t="n">
        <v>0.82</v>
      </c>
      <c r="M79" s="37" t="inlineStr">
        <is>
          <t>Olimpbet</t>
        </is>
      </c>
      <c r="N79" s="37" t="inlineStr">
        <is>
          <t>ед.</t>
        </is>
      </c>
      <c r="O79" s="129" t="n">
        <v>364</v>
      </c>
      <c r="P79" s="37" t="inlineStr">
        <is>
          <t>Live</t>
        </is>
      </c>
      <c r="Q79" s="37" t="inlineStr">
        <is>
          <t>Хоккей</t>
        </is>
      </c>
      <c r="R79" s="37" t="inlineStr">
        <is>
          <t>Тотал больше</t>
        </is>
      </c>
      <c r="S79" s="37" t="inlineStr">
        <is>
          <t>2-й период</t>
        </is>
      </c>
      <c r="T79" s="37" t="inlineStr">
        <is>
          <t>1,70-1,99</t>
        </is>
      </c>
      <c r="U79" s="37" t="inlineStr">
        <is>
          <t>200</t>
        </is>
      </c>
      <c r="V79" s="37" t="str"/>
      <c r="W79" s="37" t="inlineStr">
        <is>
          <t>OLIMPBET-ВХЛ. Регулярный чемпионат</t>
        </is>
      </c>
    </row>
    <row r="80">
      <c r="A80" s="19" t="inlineStr">
        <is>
          <t>12.10.2026</t>
        </is>
      </c>
      <c r="B80" s="19" t="n">
        <v>450</v>
      </c>
      <c r="C80" s="19" t="inlineStr">
        <is>
          <t>15:42</t>
        </is>
      </c>
      <c r="D80" s="19" t="inlineStr">
        <is>
          <t>Ординар</t>
        </is>
      </c>
      <c r="E80" s="19" t="n">
        <v>1</v>
      </c>
      <c r="F80" s="126" t="n">
        <v>200</v>
      </c>
      <c r="G80" s="127" t="n">
        <v>1.61</v>
      </c>
      <c r="H80" s="126" t="n">
        <v>322</v>
      </c>
      <c r="I80" s="126" t="inlineStr">
        <is>
          <t>Проигрыш</t>
        </is>
      </c>
      <c r="J80" s="126" t="n">
        <v>0</v>
      </c>
      <c r="K80" s="126" t="n">
        <v>-200</v>
      </c>
      <c r="L80" s="128" t="n">
        <v>-1</v>
      </c>
      <c r="M80" s="37" t="inlineStr">
        <is>
          <t>Olimpbet</t>
        </is>
      </c>
      <c r="N80" s="37" t="inlineStr">
        <is>
          <t>ед.</t>
        </is>
      </c>
      <c r="O80" s="129" t="n">
        <v>322</v>
      </c>
      <c r="P80" s="37" t="inlineStr">
        <is>
          <t>Live</t>
        </is>
      </c>
      <c r="Q80" s="37" t="inlineStr">
        <is>
          <t>Футбол</t>
        </is>
      </c>
      <c r="R80" s="37" t="inlineStr">
        <is>
          <t>Статистика матча</t>
        </is>
      </c>
      <c r="S80" s="37" t="inlineStr">
        <is>
          <t>Матч целиком</t>
        </is>
      </c>
      <c r="T80" s="37" t="inlineStr">
        <is>
          <t>1,50-1,69</t>
        </is>
      </c>
      <c r="U80" s="37" t="inlineStr">
        <is>
          <t>200</t>
        </is>
      </c>
      <c r="V80" s="37" t="str"/>
      <c r="W80" s="37" t="inlineStr">
        <is>
          <t>Испания. Ла Лига 2. Статистика</t>
        </is>
      </c>
    </row>
    <row r="81">
      <c r="A81" s="19" t="inlineStr">
        <is>
          <t>12.10.2026</t>
        </is>
      </c>
      <c r="B81" s="19" t="n">
        <v>451</v>
      </c>
      <c r="C81" s="19" t="inlineStr">
        <is>
          <t>15:54</t>
        </is>
      </c>
      <c r="D81" s="19" t="inlineStr">
        <is>
          <t>Ординар</t>
        </is>
      </c>
      <c r="E81" s="19" t="n">
        <v>1</v>
      </c>
      <c r="F81" s="126" t="n">
        <v>200</v>
      </c>
      <c r="G81" s="127" t="n">
        <v>2.21</v>
      </c>
      <c r="H81" s="126" t="n">
        <v>442</v>
      </c>
      <c r="I81" s="126" t="inlineStr">
        <is>
          <t>Открыт</t>
        </is>
      </c>
      <c r="J81" s="126" t="n"/>
      <c r="K81" s="126" t="n"/>
      <c r="L81" s="128" t="n"/>
      <c r="M81" s="37" t="inlineStr">
        <is>
          <t>Olimpbet</t>
        </is>
      </c>
      <c r="N81" s="37" t="inlineStr">
        <is>
          <t>ед.</t>
        </is>
      </c>
      <c r="O81" s="129" t="n">
        <v>442</v>
      </c>
      <c r="P81" s="37" t="inlineStr">
        <is>
          <t>Прематч</t>
        </is>
      </c>
      <c r="Q81" s="37" t="inlineStr">
        <is>
          <t>Футбол</t>
        </is>
      </c>
      <c r="R81" s="37" t="inlineStr">
        <is>
          <t>Тотал больше</t>
        </is>
      </c>
      <c r="S81" s="37" t="inlineStr">
        <is>
          <t>Матч целиком</t>
        </is>
      </c>
      <c r="T81" s="37" t="inlineStr">
        <is>
          <t>2,00-2,49</t>
        </is>
      </c>
      <c r="U81" s="37" t="inlineStr">
        <is>
          <t>200</t>
        </is>
      </c>
      <c r="V81" s="37" t="str"/>
      <c r="W81" s="37" t="inlineStr">
        <is>
          <t>Ливан. 1-й дивизион</t>
        </is>
      </c>
    </row>
    <row r="82">
      <c r="A82" s="19" t="inlineStr">
        <is>
          <t>12.10.2026</t>
        </is>
      </c>
      <c r="B82" s="19" t="n">
        <v>452</v>
      </c>
      <c r="C82" s="19" t="inlineStr">
        <is>
          <t>16:31</t>
        </is>
      </c>
      <c r="D82" s="19" t="inlineStr">
        <is>
          <t>Ординар</t>
        </is>
      </c>
      <c r="E82" s="19" t="n">
        <v>1</v>
      </c>
      <c r="F82" s="126" t="n">
        <v>200</v>
      </c>
      <c r="G82" s="127" t="n">
        <v>1.65</v>
      </c>
      <c r="H82" s="126" t="n">
        <v>330</v>
      </c>
      <c r="I82" s="126" t="inlineStr">
        <is>
          <t>Открыт</t>
        </is>
      </c>
      <c r="J82" s="126" t="n"/>
      <c r="K82" s="126" t="n"/>
      <c r="L82" s="128" t="n"/>
      <c r="M82" s="37" t="inlineStr">
        <is>
          <t>Olimpbet</t>
        </is>
      </c>
      <c r="N82" s="37" t="inlineStr">
        <is>
          <t>ед.</t>
        </is>
      </c>
      <c r="O82" s="129" t="n">
        <v>330</v>
      </c>
      <c r="P82" s="37" t="inlineStr">
        <is>
          <t>Прематч</t>
        </is>
      </c>
      <c r="Q82" s="37" t="inlineStr">
        <is>
          <t>Хоккей</t>
        </is>
      </c>
      <c r="R82" s="37" t="inlineStr">
        <is>
          <t>Победа</t>
        </is>
      </c>
      <c r="S82" s="37" t="inlineStr">
        <is>
          <t>Матч целиком</t>
        </is>
      </c>
      <c r="T82" s="37" t="inlineStr">
        <is>
          <t>1,50-1,69</t>
        </is>
      </c>
      <c r="U82" s="37" t="inlineStr">
        <is>
          <t>200</t>
        </is>
      </c>
      <c r="V82" s="37" t="str"/>
      <c r="W82" s="37" t="inlineStr">
        <is>
          <t>Казахстан. Про Лига</t>
        </is>
      </c>
    </row>
    <row r="83">
      <c r="A83" s="19" t="inlineStr">
        <is>
          <t>12.10.2026</t>
        </is>
      </c>
      <c r="B83" s="19" t="n">
        <v>453</v>
      </c>
      <c r="C83" s="19" t="inlineStr">
        <is>
          <t>16:31</t>
        </is>
      </c>
      <c r="D83" s="19" t="inlineStr">
        <is>
          <t>Ординар</t>
        </is>
      </c>
      <c r="E83" s="19" t="n">
        <v>1</v>
      </c>
      <c r="F83" s="126" t="n">
        <v>200</v>
      </c>
      <c r="G83" s="127" t="n">
        <v>1.76</v>
      </c>
      <c r="H83" s="126" t="n">
        <v>352</v>
      </c>
      <c r="I83" s="126" t="inlineStr">
        <is>
          <t>Открыт</t>
        </is>
      </c>
      <c r="J83" s="126" t="n"/>
      <c r="K83" s="126" t="n"/>
      <c r="L83" s="128" t="n"/>
      <c r="M83" s="37" t="inlineStr">
        <is>
          <t>Olimpbet</t>
        </is>
      </c>
      <c r="N83" s="37" t="inlineStr">
        <is>
          <t>ед.</t>
        </is>
      </c>
      <c r="O83" s="129" t="n">
        <v>352</v>
      </c>
      <c r="P83" s="37" t="inlineStr">
        <is>
          <t>Прематч</t>
        </is>
      </c>
      <c r="Q83" s="37" t="inlineStr">
        <is>
          <t>Хоккей</t>
        </is>
      </c>
      <c r="R83" s="37" t="inlineStr">
        <is>
          <t>Тотал больше</t>
        </is>
      </c>
      <c r="S83" s="37" t="inlineStr">
        <is>
          <t>Матч целиком</t>
        </is>
      </c>
      <c r="T83" s="37" t="inlineStr">
        <is>
          <t>1,70-1,99</t>
        </is>
      </c>
      <c r="U83" s="37" t="inlineStr">
        <is>
          <t>200</t>
        </is>
      </c>
      <c r="V83" s="37" t="str"/>
      <c r="W83" s="37" t="inlineStr">
        <is>
          <t>КХЛ. Регулярный чемпионат</t>
        </is>
      </c>
    </row>
    <row r="84">
      <c r="A84" s="19" t="inlineStr">
        <is>
          <t>12.10.2026</t>
        </is>
      </c>
      <c r="B84" s="19" t="n">
        <v>454</v>
      </c>
      <c r="C84" s="19" t="inlineStr">
        <is>
          <t>16:32</t>
        </is>
      </c>
      <c r="D84" s="19" t="inlineStr">
        <is>
          <t>Ординар</t>
        </is>
      </c>
      <c r="E84" s="19" t="n">
        <v>1</v>
      </c>
      <c r="F84" s="126" t="n">
        <v>200</v>
      </c>
      <c r="G84" s="127" t="n">
        <v>1.6</v>
      </c>
      <c r="H84" s="126" t="n">
        <v>320</v>
      </c>
      <c r="I84" s="126" t="inlineStr">
        <is>
          <t>Открыт</t>
        </is>
      </c>
      <c r="J84" s="126" t="n"/>
      <c r="K84" s="126" t="n"/>
      <c r="L84" s="128" t="n"/>
      <c r="M84" s="37" t="inlineStr">
        <is>
          <t>Olimpbet</t>
        </is>
      </c>
      <c r="N84" s="37" t="inlineStr">
        <is>
          <t>ед.</t>
        </is>
      </c>
      <c r="O84" s="129" t="n">
        <v>320</v>
      </c>
      <c r="P84" s="37" t="inlineStr">
        <is>
          <t>Прематч</t>
        </is>
      </c>
      <c r="Q84" s="37" t="inlineStr">
        <is>
          <t>Футбол</t>
        </is>
      </c>
      <c r="R84" s="37" t="inlineStr">
        <is>
          <t>Фора</t>
        </is>
      </c>
      <c r="S84" s="37" t="inlineStr">
        <is>
          <t>Матч целиком</t>
        </is>
      </c>
      <c r="T84" s="37" t="inlineStr">
        <is>
          <t>1,50-1,69</t>
        </is>
      </c>
      <c r="U84" s="37" t="inlineStr">
        <is>
          <t>200</t>
        </is>
      </c>
      <c r="V84" s="37" t="str"/>
      <c r="W84" s="37" t="inlineStr">
        <is>
          <t>Англия. Премьер-лига</t>
        </is>
      </c>
    </row>
    <row r="85">
      <c r="A85" s="19" t="inlineStr">
        <is>
          <t>12.10.2026</t>
        </is>
      </c>
      <c r="B85" s="19" t="n">
        <v>455</v>
      </c>
      <c r="C85" s="19" t="inlineStr">
        <is>
          <t>16:33</t>
        </is>
      </c>
      <c r="D85" s="19" t="inlineStr">
        <is>
          <t>Ординар</t>
        </is>
      </c>
      <c r="E85" s="19" t="n">
        <v>1</v>
      </c>
      <c r="F85" s="126" t="n">
        <v>200</v>
      </c>
      <c r="G85" s="127" t="n">
        <v>1.53</v>
      </c>
      <c r="H85" s="126" t="n">
        <v>306</v>
      </c>
      <c r="I85" s="126" t="inlineStr">
        <is>
          <t>Открыт</t>
        </is>
      </c>
      <c r="J85" s="126" t="n"/>
      <c r="K85" s="126" t="n"/>
      <c r="L85" s="128" t="n"/>
      <c r="M85" s="37" t="inlineStr">
        <is>
          <t>Olimpbet</t>
        </is>
      </c>
      <c r="N85" s="37" t="inlineStr">
        <is>
          <t>ед.</t>
        </is>
      </c>
      <c r="O85" s="129" t="n">
        <v>306</v>
      </c>
      <c r="P85" s="37" t="inlineStr">
        <is>
          <t>Прематч</t>
        </is>
      </c>
      <c r="Q85" s="37" t="inlineStr">
        <is>
          <t>Футбол</t>
        </is>
      </c>
      <c r="R85" s="37" t="inlineStr">
        <is>
          <t>Победа</t>
        </is>
      </c>
      <c r="S85" s="37" t="inlineStr">
        <is>
          <t>Матч целиком</t>
        </is>
      </c>
      <c r="T85" s="37" t="inlineStr">
        <is>
          <t>1,50-1,69</t>
        </is>
      </c>
      <c r="U85" s="37" t="inlineStr">
        <is>
          <t>200</t>
        </is>
      </c>
      <c r="V85" s="37" t="str"/>
      <c r="W85" s="37" t="inlineStr">
        <is>
          <t>Италия. Серия A</t>
        </is>
      </c>
    </row>
    <row r="86">
      <c r="A86" s="19" t="inlineStr">
        <is>
          <t>12.10.2026</t>
        </is>
      </c>
      <c r="B86" s="19" t="n">
        <v>456</v>
      </c>
      <c r="C86" s="19" t="inlineStr">
        <is>
          <t>16:33</t>
        </is>
      </c>
      <c r="D86" s="19" t="inlineStr">
        <is>
          <t>Ординар</t>
        </is>
      </c>
      <c r="E86" s="19" t="n">
        <v>1</v>
      </c>
      <c r="F86" s="126" t="n">
        <v>200</v>
      </c>
      <c r="G86" s="127" t="n">
        <v>1.71</v>
      </c>
      <c r="H86" s="126" t="n">
        <v>342</v>
      </c>
      <c r="I86" s="126" t="inlineStr">
        <is>
          <t>Открыт</t>
        </is>
      </c>
      <c r="J86" s="126" t="n"/>
      <c r="K86" s="126" t="n"/>
      <c r="L86" s="128" t="n"/>
      <c r="M86" s="37" t="inlineStr">
        <is>
          <t>Olimpbet</t>
        </is>
      </c>
      <c r="N86" s="37" t="inlineStr">
        <is>
          <t>ед.</t>
        </is>
      </c>
      <c r="O86" s="129" t="n">
        <v>342</v>
      </c>
      <c r="P86" s="37" t="inlineStr">
        <is>
          <t>Прематч</t>
        </is>
      </c>
      <c r="Q86" s="37" t="inlineStr">
        <is>
          <t>Хоккей</t>
        </is>
      </c>
      <c r="R86" s="37" t="inlineStr">
        <is>
          <t>Тотал больше</t>
        </is>
      </c>
      <c r="S86" s="37" t="inlineStr">
        <is>
          <t>Матч целиком</t>
        </is>
      </c>
      <c r="T86" s="37" t="inlineStr">
        <is>
          <t>1,70-1,99</t>
        </is>
      </c>
      <c r="U86" s="37" t="inlineStr">
        <is>
          <t>200</t>
        </is>
      </c>
      <c r="V86" s="37" t="str"/>
      <c r="W86" s="37" t="inlineStr">
        <is>
          <t>Беларусь. Экстралига</t>
        </is>
      </c>
    </row>
    <row r="87">
      <c r="A87" s="19" t="inlineStr">
        <is>
          <t>12.10.2026</t>
        </is>
      </c>
      <c r="B87" s="19" t="n">
        <v>457</v>
      </c>
      <c r="C87" s="19" t="inlineStr">
        <is>
          <t>16:33</t>
        </is>
      </c>
      <c r="D87" s="19" t="inlineStr">
        <is>
          <t>Ординар</t>
        </is>
      </c>
      <c r="E87" s="19" t="n">
        <v>1</v>
      </c>
      <c r="F87" s="126" t="n">
        <v>200</v>
      </c>
      <c r="G87" s="127" t="n">
        <v>1.83</v>
      </c>
      <c r="H87" s="126" t="n">
        <v>366</v>
      </c>
      <c r="I87" s="126" t="inlineStr">
        <is>
          <t>Открыт</t>
        </is>
      </c>
      <c r="J87" s="126" t="n"/>
      <c r="K87" s="126" t="n"/>
      <c r="L87" s="128" t="n"/>
      <c r="M87" s="37" t="inlineStr">
        <is>
          <t>Olimpbet</t>
        </is>
      </c>
      <c r="N87" s="37" t="inlineStr">
        <is>
          <t>ед.</t>
        </is>
      </c>
      <c r="O87" s="129" t="n">
        <v>366</v>
      </c>
      <c r="P87" s="37" t="inlineStr">
        <is>
          <t>Прематч</t>
        </is>
      </c>
      <c r="Q87" s="37" t="inlineStr">
        <is>
          <t>Хоккей</t>
        </is>
      </c>
      <c r="R87" s="37" t="inlineStr">
        <is>
          <t>Двойной шанс</t>
        </is>
      </c>
      <c r="S87" s="37" t="inlineStr">
        <is>
          <t>Матч целиком</t>
        </is>
      </c>
      <c r="T87" s="37" t="inlineStr">
        <is>
          <t>1,70-1,99</t>
        </is>
      </c>
      <c r="U87" s="37" t="inlineStr">
        <is>
          <t>200</t>
        </is>
      </c>
      <c r="V87" s="37" t="str"/>
      <c r="W87" s="37" t="inlineStr">
        <is>
          <t>Дания. Metal Ligaen</t>
        </is>
      </c>
    </row>
    <row r="88">
      <c r="A88" s="19" t="inlineStr">
        <is>
          <t>12.10.2026</t>
        </is>
      </c>
      <c r="B88" s="19" t="n">
        <v>458</v>
      </c>
      <c r="C88" s="19" t="inlineStr">
        <is>
          <t>16:34</t>
        </is>
      </c>
      <c r="D88" s="19" t="inlineStr">
        <is>
          <t>Ординар</t>
        </is>
      </c>
      <c r="E88" s="19" t="n">
        <v>1</v>
      </c>
      <c r="F88" s="126" t="n">
        <v>200</v>
      </c>
      <c r="G88" s="127" t="n">
        <v>2.01</v>
      </c>
      <c r="H88" s="126" t="n">
        <v>402</v>
      </c>
      <c r="I88" s="126" t="inlineStr">
        <is>
          <t>Открыт</t>
        </is>
      </c>
      <c r="J88" s="126" t="n"/>
      <c r="K88" s="126" t="n"/>
      <c r="L88" s="128" t="n"/>
      <c r="M88" s="37" t="inlineStr">
        <is>
          <t>Olimpbet</t>
        </is>
      </c>
      <c r="N88" s="37" t="inlineStr">
        <is>
          <t>ед.</t>
        </is>
      </c>
      <c r="O88" s="129" t="n">
        <v>401.9999999999999</v>
      </c>
      <c r="P88" s="37" t="inlineStr">
        <is>
          <t>Прематч</t>
        </is>
      </c>
      <c r="Q88" s="37" t="inlineStr">
        <is>
          <t>Хоккей</t>
        </is>
      </c>
      <c r="R88" s="37" t="inlineStr">
        <is>
          <t>Победа</t>
        </is>
      </c>
      <c r="S88" s="37" t="inlineStr">
        <is>
          <t>Матч целиком</t>
        </is>
      </c>
      <c r="T88" s="37" t="inlineStr">
        <is>
          <t>2,00-2,49</t>
        </is>
      </c>
      <c r="U88" s="37" t="inlineStr">
        <is>
          <t>200</t>
        </is>
      </c>
      <c r="V88" s="37" t="str"/>
      <c r="W88" s="37" t="inlineStr">
        <is>
          <t>КХЛ. Регулярный чемпионат</t>
        </is>
      </c>
    </row>
    <row r="89">
      <c r="A89" s="19" t="inlineStr">
        <is>
          <t>12.10.2026</t>
        </is>
      </c>
      <c r="B89" s="19" t="n">
        <v>459</v>
      </c>
      <c r="C89" s="19" t="inlineStr">
        <is>
          <t>16:34</t>
        </is>
      </c>
      <c r="D89" s="19" t="inlineStr">
        <is>
          <t>Ординар</t>
        </is>
      </c>
      <c r="E89" s="19" t="n">
        <v>1</v>
      </c>
      <c r="F89" s="126" t="n">
        <v>200</v>
      </c>
      <c r="G89" s="127" t="n">
        <v>2.67</v>
      </c>
      <c r="H89" s="126" t="n">
        <v>534</v>
      </c>
      <c r="I89" s="126" t="inlineStr">
        <is>
          <t>Открыт</t>
        </is>
      </c>
      <c r="J89" s="126" t="n"/>
      <c r="K89" s="126" t="n"/>
      <c r="L89" s="128" t="n"/>
      <c r="M89" s="37" t="inlineStr">
        <is>
          <t>Olimpbet</t>
        </is>
      </c>
      <c r="N89" s="37" t="inlineStr">
        <is>
          <t>ед.</t>
        </is>
      </c>
      <c r="O89" s="129" t="n">
        <v>534</v>
      </c>
      <c r="P89" s="37" t="inlineStr">
        <is>
          <t>Прематч</t>
        </is>
      </c>
      <c r="Q89" s="37" t="inlineStr">
        <is>
          <t>Футбол</t>
        </is>
      </c>
      <c r="R89" s="37" t="inlineStr">
        <is>
          <t>Обе забьют</t>
        </is>
      </c>
      <c r="S89" s="37" t="inlineStr">
        <is>
          <t>Матч целиком</t>
        </is>
      </c>
      <c r="T89" s="37" t="inlineStr">
        <is>
          <t>2,50+</t>
        </is>
      </c>
      <c r="U89" s="37" t="inlineStr">
        <is>
          <t>200</t>
        </is>
      </c>
      <c r="V89" s="37" t="str"/>
      <c r="W89" s="37" t="inlineStr">
        <is>
          <t>Саудовская Аравия. Элит лига до 21 года</t>
        </is>
      </c>
    </row>
    <row r="90">
      <c r="A90" s="19" t="inlineStr">
        <is>
          <t>12.10.2026</t>
        </is>
      </c>
      <c r="B90" s="19" t="n">
        <v>460</v>
      </c>
      <c r="C90" s="19" t="inlineStr">
        <is>
          <t>16:35</t>
        </is>
      </c>
      <c r="D90" s="19" t="inlineStr">
        <is>
          <t>Ординар</t>
        </is>
      </c>
      <c r="E90" s="19" t="n">
        <v>1</v>
      </c>
      <c r="F90" s="126" t="n">
        <v>200</v>
      </c>
      <c r="G90" s="127" t="n">
        <v>1.75</v>
      </c>
      <c r="H90" s="126" t="n">
        <v>350</v>
      </c>
      <c r="I90" s="126" t="inlineStr">
        <is>
          <t>Открыт</t>
        </is>
      </c>
      <c r="J90" s="126" t="n"/>
      <c r="K90" s="126" t="n"/>
      <c r="L90" s="128" t="n"/>
      <c r="M90" s="37" t="inlineStr">
        <is>
          <t>Olimpbet</t>
        </is>
      </c>
      <c r="N90" s="37" t="inlineStr">
        <is>
          <t>ед.</t>
        </is>
      </c>
      <c r="O90" s="129" t="n">
        <v>350</v>
      </c>
      <c r="P90" s="37" t="inlineStr">
        <is>
          <t>Прематч</t>
        </is>
      </c>
      <c r="Q90" s="37" t="inlineStr">
        <is>
          <t>Хоккей</t>
        </is>
      </c>
      <c r="R90" s="37" t="inlineStr">
        <is>
          <t>Фора</t>
        </is>
      </c>
      <c r="S90" s="37" t="inlineStr">
        <is>
          <t>Матч целиком</t>
        </is>
      </c>
      <c r="T90" s="37" t="inlineStr">
        <is>
          <t>1,70-1,99</t>
        </is>
      </c>
      <c r="U90" s="37" t="inlineStr">
        <is>
          <t>200</t>
        </is>
      </c>
      <c r="V90" s="37" t="str"/>
      <c r="W90" s="37" t="inlineStr">
        <is>
          <t>Швеция. Allsvenskan</t>
        </is>
      </c>
    </row>
    <row r="91">
      <c r="A91" s="19" t="inlineStr">
        <is>
          <t>12.10.2026</t>
        </is>
      </c>
      <c r="B91" s="19" t="n">
        <v>461</v>
      </c>
      <c r="C91" s="19" t="inlineStr">
        <is>
          <t>16:35</t>
        </is>
      </c>
      <c r="D91" s="19" t="inlineStr">
        <is>
          <t>Ординар</t>
        </is>
      </c>
      <c r="E91" s="19" t="n">
        <v>1</v>
      </c>
      <c r="F91" s="126" t="n">
        <v>200</v>
      </c>
      <c r="G91" s="127" t="n">
        <v>1.65</v>
      </c>
      <c r="H91" s="126" t="n">
        <v>330</v>
      </c>
      <c r="I91" s="126" t="inlineStr">
        <is>
          <t>Открыт</t>
        </is>
      </c>
      <c r="J91" s="126" t="n"/>
      <c r="K91" s="126" t="n"/>
      <c r="L91" s="128" t="n"/>
      <c r="M91" s="37" t="inlineStr">
        <is>
          <t>Olimpbet</t>
        </is>
      </c>
      <c r="N91" s="37" t="inlineStr">
        <is>
          <t>ед.</t>
        </is>
      </c>
      <c r="O91" s="129" t="n">
        <v>330</v>
      </c>
      <c r="P91" s="37" t="inlineStr">
        <is>
          <t>Прематч</t>
        </is>
      </c>
      <c r="Q91" s="37" t="inlineStr">
        <is>
          <t>Футбол</t>
        </is>
      </c>
      <c r="R91" s="37" t="inlineStr">
        <is>
          <t>Тотал больше</t>
        </is>
      </c>
      <c r="S91" s="37" t="inlineStr">
        <is>
          <t>Матч целиком</t>
        </is>
      </c>
      <c r="T91" s="37" t="inlineStr">
        <is>
          <t>1,50-1,69</t>
        </is>
      </c>
      <c r="U91" s="37" t="inlineStr">
        <is>
          <t>200</t>
        </is>
      </c>
      <c r="V91" s="37" t="str"/>
      <c r="W91" s="37" t="inlineStr">
        <is>
          <t>Англия. Премьер-лига</t>
        </is>
      </c>
    </row>
    <row r="92">
      <c r="A92" s="19" t="inlineStr">
        <is>
          <t>12.10.2026</t>
        </is>
      </c>
      <c r="B92" s="19" t="n">
        <v>462</v>
      </c>
      <c r="C92" s="19" t="inlineStr">
        <is>
          <t>16:37</t>
        </is>
      </c>
      <c r="D92" s="19" t="inlineStr">
        <is>
          <t>Ординар</t>
        </is>
      </c>
      <c r="E92" s="19" t="n">
        <v>1</v>
      </c>
      <c r="F92" s="126" t="n">
        <v>200</v>
      </c>
      <c r="G92" s="127" t="n">
        <v>1.88</v>
      </c>
      <c r="H92" s="126" t="n">
        <v>376</v>
      </c>
      <c r="I92" s="126" t="inlineStr">
        <is>
          <t>Открыт</t>
        </is>
      </c>
      <c r="J92" s="126" t="n"/>
      <c r="K92" s="126" t="n"/>
      <c r="L92" s="128" t="n"/>
      <c r="M92" s="37" t="inlineStr">
        <is>
          <t>Olimpbet</t>
        </is>
      </c>
      <c r="N92" s="37" t="inlineStr">
        <is>
          <t>ед.</t>
        </is>
      </c>
      <c r="O92" s="129" t="n">
        <v>376</v>
      </c>
      <c r="P92" s="37" t="inlineStr">
        <is>
          <t>Прематч</t>
        </is>
      </c>
      <c r="Q92" s="37" t="inlineStr">
        <is>
          <t>Футбол</t>
        </is>
      </c>
      <c r="R92" s="37" t="inlineStr">
        <is>
          <t>Фора</t>
        </is>
      </c>
      <c r="S92" s="37" t="inlineStr">
        <is>
          <t>Матч целиком</t>
        </is>
      </c>
      <c r="T92" s="37" t="inlineStr">
        <is>
          <t>1,70-1,99</t>
        </is>
      </c>
      <c r="U92" s="37" t="inlineStr">
        <is>
          <t>200</t>
        </is>
      </c>
      <c r="V92" s="37" t="str"/>
      <c r="W92" s="37" t="inlineStr">
        <is>
          <t>Испания. Ла Лига</t>
        </is>
      </c>
    </row>
    <row r="93">
      <c r="A93" s="19" t="inlineStr">
        <is>
          <t>12.10.2026</t>
        </is>
      </c>
      <c r="B93" s="19" t="n">
        <v>463</v>
      </c>
      <c r="C93" s="19" t="inlineStr">
        <is>
          <t>16:38</t>
        </is>
      </c>
      <c r="D93" s="19" t="inlineStr">
        <is>
          <t>Ординар</t>
        </is>
      </c>
      <c r="E93" s="19" t="n">
        <v>1</v>
      </c>
      <c r="F93" s="126" t="n">
        <v>200</v>
      </c>
      <c r="G93" s="127" t="n">
        <v>1.77</v>
      </c>
      <c r="H93" s="126" t="n">
        <v>354</v>
      </c>
      <c r="I93" s="126" t="inlineStr">
        <is>
          <t>Открыт</t>
        </is>
      </c>
      <c r="J93" s="126" t="n"/>
      <c r="K93" s="126" t="n"/>
      <c r="L93" s="128" t="n"/>
      <c r="M93" s="37" t="inlineStr">
        <is>
          <t>Olimpbet</t>
        </is>
      </c>
      <c r="N93" s="37" t="inlineStr">
        <is>
          <t>ед.</t>
        </is>
      </c>
      <c r="O93" s="129" t="n">
        <v>354</v>
      </c>
      <c r="P93" s="37" t="inlineStr">
        <is>
          <t>Прематч</t>
        </is>
      </c>
      <c r="Q93" s="37" t="inlineStr">
        <is>
          <t>Футбол</t>
        </is>
      </c>
      <c r="R93" s="37" t="inlineStr">
        <is>
          <t>Фора</t>
        </is>
      </c>
      <c r="S93" s="37" t="inlineStr">
        <is>
          <t>Матч целиком</t>
        </is>
      </c>
      <c r="T93" s="37" t="inlineStr">
        <is>
          <t>1,70-1,99</t>
        </is>
      </c>
      <c r="U93" s="37" t="inlineStr">
        <is>
          <t>200</t>
        </is>
      </c>
      <c r="V93" s="37" t="str"/>
      <c r="W93" s="37" t="inlineStr">
        <is>
          <t>Румыния. Суперлига</t>
        </is>
      </c>
    </row>
    <row r="94">
      <c r="A94" s="19" t="inlineStr">
        <is>
          <t>12.10.2026</t>
        </is>
      </c>
      <c r="B94" s="19" t="n">
        <v>464</v>
      </c>
      <c r="C94" s="19" t="inlineStr">
        <is>
          <t>16:39</t>
        </is>
      </c>
      <c r="D94" s="19" t="inlineStr">
        <is>
          <t>Ординар</t>
        </is>
      </c>
      <c r="E94" s="19" t="n">
        <v>1</v>
      </c>
      <c r="F94" s="126" t="n">
        <v>200</v>
      </c>
      <c r="G94" s="127" t="n">
        <v>1.6</v>
      </c>
      <c r="H94" s="126" t="n">
        <v>320</v>
      </c>
      <c r="I94" s="126" t="inlineStr">
        <is>
          <t>Открыт</t>
        </is>
      </c>
      <c r="J94" s="126" t="n"/>
      <c r="K94" s="126" t="n"/>
      <c r="L94" s="128" t="n"/>
      <c r="M94" s="37" t="inlineStr">
        <is>
          <t>Olimpbet</t>
        </is>
      </c>
      <c r="N94" s="37" t="inlineStr">
        <is>
          <t>ед.</t>
        </is>
      </c>
      <c r="O94" s="129" t="n">
        <v>320</v>
      </c>
      <c r="P94" s="37" t="inlineStr">
        <is>
          <t>Прематч</t>
        </is>
      </c>
      <c r="Q94" s="37" t="inlineStr">
        <is>
          <t>Хоккей</t>
        </is>
      </c>
      <c r="R94" s="37" t="inlineStr">
        <is>
          <t>Тотал меньше</t>
        </is>
      </c>
      <c r="S94" s="37" t="inlineStr">
        <is>
          <t>Матч целиком</t>
        </is>
      </c>
      <c r="T94" s="37" t="inlineStr">
        <is>
          <t>1,50-1,69</t>
        </is>
      </c>
      <c r="U94" s="37" t="inlineStr">
        <is>
          <t>200</t>
        </is>
      </c>
      <c r="V94" s="37" t="str"/>
      <c r="W94" s="37" t="inlineStr">
        <is>
          <t>КХЛ. Регулярный чемпионат</t>
        </is>
      </c>
    </row>
    <row r="95">
      <c r="A95" s="19" t="inlineStr">
        <is>
          <t>12.10.2026</t>
        </is>
      </c>
      <c r="B95" s="19" t="n">
        <v>465</v>
      </c>
      <c r="C95" s="19" t="inlineStr">
        <is>
          <t>16:40</t>
        </is>
      </c>
      <c r="D95" s="19" t="inlineStr">
        <is>
          <t>Ординар</t>
        </is>
      </c>
      <c r="E95" s="19" t="n">
        <v>1</v>
      </c>
      <c r="F95" s="126" t="n">
        <v>200</v>
      </c>
      <c r="G95" s="127" t="n">
        <v>1.69</v>
      </c>
      <c r="H95" s="126" t="n">
        <v>338</v>
      </c>
      <c r="I95" s="126" t="inlineStr">
        <is>
          <t>Открыт</t>
        </is>
      </c>
      <c r="J95" s="126" t="n"/>
      <c r="K95" s="126" t="n"/>
      <c r="L95" s="128" t="n"/>
      <c r="M95" s="37" t="inlineStr">
        <is>
          <t>Olimpbet</t>
        </is>
      </c>
      <c r="N95" s="37" t="inlineStr">
        <is>
          <t>ед.</t>
        </is>
      </c>
      <c r="O95" s="129" t="n">
        <v>338</v>
      </c>
      <c r="P95" s="37" t="inlineStr">
        <is>
          <t>Прематч</t>
        </is>
      </c>
      <c r="Q95" s="37" t="inlineStr">
        <is>
          <t>Футбол</t>
        </is>
      </c>
      <c r="R95" s="37" t="inlineStr">
        <is>
          <t>Тотал меньше</t>
        </is>
      </c>
      <c r="S95" s="37" t="inlineStr">
        <is>
          <t>Матч целиком</t>
        </is>
      </c>
      <c r="T95" s="37" t="inlineStr">
        <is>
          <t>1,50-1,69</t>
        </is>
      </c>
      <c r="U95" s="37" t="inlineStr">
        <is>
          <t>200</t>
        </is>
      </c>
      <c r="V95" s="37" t="str"/>
      <c r="W95" s="37" t="inlineStr">
        <is>
          <t>Испания. Ла Лига</t>
        </is>
      </c>
    </row>
    <row r="96">
      <c r="A96" s="19" t="inlineStr">
        <is>
          <t>12.10.2026</t>
        </is>
      </c>
      <c r="B96" s="19" t="n">
        <v>466</v>
      </c>
      <c r="C96" s="19" t="inlineStr">
        <is>
          <t>16:40</t>
        </is>
      </c>
      <c r="D96" s="19" t="inlineStr">
        <is>
          <t>Ординар</t>
        </is>
      </c>
      <c r="E96" s="19" t="n">
        <v>1</v>
      </c>
      <c r="F96" s="126" t="n">
        <v>200</v>
      </c>
      <c r="G96" s="127" t="n">
        <v>1.56</v>
      </c>
      <c r="H96" s="126" t="n">
        <v>312</v>
      </c>
      <c r="I96" s="126" t="inlineStr">
        <is>
          <t>Открыт</t>
        </is>
      </c>
      <c r="J96" s="126" t="n"/>
      <c r="K96" s="126" t="n"/>
      <c r="L96" s="128" t="n"/>
      <c r="M96" s="37" t="inlineStr">
        <is>
          <t>Olimpbet</t>
        </is>
      </c>
      <c r="N96" s="37" t="inlineStr">
        <is>
          <t>ед.</t>
        </is>
      </c>
      <c r="O96" s="129" t="n">
        <v>312</v>
      </c>
      <c r="P96" s="37" t="inlineStr">
        <is>
          <t>Прематч</t>
        </is>
      </c>
      <c r="Q96" s="37" t="inlineStr">
        <is>
          <t>Хоккей</t>
        </is>
      </c>
      <c r="R96" s="37" t="inlineStr">
        <is>
          <t>Двойной шанс</t>
        </is>
      </c>
      <c r="S96" s="37" t="inlineStr">
        <is>
          <t>Матч целиком</t>
        </is>
      </c>
      <c r="T96" s="37" t="inlineStr">
        <is>
          <t>1,50-1,69</t>
        </is>
      </c>
      <c r="U96" s="37" t="inlineStr">
        <is>
          <t>200</t>
        </is>
      </c>
      <c r="V96" s="37" t="str"/>
      <c r="W96" s="37" t="inlineStr">
        <is>
          <t>КХЛ. Регулярный чемпионат</t>
        </is>
      </c>
    </row>
    <row r="97">
      <c r="A97" s="19" t="inlineStr">
        <is>
          <t>12.10.2026</t>
        </is>
      </c>
      <c r="B97" s="19" t="n">
        <v>467</v>
      </c>
      <c r="C97" s="19" t="inlineStr">
        <is>
          <t>16:42</t>
        </is>
      </c>
      <c r="D97" s="19" t="inlineStr">
        <is>
          <t>Ординар</t>
        </is>
      </c>
      <c r="E97" s="19" t="n">
        <v>1</v>
      </c>
      <c r="F97" s="126" t="n">
        <v>200</v>
      </c>
      <c r="G97" s="127" t="n">
        <v>1.62</v>
      </c>
      <c r="H97" s="126" t="n">
        <v>324</v>
      </c>
      <c r="I97" s="126" t="inlineStr">
        <is>
          <t>Открыт</t>
        </is>
      </c>
      <c r="J97" s="126" t="n"/>
      <c r="K97" s="126" t="n"/>
      <c r="L97" s="128" t="n"/>
      <c r="M97" s="37" t="inlineStr">
        <is>
          <t>Olimpbet</t>
        </is>
      </c>
      <c r="N97" s="37" t="inlineStr">
        <is>
          <t>ед.</t>
        </is>
      </c>
      <c r="O97" s="129" t="n">
        <v>324</v>
      </c>
      <c r="P97" s="37" t="inlineStr">
        <is>
          <t>Прематч</t>
        </is>
      </c>
      <c r="Q97" s="37" t="inlineStr">
        <is>
          <t>Хоккей</t>
        </is>
      </c>
      <c r="R97" s="37" t="inlineStr">
        <is>
          <t>Победа</t>
        </is>
      </c>
      <c r="S97" s="37" t="inlineStr">
        <is>
          <t>Матч целиком</t>
        </is>
      </c>
      <c r="T97" s="37" t="inlineStr">
        <is>
          <t>1,50-1,69</t>
        </is>
      </c>
      <c r="U97" s="37" t="inlineStr">
        <is>
          <t>200</t>
        </is>
      </c>
      <c r="V97" s="37" t="str"/>
      <c r="W97" s="37" t="inlineStr">
        <is>
          <t>КХЛ. Регулярный чемпионат</t>
        </is>
      </c>
    </row>
    <row r="98">
      <c r="A98" s="19" t="inlineStr">
        <is>
          <t>12.10.2026</t>
        </is>
      </c>
      <c r="B98" s="19" t="n">
        <v>468</v>
      </c>
      <c r="C98" s="19" t="inlineStr">
        <is>
          <t>16:42</t>
        </is>
      </c>
      <c r="D98" s="19" t="inlineStr">
        <is>
          <t>Ординар</t>
        </is>
      </c>
      <c r="E98" s="19" t="n">
        <v>1</v>
      </c>
      <c r="F98" s="126" t="n">
        <v>200</v>
      </c>
      <c r="G98" s="127" t="n">
        <v>1.44</v>
      </c>
      <c r="H98" s="126" t="n">
        <v>288</v>
      </c>
      <c r="I98" s="126" t="inlineStr">
        <is>
          <t>Открыт</t>
        </is>
      </c>
      <c r="J98" s="126" t="n"/>
      <c r="K98" s="126" t="n"/>
      <c r="L98" s="128" t="n"/>
      <c r="M98" s="37" t="inlineStr">
        <is>
          <t>Olimpbet</t>
        </is>
      </c>
      <c r="N98" s="37" t="inlineStr">
        <is>
          <t>ед.</t>
        </is>
      </c>
      <c r="O98" s="129" t="n">
        <v>288</v>
      </c>
      <c r="P98" s="37" t="inlineStr">
        <is>
          <t>Прематч</t>
        </is>
      </c>
      <c r="Q98" s="37" t="inlineStr">
        <is>
          <t>Теннис</t>
        </is>
      </c>
      <c r="R98" s="37" t="inlineStr">
        <is>
          <t>Фора</t>
        </is>
      </c>
      <c r="S98" s="37" t="inlineStr">
        <is>
          <t>Матч целиком</t>
        </is>
      </c>
      <c r="T98" s="37" t="inlineStr">
        <is>
          <t>до 1,50</t>
        </is>
      </c>
      <c r="U98" s="37" t="inlineStr">
        <is>
          <t>200</t>
        </is>
      </c>
      <c r="V98" s="37" t="str"/>
      <c r="W98" s="37" t="inlineStr">
        <is>
          <t>WTA 125. Лиссабон. Грунт</t>
        </is>
      </c>
    </row>
    <row r="99">
      <c r="A99" s="19" t="inlineStr">
        <is>
          <t>12.10.2026</t>
        </is>
      </c>
      <c r="B99" s="19" t="n">
        <v>469</v>
      </c>
      <c r="C99" s="19" t="inlineStr">
        <is>
          <t>16:42</t>
        </is>
      </c>
      <c r="D99" s="19" t="inlineStr">
        <is>
          <t>Ординар</t>
        </is>
      </c>
      <c r="E99" s="19" t="n">
        <v>1</v>
      </c>
      <c r="F99" s="126" t="n">
        <v>200</v>
      </c>
      <c r="G99" s="127" t="n">
        <v>1.61</v>
      </c>
      <c r="H99" s="126" t="n">
        <v>322</v>
      </c>
      <c r="I99" s="126" t="inlineStr">
        <is>
          <t>Открыт</t>
        </is>
      </c>
      <c r="J99" s="126" t="n"/>
      <c r="K99" s="126" t="n"/>
      <c r="L99" s="128" t="n"/>
      <c r="M99" s="37" t="inlineStr">
        <is>
          <t>Olimpbet</t>
        </is>
      </c>
      <c r="N99" s="37" t="inlineStr">
        <is>
          <t>ед.</t>
        </is>
      </c>
      <c r="O99" s="129" t="n">
        <v>322</v>
      </c>
      <c r="P99" s="37" t="inlineStr">
        <is>
          <t>Прематч</t>
        </is>
      </c>
      <c r="Q99" s="37" t="inlineStr">
        <is>
          <t>Хоккей</t>
        </is>
      </c>
      <c r="R99" s="37" t="inlineStr">
        <is>
          <t>Фора</t>
        </is>
      </c>
      <c r="S99" s="37" t="inlineStr">
        <is>
          <t>Матч целиком</t>
        </is>
      </c>
      <c r="T99" s="37" t="inlineStr">
        <is>
          <t>1,50-1,69</t>
        </is>
      </c>
      <c r="U99" s="37" t="inlineStr">
        <is>
          <t>200</t>
        </is>
      </c>
      <c r="V99" s="37" t="str"/>
      <c r="W99" s="37" t="inlineStr">
        <is>
          <t>КХЛ. Регулярный чемпионат</t>
        </is>
      </c>
    </row>
    <row r="100">
      <c r="A100" s="19" t="inlineStr">
        <is>
          <t>12.10.2026</t>
        </is>
      </c>
      <c r="B100" s="19" t="n">
        <v>470</v>
      </c>
      <c r="C100" s="19" t="inlineStr">
        <is>
          <t>16:43</t>
        </is>
      </c>
      <c r="D100" s="19" t="inlineStr">
        <is>
          <t>Ординар</t>
        </is>
      </c>
      <c r="E100" s="19" t="n">
        <v>1</v>
      </c>
      <c r="F100" s="126" t="n">
        <v>200</v>
      </c>
      <c r="G100" s="127" t="n">
        <v>1.52</v>
      </c>
      <c r="H100" s="126" t="n">
        <v>304</v>
      </c>
      <c r="I100" s="126" t="inlineStr">
        <is>
          <t>Открыт</t>
        </is>
      </c>
      <c r="J100" s="126" t="n"/>
      <c r="K100" s="126" t="n"/>
      <c r="L100" s="128" t="n"/>
      <c r="M100" s="37" t="inlineStr">
        <is>
          <t>Olimpbet</t>
        </is>
      </c>
      <c r="N100" s="37" t="inlineStr">
        <is>
          <t>ед.</t>
        </is>
      </c>
      <c r="O100" s="129" t="n">
        <v>304</v>
      </c>
      <c r="P100" s="37" t="inlineStr">
        <is>
          <t>Прематч</t>
        </is>
      </c>
      <c r="Q100" s="37" t="inlineStr">
        <is>
          <t>Хоккей</t>
        </is>
      </c>
      <c r="R100" s="37" t="inlineStr">
        <is>
          <t>Победа</t>
        </is>
      </c>
      <c r="S100" s="37" t="inlineStr">
        <is>
          <t>Матч целиком</t>
        </is>
      </c>
      <c r="T100" s="37" t="inlineStr">
        <is>
          <t>1,50-1,69</t>
        </is>
      </c>
      <c r="U100" s="37" t="inlineStr">
        <is>
          <t>200</t>
        </is>
      </c>
      <c r="V100" s="37" t="str"/>
      <c r="W100" s="37" t="inlineStr">
        <is>
          <t>OLIMPBET-ВХЛ. Регулярный чемпионат</t>
        </is>
      </c>
    </row>
    <row r="101">
      <c r="A101" s="19" t="inlineStr">
        <is>
          <t>12.10.2026</t>
        </is>
      </c>
      <c r="B101" s="19" t="n">
        <v>471</v>
      </c>
      <c r="C101" s="19" t="inlineStr">
        <is>
          <t>16:45</t>
        </is>
      </c>
      <c r="D101" s="19" t="inlineStr">
        <is>
          <t>Ординар</t>
        </is>
      </c>
      <c r="E101" s="19" t="n">
        <v>1</v>
      </c>
      <c r="F101" s="126" t="n">
        <v>200</v>
      </c>
      <c r="G101" s="127" t="n">
        <v>1.91</v>
      </c>
      <c r="H101" s="126" t="n">
        <v>382</v>
      </c>
      <c r="I101" s="126" t="inlineStr">
        <is>
          <t>Открыт</t>
        </is>
      </c>
      <c r="J101" s="126" t="n"/>
      <c r="K101" s="126" t="n"/>
      <c r="L101" s="128" t="n"/>
      <c r="M101" s="37" t="inlineStr">
        <is>
          <t>Olimpbet</t>
        </is>
      </c>
      <c r="N101" s="37" t="inlineStr">
        <is>
          <t>ед.</t>
        </is>
      </c>
      <c r="O101" s="129" t="n">
        <v>382</v>
      </c>
      <c r="P101" s="37" t="inlineStr">
        <is>
          <t>Прематч</t>
        </is>
      </c>
      <c r="Q101" s="37" t="inlineStr">
        <is>
          <t>Футбол</t>
        </is>
      </c>
      <c r="R101" s="37" t="inlineStr">
        <is>
          <t>Победа</t>
        </is>
      </c>
      <c r="S101" s="37" t="inlineStr">
        <is>
          <t>Матч целиком</t>
        </is>
      </c>
      <c r="T101" s="37" t="inlineStr">
        <is>
          <t>1,70-1,99</t>
        </is>
      </c>
      <c r="U101" s="37" t="inlineStr">
        <is>
          <t>200</t>
        </is>
      </c>
      <c r="V101" s="37" t="str"/>
      <c r="W101" s="37" t="inlineStr">
        <is>
          <t>Португалия. Примейра-лига</t>
        </is>
      </c>
    </row>
    <row r="102">
      <c r="A102" s="19" t="inlineStr">
        <is>
          <t>12.10.2026</t>
        </is>
      </c>
      <c r="B102" s="19" t="n">
        <v>472</v>
      </c>
      <c r="C102" s="19" t="inlineStr">
        <is>
          <t>16:45</t>
        </is>
      </c>
      <c r="D102" s="19" t="inlineStr">
        <is>
          <t>Ординар</t>
        </is>
      </c>
      <c r="E102" s="19" t="n">
        <v>1</v>
      </c>
      <c r="F102" s="126" t="n">
        <v>200</v>
      </c>
      <c r="G102" s="127" t="n">
        <v>1.41</v>
      </c>
      <c r="H102" s="126" t="n">
        <v>282</v>
      </c>
      <c r="I102" s="126" t="inlineStr">
        <is>
          <t>Открыт</t>
        </is>
      </c>
      <c r="J102" s="126" t="n"/>
      <c r="K102" s="126" t="n"/>
      <c r="L102" s="128" t="n"/>
      <c r="M102" s="37" t="inlineStr">
        <is>
          <t>Olimpbet</t>
        </is>
      </c>
      <c r="N102" s="37" t="inlineStr">
        <is>
          <t>ед.</t>
        </is>
      </c>
      <c r="O102" s="129" t="n">
        <v>282</v>
      </c>
      <c r="P102" s="37" t="inlineStr">
        <is>
          <t>Прематч</t>
        </is>
      </c>
      <c r="Q102" s="37" t="inlineStr">
        <is>
          <t>Хоккей</t>
        </is>
      </c>
      <c r="R102" s="37" t="inlineStr">
        <is>
          <t>Победа</t>
        </is>
      </c>
      <c r="S102" s="37" t="inlineStr">
        <is>
          <t>Матч целиком</t>
        </is>
      </c>
      <c r="T102" s="37" t="inlineStr">
        <is>
          <t>до 1,50</t>
        </is>
      </c>
      <c r="U102" s="37" t="inlineStr">
        <is>
          <t>200</t>
        </is>
      </c>
      <c r="V102" s="37" t="str"/>
      <c r="W102" s="37" t="inlineStr">
        <is>
          <t>Казахстан. Про Лига</t>
        </is>
      </c>
    </row>
    <row r="103">
      <c r="A103" s="19" t="inlineStr">
        <is>
          <t>12.10.2026</t>
        </is>
      </c>
      <c r="B103" s="19" t="n">
        <v>473</v>
      </c>
      <c r="C103" s="19" t="inlineStr">
        <is>
          <t>16:46</t>
        </is>
      </c>
      <c r="D103" s="19" t="inlineStr">
        <is>
          <t>Ординар</t>
        </is>
      </c>
      <c r="E103" s="19" t="n">
        <v>1</v>
      </c>
      <c r="F103" s="126" t="n">
        <v>200</v>
      </c>
      <c r="G103" s="127" t="n">
        <v>1.5</v>
      </c>
      <c r="H103" s="126" t="n">
        <v>300</v>
      </c>
      <c r="I103" s="126" t="inlineStr">
        <is>
          <t>Открыт</t>
        </is>
      </c>
      <c r="J103" s="126" t="n"/>
      <c r="K103" s="126" t="n"/>
      <c r="L103" s="128" t="n"/>
      <c r="M103" s="37" t="inlineStr">
        <is>
          <t>Olimpbet</t>
        </is>
      </c>
      <c r="N103" s="37" t="inlineStr">
        <is>
          <t>ед.</t>
        </is>
      </c>
      <c r="O103" s="129" t="n">
        <v>300</v>
      </c>
      <c r="P103" s="37" t="inlineStr">
        <is>
          <t>Прематч</t>
        </is>
      </c>
      <c r="Q103" s="37" t="inlineStr">
        <is>
          <t>Хоккей</t>
        </is>
      </c>
      <c r="R103" s="37" t="inlineStr">
        <is>
          <t>Победа</t>
        </is>
      </c>
      <c r="S103" s="37" t="inlineStr">
        <is>
          <t>Матч целиком</t>
        </is>
      </c>
      <c r="T103" s="37" t="inlineStr">
        <is>
          <t>1,50-1,69</t>
        </is>
      </c>
      <c r="U103" s="37" t="inlineStr">
        <is>
          <t>200</t>
        </is>
      </c>
      <c r="V103" s="37" t="str"/>
      <c r="W103" s="37" t="inlineStr">
        <is>
          <t>Беларусь. Экстралига</t>
        </is>
      </c>
    </row>
    <row r="104">
      <c r="A104" s="19" t="inlineStr">
        <is>
          <t>12.10.2026</t>
        </is>
      </c>
      <c r="B104" s="19" t="n">
        <v>474</v>
      </c>
      <c r="C104" s="19" t="inlineStr">
        <is>
          <t>16:46</t>
        </is>
      </c>
      <c r="D104" s="19" t="inlineStr">
        <is>
          <t>Ординар</t>
        </is>
      </c>
      <c r="E104" s="19" t="n">
        <v>1</v>
      </c>
      <c r="F104" s="126" t="n">
        <v>200</v>
      </c>
      <c r="G104" s="127" t="n">
        <v>1.51</v>
      </c>
      <c r="H104" s="126" t="n">
        <v>302</v>
      </c>
      <c r="I104" s="126" t="inlineStr">
        <is>
          <t>Открыт</t>
        </is>
      </c>
      <c r="J104" s="126" t="n"/>
      <c r="K104" s="126" t="n"/>
      <c r="L104" s="128" t="n"/>
      <c r="M104" s="37" t="inlineStr">
        <is>
          <t>Olimpbet</t>
        </is>
      </c>
      <c r="N104" s="37" t="inlineStr">
        <is>
          <t>ед.</t>
        </is>
      </c>
      <c r="O104" s="129" t="n">
        <v>302</v>
      </c>
      <c r="P104" s="37" t="inlineStr">
        <is>
          <t>Прематч</t>
        </is>
      </c>
      <c r="Q104" s="37" t="inlineStr">
        <is>
          <t>Теннис</t>
        </is>
      </c>
      <c r="R104" s="37" t="inlineStr">
        <is>
          <t>Победа</t>
        </is>
      </c>
      <c r="S104" s="37" t="inlineStr">
        <is>
          <t>Матч целиком</t>
        </is>
      </c>
      <c r="T104" s="37" t="inlineStr">
        <is>
          <t>1,50-1,69</t>
        </is>
      </c>
      <c r="U104" s="37" t="inlineStr">
        <is>
          <t>200</t>
        </is>
      </c>
      <c r="V104" s="37" t="str"/>
      <c r="W104" s="37" t="inlineStr">
        <is>
          <t>WTA 125. Роверето. Хард</t>
        </is>
      </c>
    </row>
    <row r="105">
      <c r="A105" s="19" t="inlineStr">
        <is>
          <t>12.10.2026</t>
        </is>
      </c>
      <c r="B105" s="19" t="n">
        <v>475</v>
      </c>
      <c r="C105" s="19" t="inlineStr">
        <is>
          <t>16:49</t>
        </is>
      </c>
      <c r="D105" s="19" t="inlineStr">
        <is>
          <t>Ординар</t>
        </is>
      </c>
      <c r="E105" s="19" t="n">
        <v>1</v>
      </c>
      <c r="F105" s="126" t="n">
        <v>200</v>
      </c>
      <c r="G105" s="127" t="n">
        <v>2.07</v>
      </c>
      <c r="H105" s="126" t="n">
        <v>414</v>
      </c>
      <c r="I105" s="126" t="inlineStr">
        <is>
          <t>Открыт</t>
        </is>
      </c>
      <c r="J105" s="126" t="n"/>
      <c r="K105" s="126" t="n"/>
      <c r="L105" s="128" t="n"/>
      <c r="M105" s="37" t="inlineStr">
        <is>
          <t>Olimpbet</t>
        </is>
      </c>
      <c r="N105" s="37" t="inlineStr">
        <is>
          <t>ед.</t>
        </is>
      </c>
      <c r="O105" s="129" t="n">
        <v>413.9999999999999</v>
      </c>
      <c r="P105" s="37" t="inlineStr">
        <is>
          <t>Live</t>
        </is>
      </c>
      <c r="Q105" s="37" t="inlineStr">
        <is>
          <t>Футбол</t>
        </is>
      </c>
      <c r="R105" s="37" t="inlineStr">
        <is>
          <t>Тотал больше</t>
        </is>
      </c>
      <c r="S105" s="37" t="inlineStr">
        <is>
          <t>Матч целиком</t>
        </is>
      </c>
      <c r="T105" s="37" t="inlineStr">
        <is>
          <t>2,00-2,49</t>
        </is>
      </c>
      <c r="U105" s="37" t="inlineStr">
        <is>
          <t>200</t>
        </is>
      </c>
      <c r="V105" s="37" t="str"/>
      <c r="W105" s="37" t="inlineStr">
        <is>
          <t>Италия. Примавера 1 до 20 лет</t>
        </is>
      </c>
    </row>
    <row r="106">
      <c r="A106" s="19" t="inlineStr">
        <is>
          <t>12.10.2026</t>
        </is>
      </c>
      <c r="B106" s="19" t="n">
        <v>476</v>
      </c>
      <c r="C106" s="19" t="inlineStr">
        <is>
          <t>16:55</t>
        </is>
      </c>
      <c r="D106" s="19" t="inlineStr">
        <is>
          <t>Ординар</t>
        </is>
      </c>
      <c r="E106" s="19" t="n">
        <v>1</v>
      </c>
      <c r="F106" s="126" t="n">
        <v>200</v>
      </c>
      <c r="G106" s="127" t="n">
        <v>2.37</v>
      </c>
      <c r="H106" s="126" t="n">
        <v>474</v>
      </c>
      <c r="I106" s="126" t="inlineStr">
        <is>
          <t>Открыт</t>
        </is>
      </c>
      <c r="J106" s="126" t="n"/>
      <c r="K106" s="126" t="n"/>
      <c r="L106" s="128" t="n"/>
      <c r="M106" s="37" t="inlineStr">
        <is>
          <t>Olimpbet</t>
        </is>
      </c>
      <c r="N106" s="37" t="inlineStr">
        <is>
          <t>ед.</t>
        </is>
      </c>
      <c r="O106" s="129" t="n">
        <v>474</v>
      </c>
      <c r="P106" s="37" t="inlineStr">
        <is>
          <t>Live</t>
        </is>
      </c>
      <c r="Q106" s="37" t="inlineStr">
        <is>
          <t>Футбол</t>
        </is>
      </c>
      <c r="R106" s="37" t="inlineStr">
        <is>
          <t>Тотал больше</t>
        </is>
      </c>
      <c r="S106" s="37" t="inlineStr">
        <is>
          <t>Матч целиком</t>
        </is>
      </c>
      <c r="T106" s="37" t="inlineStr">
        <is>
          <t>2,00-2,49</t>
        </is>
      </c>
      <c r="U106" s="37" t="inlineStr">
        <is>
          <t>200</t>
        </is>
      </c>
      <c r="V106" s="37" t="str"/>
      <c r="W106" s="37" t="inlineStr">
        <is>
          <t>Мозамбик. Мокамбола</t>
        </is>
      </c>
    </row>
    <row r="107">
      <c r="A107" s="19" t="inlineStr">
        <is>
          <t>12.10.2026</t>
        </is>
      </c>
      <c r="B107" s="19" t="n">
        <v>477</v>
      </c>
      <c r="C107" s="19" t="inlineStr">
        <is>
          <t>16:56</t>
        </is>
      </c>
      <c r="D107" s="19" t="inlineStr">
        <is>
          <t>Ординар</t>
        </is>
      </c>
      <c r="E107" s="19" t="n">
        <v>1</v>
      </c>
      <c r="F107" s="126" t="n">
        <v>200</v>
      </c>
      <c r="G107" s="127" t="n">
        <v>2.85</v>
      </c>
      <c r="H107" s="126" t="n">
        <v>570</v>
      </c>
      <c r="I107" s="126" t="inlineStr">
        <is>
          <t>Открыт</t>
        </is>
      </c>
      <c r="J107" s="126" t="n"/>
      <c r="K107" s="126" t="n"/>
      <c r="L107" s="128" t="n"/>
      <c r="M107" s="37" t="inlineStr">
        <is>
          <t>Olimpbet</t>
        </is>
      </c>
      <c r="N107" s="37" t="inlineStr">
        <is>
          <t>ед.</t>
        </is>
      </c>
      <c r="O107" s="129" t="n">
        <v>570</v>
      </c>
      <c r="P107" s="37" t="inlineStr">
        <is>
          <t>Live</t>
        </is>
      </c>
      <c r="Q107" s="37" t="inlineStr">
        <is>
          <t>Футбол</t>
        </is>
      </c>
      <c r="R107" s="37" t="inlineStr">
        <is>
          <t>Тотал больше</t>
        </is>
      </c>
      <c r="S107" s="37" t="inlineStr">
        <is>
          <t>Матч целиком</t>
        </is>
      </c>
      <c r="T107" s="37" t="inlineStr">
        <is>
          <t>2,50+</t>
        </is>
      </c>
      <c r="U107" s="37" t="inlineStr">
        <is>
          <t>200</t>
        </is>
      </c>
      <c r="V107" s="37" t="str"/>
      <c r="W107" s="37" t="inlineStr">
        <is>
          <t>Египет. Премьер-лига</t>
        </is>
      </c>
    </row>
    <row r="108">
      <c r="A108" s="19" t="inlineStr">
        <is>
          <t>12.10.2026</t>
        </is>
      </c>
      <c r="B108" s="19" t="n">
        <v>478</v>
      </c>
      <c r="C108" s="19" t="inlineStr">
        <is>
          <t>17:03</t>
        </is>
      </c>
      <c r="D108" s="19" t="inlineStr">
        <is>
          <t>Экспресс</t>
        </is>
      </c>
      <c r="E108" s="19" t="n">
        <v>2</v>
      </c>
      <c r="F108" s="126" t="n">
        <v>200</v>
      </c>
      <c r="G108" s="127" t="n">
        <v>1.84</v>
      </c>
      <c r="H108" s="126" t="n">
        <v>368</v>
      </c>
      <c r="I108" s="126" t="inlineStr">
        <is>
          <t>Открыт</t>
        </is>
      </c>
      <c r="J108" s="126" t="n"/>
      <c r="K108" s="126" t="n"/>
      <c r="L108" s="128" t="n"/>
      <c r="M108" s="37" t="inlineStr">
        <is>
          <t>Olimpbet</t>
        </is>
      </c>
      <c r="N108" s="37" t="inlineStr">
        <is>
          <t>ед.</t>
        </is>
      </c>
      <c r="O108" s="129" t="n">
        <v>368</v>
      </c>
      <c r="P108" s="37" t="inlineStr">
        <is>
          <t>Прематч</t>
        </is>
      </c>
      <c r="Q108" s="37" t="inlineStr">
        <is>
          <t>Футбол</t>
        </is>
      </c>
      <c r="R108" s="37" t="inlineStr">
        <is>
          <t>Экспресс</t>
        </is>
      </c>
      <c r="S108" s="37" t="inlineStr">
        <is>
          <t>Экспресс / смешанный</t>
        </is>
      </c>
      <c r="T108" s="37" t="inlineStr">
        <is>
          <t>1,70-1,99</t>
        </is>
      </c>
      <c r="U108" s="37" t="inlineStr">
        <is>
          <t>200</t>
        </is>
      </c>
      <c r="V108" s="37" t="str"/>
      <c r="W108" s="37" t="inlineStr">
        <is>
          <t>Несколько турниров</t>
        </is>
      </c>
    </row>
    <row r="109">
      <c r="A109" s="19" t="inlineStr">
        <is>
          <t>12.10.2026</t>
        </is>
      </c>
      <c r="B109" s="19" t="n">
        <v>479</v>
      </c>
      <c r="C109" s="19" t="inlineStr">
        <is>
          <t>17:11</t>
        </is>
      </c>
      <c r="D109" s="19" t="inlineStr">
        <is>
          <t>Ординар</t>
        </is>
      </c>
      <c r="E109" s="19" t="n">
        <v>1</v>
      </c>
      <c r="F109" s="126" t="n">
        <v>200</v>
      </c>
      <c r="G109" s="127" t="n">
        <v>1.66</v>
      </c>
      <c r="H109" s="126" t="n">
        <v>332</v>
      </c>
      <c r="I109" s="126" t="inlineStr">
        <is>
          <t>Открыт</t>
        </is>
      </c>
      <c r="J109" s="126" t="n"/>
      <c r="K109" s="126" t="n"/>
      <c r="L109" s="128" t="n"/>
      <c r="M109" s="37" t="inlineStr">
        <is>
          <t>Olimpbet</t>
        </is>
      </c>
      <c r="N109" s="37" t="inlineStr">
        <is>
          <t>ед.</t>
        </is>
      </c>
      <c r="O109" s="129" t="n">
        <v>332</v>
      </c>
      <c r="P109" s="37" t="n"/>
      <c r="Q109" s="37" t="n"/>
      <c r="R109" s="37" t="n"/>
      <c r="S109" s="37" t="n"/>
      <c r="T109" s="37" t="n"/>
      <c r="U109" s="37" t="n"/>
      <c r="V109" s="37" t="n"/>
      <c r="W109" s="37" t="n"/>
    </row>
  </sheetData>
  <conditionalFormatting sqref="I6:I63">
    <cfRule type="containsText" priority="1" operator="containsText" dxfId="0" text="Выигрыш"/>
    <cfRule type="containsText" priority="2" operator="containsText" dxfId="1" text="Проигрыш"/>
    <cfRule type="containsText" priority="3" operator="containsText" dxfId="2" text="Возврат"/>
    <cfRule type="containsText" priority="4" operator="containsText" dxfId="2" text="Продано"/>
  </conditionalFormatting>
  <conditionalFormatting sqref="K6:K63">
    <cfRule type="cellIs" priority="5" operator="lessThan" dxfId="4">
      <formula>0</formula>
    </cfRule>
    <cfRule type="cellIs" priority="6" operator="greaterThan" dxfId="5">
      <formula>0</formula>
    </cfRule>
  </conditionalFormatting>
  <dataValidations count="5">
    <dataValidation sqref="I6:I1000" showDropDown="0" showInputMessage="0" showErrorMessage="0" allowBlank="0" type="list">
      <formula1>"Открыт,Выигрыш,Проигрыш,Возврат,Продано"</formula1>
    </dataValidation>
    <dataValidation sqref="D6:D1000" showDropDown="0" showInputMessage="0" showErrorMessage="0" allowBlank="0" type="list">
      <formula1>"Ординар,Экспресс"</formula1>
    </dataValidation>
    <dataValidation sqref="P6:P72" showDropDown="0" showInputMessage="0" showErrorMessage="0" allowBlank="0" type="list">
      <formula1>"Live,Прематч"</formula1>
    </dataValidation>
    <dataValidation sqref="P109:P1000" showDropDown="0" showInputMessage="0" showErrorMessage="0" allowBlank="0" type="list">
      <formula1>"Live,Прематч"</formula1>
    </dataValidation>
    <dataValidation sqref="P73:P108" showDropDown="0" showInputMessage="0" showErrorMessage="0" allowBlank="0" type="list">
      <formula1>"Live,Прематч"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5"/>
  <sheetViews>
    <sheetView showGridLines="0" workbookViewId="0">
      <pane xSplit="2" ySplit="5" topLeftCell="C6" activePane="bottomRight" state="frozen"/>
      <selection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32" customWidth="1" min="4" max="4"/>
    <col width="38" customWidth="1" min="5" max="5"/>
    <col width="32" customWidth="1" min="6" max="6"/>
    <col width="13" customWidth="1" min="7" max="7"/>
    <col width="15" customWidth="1" min="8" max="8"/>
    <col width="22" customWidth="1" min="9" max="9"/>
    <col width="12" customWidth="1" min="10" max="10"/>
  </cols>
  <sheetData>
    <row r="1">
      <c r="A1" s="2" t="inlineStr">
        <is>
          <t>Наполнение купонов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9" t="inlineStr">
        <is>
          <t>Каждый исход связан с реестром по № купона. Для экспрессов используется несколько строк.</t>
        </is>
      </c>
      <c r="B2" s="69" t="n"/>
      <c r="C2" s="69" t="n"/>
      <c r="D2" s="69" t="n"/>
      <c r="E2" s="69" t="n"/>
      <c r="F2" s="69" t="n"/>
      <c r="G2" s="69" t="n"/>
      <c r="H2" s="69" t="n"/>
      <c r="I2" s="69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29" t="inlineStr">
        <is>
          <t>№ купона</t>
        </is>
      </c>
      <c r="B5" s="29" t="inlineStr">
        <is>
          <t>№ исхода</t>
        </is>
      </c>
      <c r="C5" s="29" t="inlineStr">
        <is>
          <t>Вид спорта</t>
        </is>
      </c>
      <c r="D5" s="29" t="inlineStr">
        <is>
          <t>Турнир</t>
        </is>
      </c>
      <c r="E5" s="29" t="inlineStr">
        <is>
          <t>Событие</t>
        </is>
      </c>
      <c r="F5" s="29" t="inlineStr">
        <is>
          <t>Исход</t>
        </is>
      </c>
      <c r="G5" s="29" t="inlineStr">
        <is>
          <t>Коэффициент</t>
        </is>
      </c>
      <c r="H5" s="29" t="inlineStr">
        <is>
          <t>Статус исхода</t>
        </is>
      </c>
      <c r="I5" s="29" t="inlineStr">
        <is>
          <t>Счёт / примечание</t>
        </is>
      </c>
      <c r="J5" s="29" t="inlineStr">
        <is>
          <t>Режим</t>
        </is>
      </c>
    </row>
    <row r="6" ht="15" customHeight="1">
      <c r="A6" s="34" t="n">
        <v>350</v>
      </c>
      <c r="B6" s="34" t="n">
        <v>1</v>
      </c>
      <c r="C6" s="35" t="inlineStr">
        <is>
          <t>Хоккей</t>
        </is>
      </c>
      <c r="D6" s="35" t="inlineStr">
        <is>
          <t>КХЛ. Регулярный чемпионат</t>
        </is>
      </c>
      <c r="E6" s="35" t="inlineStr">
        <is>
          <t>Салават Юлаев - Нефтехимик</t>
        </is>
      </c>
      <c r="F6" s="35" t="inlineStr">
        <is>
          <t>ТБ 5</t>
        </is>
      </c>
      <c r="G6" s="130" t="n">
        <v>1.77</v>
      </c>
      <c r="H6" s="35" t="inlineStr">
        <is>
          <t>Открыт</t>
        </is>
      </c>
      <c r="I6" s="35" t="inlineStr">
        <is>
          <t>Событие 12.10.2026</t>
        </is>
      </c>
      <c r="J6" s="35" t="inlineStr">
        <is>
          <t>Прематч</t>
        </is>
      </c>
    </row>
    <row r="7" ht="15" customHeight="1">
      <c r="A7" s="34" t="n">
        <v>377</v>
      </c>
      <c r="B7" s="34" t="n">
        <v>1</v>
      </c>
      <c r="C7" s="35" t="inlineStr">
        <is>
          <t>Футбол</t>
        </is>
      </c>
      <c r="D7" s="35" t="inlineStr">
        <is>
          <t>Нидерланды. Эредивизи</t>
        </is>
      </c>
      <c r="E7" s="35" t="inlineStr">
        <is>
          <t>Телстар - Ден Хааг</t>
        </is>
      </c>
      <c r="F7" s="35" t="inlineStr">
        <is>
          <t>ТМ 4,5</t>
        </is>
      </c>
      <c r="G7" s="130" t="n">
        <v>1.2</v>
      </c>
      <c r="H7" s="35" t="inlineStr">
        <is>
          <t>Выигрыш</t>
        </is>
      </c>
      <c r="I7" s="35" t="str"/>
      <c r="J7" s="35" t="inlineStr">
        <is>
          <t>Прематч</t>
        </is>
      </c>
    </row>
    <row r="8" ht="15" customHeight="1">
      <c r="A8" s="34" t="n">
        <v>377</v>
      </c>
      <c r="B8" s="34" t="n">
        <v>2</v>
      </c>
      <c r="C8" s="35" t="inlineStr">
        <is>
          <t>Футбол</t>
        </is>
      </c>
      <c r="D8" s="35" t="inlineStr">
        <is>
          <t>Италия. Серия B</t>
        </is>
      </c>
      <c r="E8" s="35" t="inlineStr">
        <is>
          <t>Катанзаро - Мантова</t>
        </is>
      </c>
      <c r="F8" s="35" t="inlineStr">
        <is>
          <t>ТБ 1,5</t>
        </is>
      </c>
      <c r="G8" s="130" t="n">
        <v>1.24</v>
      </c>
      <c r="H8" s="35" t="inlineStr">
        <is>
          <t>Выигрыш</t>
        </is>
      </c>
      <c r="I8" s="35" t="str"/>
      <c r="J8" s="35" t="inlineStr">
        <is>
          <t>Прематч</t>
        </is>
      </c>
    </row>
    <row r="9" ht="15" customHeight="1">
      <c r="A9" s="34" t="n">
        <v>377</v>
      </c>
      <c r="B9" s="34" t="n">
        <v>3</v>
      </c>
      <c r="C9" s="35" t="inlineStr">
        <is>
          <t>Футбол</t>
        </is>
      </c>
      <c r="D9" s="35" t="inlineStr">
        <is>
          <t>Германия. Бундеслига</t>
        </is>
      </c>
      <c r="E9" s="35" t="inlineStr">
        <is>
          <t>Фрайбург - Шальке 04</t>
        </is>
      </c>
      <c r="F9" s="35" t="inlineStr">
        <is>
          <t>ТБ 2</t>
        </is>
      </c>
      <c r="G9" s="130" t="n">
        <v>1.27</v>
      </c>
      <c r="H9" s="35" t="inlineStr">
        <is>
          <t>Выигрыш</t>
        </is>
      </c>
      <c r="I9" s="35" t="str"/>
      <c r="J9" s="35" t="inlineStr">
        <is>
          <t>Прематч</t>
        </is>
      </c>
    </row>
    <row r="10" ht="15" customHeight="1">
      <c r="A10" s="34" t="n">
        <v>378</v>
      </c>
      <c r="B10" s="34" t="n">
        <v>1</v>
      </c>
      <c r="C10" s="35" t="inlineStr">
        <is>
          <t>Футбол</t>
        </is>
      </c>
      <c r="D10" s="35" t="inlineStr">
        <is>
          <t>Россия. Премьер-лига</t>
        </is>
      </c>
      <c r="E10" s="35" t="inlineStr">
        <is>
          <t>ЦСКА Москва - Родина</t>
        </is>
      </c>
      <c r="F10" s="35" t="inlineStr">
        <is>
          <t>ЦСКА (-1)</t>
        </is>
      </c>
      <c r="G10" s="130" t="n">
        <v>1.6</v>
      </c>
      <c r="H10" s="35" t="inlineStr">
        <is>
          <t>Выигрыш</t>
        </is>
      </c>
      <c r="I10" s="35" t="str"/>
      <c r="J10" s="35" t="inlineStr">
        <is>
          <t>Прематч</t>
        </is>
      </c>
    </row>
    <row r="11" ht="15" customHeight="1">
      <c r="A11" s="34" t="n">
        <v>378</v>
      </c>
      <c r="B11" s="34" t="n">
        <v>2</v>
      </c>
      <c r="C11" s="35" t="inlineStr">
        <is>
          <t>Футбол</t>
        </is>
      </c>
      <c r="D11" s="35" t="inlineStr">
        <is>
          <t>Англия. Премьер-лига</t>
        </is>
      </c>
      <c r="E11" s="35" t="inlineStr">
        <is>
          <t>Ливерпуль - Манчестер Сити</t>
        </is>
      </c>
      <c r="F11" s="35" t="inlineStr">
        <is>
          <t>X2</t>
        </is>
      </c>
      <c r="G11" s="130" t="n">
        <v>1.41</v>
      </c>
      <c r="H11" s="35" t="inlineStr">
        <is>
          <t>Выигрыш</t>
        </is>
      </c>
      <c r="I11" s="35" t="str"/>
      <c r="J11" s="35" t="inlineStr">
        <is>
          <t>Прематч</t>
        </is>
      </c>
    </row>
    <row r="12" ht="15" customHeight="1">
      <c r="A12" s="34" t="n">
        <v>378</v>
      </c>
      <c r="B12" s="34" t="n">
        <v>3</v>
      </c>
      <c r="C12" s="35" t="inlineStr">
        <is>
          <t>Футбол</t>
        </is>
      </c>
      <c r="D12" s="35" t="inlineStr">
        <is>
          <t>Италия. Серия A</t>
        </is>
      </c>
      <c r="E12" s="35" t="inlineStr">
        <is>
          <t>Сассуоло - Милан</t>
        </is>
      </c>
      <c r="F12" s="35" t="inlineStr">
        <is>
          <t>Обе забьют - да</t>
        </is>
      </c>
      <c r="G12" s="130" t="n">
        <v>1.66</v>
      </c>
      <c r="H12" s="35" t="inlineStr">
        <is>
          <t>Выигрыш</t>
        </is>
      </c>
      <c r="I12" s="35" t="str"/>
      <c r="J12" s="35" t="inlineStr">
        <is>
          <t>Прематч</t>
        </is>
      </c>
    </row>
    <row r="13" ht="30" customHeight="1">
      <c r="A13" s="34" t="n">
        <v>379</v>
      </c>
      <c r="B13" s="34" t="n">
        <v>1</v>
      </c>
      <c r="C13" s="35" t="inlineStr">
        <is>
          <t>Футбол</t>
        </is>
      </c>
      <c r="D13" s="35" t="inlineStr">
        <is>
          <t>Бразилия. Серия A</t>
        </is>
      </c>
      <c r="E13" s="35" t="inlineStr">
        <is>
          <t>Фламенго - Флуминенсе</t>
        </is>
      </c>
      <c r="F13" s="35" t="inlineStr">
        <is>
          <t>Флуминенсе (+1,25)</t>
        </is>
      </c>
      <c r="G13" s="130" t="n">
        <v>1.73</v>
      </c>
      <c r="H13" s="35" t="inlineStr">
        <is>
          <t>Выигрыш</t>
        </is>
      </c>
      <c r="I13" s="35" t="inlineStr">
        <is>
          <t>1:0 (0:0); выплата 137</t>
        </is>
      </c>
      <c r="J13" s="35" t="inlineStr">
        <is>
          <t>Прематч</t>
        </is>
      </c>
    </row>
    <row r="14" ht="15" customHeight="1">
      <c r="A14" s="34" t="n">
        <v>380</v>
      </c>
      <c r="B14" s="34" t="n">
        <v>1</v>
      </c>
      <c r="C14" s="35" t="inlineStr">
        <is>
          <t>Футбол</t>
        </is>
      </c>
      <c r="D14" s="35" t="inlineStr">
        <is>
          <t>Бразилия. Серия A</t>
        </is>
      </c>
      <c r="E14" s="35" t="inlineStr">
        <is>
          <t>Фламенго - Флуминенсе</t>
        </is>
      </c>
      <c r="F14" s="35" t="inlineStr">
        <is>
          <t>Обе забьют - да</t>
        </is>
      </c>
      <c r="G14" s="130" t="n">
        <v>1.97</v>
      </c>
      <c r="H14" s="35" t="inlineStr">
        <is>
          <t>Проигрыш</t>
        </is>
      </c>
      <c r="I14" s="35" t="inlineStr">
        <is>
          <t>1:0 (0:0)</t>
        </is>
      </c>
      <c r="J14" s="35" t="inlineStr">
        <is>
          <t>Прематч</t>
        </is>
      </c>
    </row>
    <row r="15" ht="15" customHeight="1">
      <c r="A15" s="34" t="n">
        <v>381</v>
      </c>
      <c r="B15" s="34" t="n">
        <v>1</v>
      </c>
      <c r="C15" s="35" t="inlineStr">
        <is>
          <t>Футбол</t>
        </is>
      </c>
      <c r="D15" s="35" t="inlineStr">
        <is>
          <t>Англия. Чемпионшип</t>
        </is>
      </c>
      <c r="E15" s="35" t="inlineStr">
        <is>
          <t>Саутгемптон - Портсмут</t>
        </is>
      </c>
      <c r="F15" s="35" t="inlineStr">
        <is>
          <t>ТБ 3</t>
        </is>
      </c>
      <c r="G15" s="130" t="n">
        <v>1.91</v>
      </c>
      <c r="H15" s="35" t="inlineStr">
        <is>
          <t>Проигрыш</t>
        </is>
      </c>
      <c r="I15" s="35" t="inlineStr">
        <is>
          <t>1:0 (1:0)</t>
        </is>
      </c>
      <c r="J15" s="35" t="inlineStr">
        <is>
          <t>Прематч</t>
        </is>
      </c>
    </row>
    <row r="16" ht="15" customHeight="1">
      <c r="A16" s="34" t="n">
        <v>382</v>
      </c>
      <c r="B16" s="34" t="n">
        <v>1</v>
      </c>
      <c r="C16" s="35" t="inlineStr">
        <is>
          <t>Футбол</t>
        </is>
      </c>
      <c r="D16" s="35" t="inlineStr">
        <is>
          <t>Англия. Чемпионшип</t>
        </is>
      </c>
      <c r="E16" s="35" t="inlineStr">
        <is>
          <t>Саутгемптон - Портсмут</t>
        </is>
      </c>
      <c r="F16" s="35" t="inlineStr">
        <is>
          <t>П1</t>
        </is>
      </c>
      <c r="G16" s="130" t="n">
        <v>1.56</v>
      </c>
      <c r="H16" s="35" t="inlineStr">
        <is>
          <t>Выигрыш</t>
        </is>
      </c>
      <c r="I16" s="35" t="inlineStr">
        <is>
          <t>1:0 (1:0)</t>
        </is>
      </c>
      <c r="J16" s="35" t="inlineStr">
        <is>
          <t>Прематч</t>
        </is>
      </c>
    </row>
    <row r="17" ht="15" customHeight="1">
      <c r="A17" s="34" t="n">
        <v>383</v>
      </c>
      <c r="B17" s="34" t="n">
        <v>1</v>
      </c>
      <c r="C17" s="35" t="inlineStr">
        <is>
          <t>Футбол</t>
        </is>
      </c>
      <c r="D17" s="35" t="inlineStr">
        <is>
          <t>Россия. Премьер-лига</t>
        </is>
      </c>
      <c r="E17" s="35" t="inlineStr">
        <is>
          <t>Ахмат - Балтика</t>
        </is>
      </c>
      <c r="F17" s="35" t="inlineStr">
        <is>
          <t>Обе забьют - да</t>
        </is>
      </c>
      <c r="G17" s="130" t="n">
        <v>2.07</v>
      </c>
      <c r="H17" s="35" t="inlineStr">
        <is>
          <t>Проигрыш</t>
        </is>
      </c>
      <c r="I17" s="35" t="inlineStr">
        <is>
          <t>0:0 (0:0)</t>
        </is>
      </c>
      <c r="J17" s="35" t="inlineStr">
        <is>
          <t>Прематч</t>
        </is>
      </c>
    </row>
    <row r="18" ht="15" customHeight="1">
      <c r="A18" s="34" t="n">
        <v>384</v>
      </c>
      <c r="B18" s="34" t="n">
        <v>1</v>
      </c>
      <c r="C18" s="35" t="inlineStr">
        <is>
          <t>Футбол</t>
        </is>
      </c>
      <c r="D18" s="35" t="inlineStr">
        <is>
          <t>Беларусь. Высшая лига</t>
        </is>
      </c>
      <c r="E18" s="35" t="inlineStr">
        <is>
          <t>Витебск - Ислочь</t>
        </is>
      </c>
      <c r="F18" s="35" t="inlineStr">
        <is>
          <t>П2</t>
        </is>
      </c>
      <c r="G18" s="130" t="n">
        <v>2.23</v>
      </c>
      <c r="H18" s="35" t="inlineStr">
        <is>
          <t>Проигрыш</t>
        </is>
      </c>
      <c r="I18" s="35" t="inlineStr">
        <is>
          <t>0:0 (0:0)</t>
        </is>
      </c>
      <c r="J18" s="35" t="inlineStr">
        <is>
          <t>Прематч</t>
        </is>
      </c>
    </row>
    <row r="19" ht="15" customHeight="1">
      <c r="A19" s="34" t="n">
        <v>385</v>
      </c>
      <c r="B19" s="34" t="n">
        <v>1</v>
      </c>
      <c r="C19" s="35" t="inlineStr">
        <is>
          <t>Футбол</t>
        </is>
      </c>
      <c r="D19" s="35" t="inlineStr">
        <is>
          <t>Беларусь. Высшая лига</t>
        </is>
      </c>
      <c r="E19" s="35" t="inlineStr">
        <is>
          <t>Витебск - Ислочь</t>
        </is>
      </c>
      <c r="F19" s="35" t="inlineStr">
        <is>
          <t>П2 с форой (0)</t>
        </is>
      </c>
      <c r="G19" s="130" t="n">
        <v>1.58</v>
      </c>
      <c r="H19" s="35" t="inlineStr">
        <is>
          <t>Возврат</t>
        </is>
      </c>
      <c r="I19" s="35" t="inlineStr">
        <is>
          <t>0:0 (0:0)</t>
        </is>
      </c>
      <c r="J19" s="35" t="inlineStr">
        <is>
          <t>Прематч</t>
        </is>
      </c>
    </row>
    <row r="20" ht="15" customHeight="1">
      <c r="A20" s="34" t="n">
        <v>386</v>
      </c>
      <c r="B20" s="34" t="n">
        <v>1</v>
      </c>
      <c r="C20" s="35" t="inlineStr">
        <is>
          <t>Футбол</t>
        </is>
      </c>
      <c r="D20" s="35" t="inlineStr">
        <is>
          <t>Испания. Ла Лига</t>
        </is>
      </c>
      <c r="E20" s="35" t="inlineStr">
        <is>
          <t>Эльче - Сельта</t>
        </is>
      </c>
      <c r="F20" s="35" t="inlineStr">
        <is>
          <t>П2 с форой (0)</t>
        </is>
      </c>
      <c r="G20" s="130" t="n">
        <v>1.8</v>
      </c>
      <c r="H20" s="35" t="inlineStr">
        <is>
          <t>Возврат</t>
        </is>
      </c>
      <c r="I20" s="35" t="inlineStr">
        <is>
          <t>0:0 (0:0)</t>
        </is>
      </c>
      <c r="J20" s="35" t="inlineStr">
        <is>
          <t>Прематч</t>
        </is>
      </c>
    </row>
    <row r="21" ht="15" customHeight="1">
      <c r="A21" s="34" t="n">
        <v>387</v>
      </c>
      <c r="B21" s="34" t="n">
        <v>1</v>
      </c>
      <c r="C21" s="35" t="inlineStr">
        <is>
          <t>Футбол</t>
        </is>
      </c>
      <c r="D21" s="35" t="inlineStr">
        <is>
          <t>Испания. Ла Лига</t>
        </is>
      </c>
      <c r="E21" s="35" t="inlineStr">
        <is>
          <t>Эльче - Сельта</t>
        </is>
      </c>
      <c r="F21" s="35" t="inlineStr">
        <is>
          <t>ТБ 3</t>
        </is>
      </c>
      <c r="G21" s="130" t="n">
        <v>1.46</v>
      </c>
      <c r="H21" s="35" t="inlineStr">
        <is>
          <t>Выигрыш</t>
        </is>
      </c>
      <c r="I21" s="35" t="inlineStr">
        <is>
          <t>0:0 (0:0)</t>
        </is>
      </c>
      <c r="J21" s="35" t="inlineStr">
        <is>
          <t>Прематч</t>
        </is>
      </c>
    </row>
    <row r="22" ht="15" customHeight="1">
      <c r="A22" s="34" t="n">
        <v>388</v>
      </c>
      <c r="B22" s="34" t="n">
        <v>1</v>
      </c>
      <c r="C22" s="35" t="inlineStr">
        <is>
          <t>Футбол</t>
        </is>
      </c>
      <c r="D22" s="35" t="inlineStr">
        <is>
          <t>Италия. Серия A</t>
        </is>
      </c>
      <c r="E22" s="35" t="inlineStr">
        <is>
          <t>Лацио - Монца</t>
        </is>
      </c>
      <c r="F22" s="35" t="inlineStr">
        <is>
          <t>П1</t>
        </is>
      </c>
      <c r="G22" s="130" t="n">
        <v>1.72</v>
      </c>
      <c r="H22" s="35" t="inlineStr">
        <is>
          <t>Выигрыш</t>
        </is>
      </c>
      <c r="I22" s="35" t="inlineStr">
        <is>
          <t>3:1 (2:0)</t>
        </is>
      </c>
      <c r="J22" s="35" t="inlineStr">
        <is>
          <t>Прематч</t>
        </is>
      </c>
    </row>
    <row r="23" ht="15" customHeight="1">
      <c r="A23" s="34" t="n">
        <v>389</v>
      </c>
      <c r="B23" s="34" t="n">
        <v>1</v>
      </c>
      <c r="C23" s="35" t="inlineStr">
        <is>
          <t>Футбол</t>
        </is>
      </c>
      <c r="D23" s="35" t="inlineStr">
        <is>
          <t>Беларусь. Высшая лига</t>
        </is>
      </c>
      <c r="E23" s="35" t="inlineStr">
        <is>
          <t>Гомель - МЛ Витебск</t>
        </is>
      </c>
      <c r="F23" s="35" t="inlineStr">
        <is>
          <t>П2 с форой (0)</t>
        </is>
      </c>
      <c r="G23" s="130" t="n">
        <v>1.42</v>
      </c>
      <c r="H23" s="35" t="inlineStr">
        <is>
          <t>Выигрыш</t>
        </is>
      </c>
      <c r="I23" s="35" t="inlineStr">
        <is>
          <t>1:5 (1:2)</t>
        </is>
      </c>
      <c r="J23" s="35" t="inlineStr">
        <is>
          <t>Прематч</t>
        </is>
      </c>
    </row>
    <row r="24" ht="15" customHeight="1">
      <c r="A24" s="34" t="n">
        <v>390</v>
      </c>
      <c r="B24" s="34" t="n">
        <v>1</v>
      </c>
      <c r="C24" s="35" t="inlineStr">
        <is>
          <t>Футбол</t>
        </is>
      </c>
      <c r="D24" s="35" t="inlineStr">
        <is>
          <t>Англия. Премьер-лига</t>
        </is>
      </c>
      <c r="E24" s="35" t="inlineStr">
        <is>
          <t>Ливерпуль - Манчестер Сити</t>
        </is>
      </c>
      <c r="F24" s="35" t="inlineStr">
        <is>
          <t>П2 с форой (0)</t>
        </is>
      </c>
      <c r="G24" s="130" t="n">
        <v>1.69</v>
      </c>
      <c r="H24" s="35" t="inlineStr">
        <is>
          <t>Выигрыш</t>
        </is>
      </c>
      <c r="I24" s="35" t="inlineStr">
        <is>
          <t>0:3 (0:0)</t>
        </is>
      </c>
      <c r="J24" s="35" t="inlineStr">
        <is>
          <t>Прематч</t>
        </is>
      </c>
    </row>
    <row r="25" ht="15" customHeight="1">
      <c r="A25" s="34" t="n">
        <v>391</v>
      </c>
      <c r="B25" s="34" t="n">
        <v>1</v>
      </c>
      <c r="C25" s="35" t="inlineStr">
        <is>
          <t>Футбол</t>
        </is>
      </c>
      <c r="D25" s="35" t="inlineStr">
        <is>
          <t>Россия. Премьер-лига</t>
        </is>
      </c>
      <c r="E25" s="35" t="inlineStr">
        <is>
          <t>Рубин - Динамо Москва</t>
        </is>
      </c>
      <c r="F25" s="35" t="inlineStr">
        <is>
          <t>Динамо Москва с форой (0)</t>
        </is>
      </c>
      <c r="G25" s="130" t="n">
        <v>1.44</v>
      </c>
      <c r="H25" s="35" t="inlineStr">
        <is>
          <t>Выигрыш</t>
        </is>
      </c>
      <c r="I25" s="35" t="inlineStr">
        <is>
          <t>0:1 (0:1)</t>
        </is>
      </c>
      <c r="J25" s="35" t="inlineStr">
        <is>
          <t>Прематч</t>
        </is>
      </c>
    </row>
    <row r="26" ht="15" customHeight="1">
      <c r="A26" s="34" t="n">
        <v>392</v>
      </c>
      <c r="B26" s="34" t="n">
        <v>1</v>
      </c>
      <c r="C26" s="35" t="inlineStr">
        <is>
          <t>Футбол</t>
        </is>
      </c>
      <c r="D26" s="35" t="inlineStr">
        <is>
          <t>Аргентина. Лига Профессиональ</t>
        </is>
      </c>
      <c r="E26" s="35" t="inlineStr">
        <is>
          <t>Расинг Клуб - Бельграно</t>
        </is>
      </c>
      <c r="F26" s="35" t="inlineStr">
        <is>
          <t>Расинг Клуб с форой (0)</t>
        </is>
      </c>
      <c r="G26" s="130" t="n">
        <v>1.64</v>
      </c>
      <c r="H26" s="35" t="inlineStr">
        <is>
          <t>Проигрыш</t>
        </is>
      </c>
      <c r="I26" s="35" t="inlineStr">
        <is>
          <t>0:2 (0:1)</t>
        </is>
      </c>
      <c r="J26" s="35" t="inlineStr">
        <is>
          <t>Прематч</t>
        </is>
      </c>
    </row>
    <row r="27" ht="15" customHeight="1">
      <c r="A27" s="34" t="n">
        <v>393</v>
      </c>
      <c r="B27" s="34" t="n">
        <v>1</v>
      </c>
      <c r="C27" s="35" t="inlineStr">
        <is>
          <t>Футбол</t>
        </is>
      </c>
      <c r="D27" s="35" t="inlineStr">
        <is>
          <t>Шотландия. Премьер-лига</t>
        </is>
      </c>
      <c r="E27" s="35" t="inlineStr">
        <is>
          <t>Мотеруэлл - Селтик</t>
        </is>
      </c>
      <c r="F27" s="35" t="inlineStr">
        <is>
          <t>ТБ 3</t>
        </is>
      </c>
      <c r="G27" s="130" t="n">
        <v>1.72</v>
      </c>
      <c r="H27" s="35" t="inlineStr">
        <is>
          <t>Проигрыш</t>
        </is>
      </c>
      <c r="I27" s="35" t="inlineStr">
        <is>
          <t>0:2 (0:1)</t>
        </is>
      </c>
      <c r="J27" s="35" t="inlineStr">
        <is>
          <t>Прематч</t>
        </is>
      </c>
    </row>
    <row r="28" ht="15" customHeight="1">
      <c r="A28" s="34" t="n">
        <v>394</v>
      </c>
      <c r="B28" s="34" t="n">
        <v>1</v>
      </c>
      <c r="C28" s="35" t="inlineStr">
        <is>
          <t>Хоккей</t>
        </is>
      </c>
      <c r="D28" s="35" t="inlineStr">
        <is>
          <t>КХЛ. Регулярный чемпионат</t>
        </is>
      </c>
      <c r="E28" s="35" t="inlineStr">
        <is>
          <t>Динамо Москва - СКА</t>
        </is>
      </c>
      <c r="F28" s="35" t="inlineStr">
        <is>
          <t>Победитель матча - СКА</t>
        </is>
      </c>
      <c r="G28" s="130" t="n">
        <v>1.91</v>
      </c>
      <c r="H28" s="35" t="inlineStr">
        <is>
          <t>Проигрыш</t>
        </is>
      </c>
      <c r="I28" s="35" t="inlineStr">
        <is>
          <t>3:3 (2:0, 0:1, 1:2)</t>
        </is>
      </c>
      <c r="J28" s="35" t="inlineStr">
        <is>
          <t>Прематч</t>
        </is>
      </c>
    </row>
    <row r="29" ht="15" customHeight="1">
      <c r="A29" s="34" t="n">
        <v>395</v>
      </c>
      <c r="B29" s="34" t="n">
        <v>1</v>
      </c>
      <c r="C29" s="35" t="inlineStr">
        <is>
          <t>Хоккей</t>
        </is>
      </c>
      <c r="D29" s="35" t="inlineStr">
        <is>
          <t>КХЛ. Регулярный чемпионат</t>
        </is>
      </c>
      <c r="E29" s="35" t="inlineStr">
        <is>
          <t>Динамо Москва - СКА</t>
        </is>
      </c>
      <c r="F29" s="35" t="inlineStr">
        <is>
          <t>ИТБ СКА 2,5</t>
        </is>
      </c>
      <c r="G29" s="130" t="n">
        <v>1.99</v>
      </c>
      <c r="H29" s="35" t="inlineStr">
        <is>
          <t>Выигрыш</t>
        </is>
      </c>
      <c r="I29" s="35" t="inlineStr">
        <is>
          <t>3:3 (2:0, 0:1, 1:2)</t>
        </is>
      </c>
      <c r="J29" s="35" t="inlineStr">
        <is>
          <t>Прематч</t>
        </is>
      </c>
    </row>
    <row r="30" ht="15" customHeight="1">
      <c r="A30" s="34" t="n">
        <v>396</v>
      </c>
      <c r="B30" s="34" t="n">
        <v>1</v>
      </c>
      <c r="C30" s="35" t="inlineStr">
        <is>
          <t>Теннис</t>
        </is>
      </c>
      <c r="D30" s="35" t="inlineStr">
        <is>
          <t>ATP 1000. Шанхай. Хард</t>
        </is>
      </c>
      <c r="E30" s="35" t="inlineStr">
        <is>
          <t>Франсиско Серундоло - Якуб Меншик</t>
        </is>
      </c>
      <c r="F30" s="35" t="inlineStr">
        <is>
          <t>П1</t>
        </is>
      </c>
      <c r="G30" s="130" t="n">
        <v>2.29</v>
      </c>
      <c r="H30" s="35" t="inlineStr">
        <is>
          <t>Проигрыш</t>
        </is>
      </c>
      <c r="I30" s="35" t="inlineStr">
        <is>
          <t>1:2 (3:6, 6:3, 2:6)</t>
        </is>
      </c>
      <c r="J30" s="35" t="inlineStr">
        <is>
          <t>Прематч</t>
        </is>
      </c>
    </row>
    <row r="31" ht="15" customHeight="1">
      <c r="A31" s="34" t="n">
        <v>397</v>
      </c>
      <c r="B31" s="34" t="n">
        <v>1</v>
      </c>
      <c r="C31" s="35" t="inlineStr">
        <is>
          <t>Теннис</t>
        </is>
      </c>
      <c r="D31" s="35" t="inlineStr">
        <is>
          <t>ATP 1000. Шанхай. Хард</t>
        </is>
      </c>
      <c r="E31" s="35" t="inlineStr">
        <is>
          <t>Александр Бублик - Брэндон Накасима</t>
        </is>
      </c>
      <c r="F31" s="35" t="inlineStr">
        <is>
          <t>ТБ 22,5</t>
        </is>
      </c>
      <c r="G31" s="130" t="n">
        <v>1.68</v>
      </c>
      <c r="H31" s="35" t="inlineStr">
        <is>
          <t>Выигрыш</t>
        </is>
      </c>
      <c r="I31" s="35" t="inlineStr">
        <is>
          <t>2:1 (6:7, 6:3, 7:6)</t>
        </is>
      </c>
      <c r="J31" s="35" t="inlineStr">
        <is>
          <t>Прематч</t>
        </is>
      </c>
    </row>
    <row r="32" ht="15" customHeight="1">
      <c r="A32" s="34" t="n">
        <v>398</v>
      </c>
      <c r="B32" s="34" t="n">
        <v>1</v>
      </c>
      <c r="C32" s="35" t="inlineStr">
        <is>
          <t>Хоккей</t>
        </is>
      </c>
      <c r="D32" s="35" t="inlineStr">
        <is>
          <t>КХЛ. Регулярный чемпионат</t>
        </is>
      </c>
      <c r="E32" s="35" t="inlineStr">
        <is>
          <t>Динамо Москва - СКА</t>
        </is>
      </c>
      <c r="F32" s="35" t="inlineStr">
        <is>
          <t>ИТМ Динамо Москва 3</t>
        </is>
      </c>
      <c r="G32" s="130" t="n">
        <v>1.43</v>
      </c>
      <c r="H32" s="35" t="inlineStr">
        <is>
          <t>Возврат</t>
        </is>
      </c>
      <c r="I32" s="35" t="inlineStr">
        <is>
          <t>3:3 (2:0, 0:1, 1:2)</t>
        </is>
      </c>
      <c r="J32" s="35" t="inlineStr">
        <is>
          <t>Прематч</t>
        </is>
      </c>
    </row>
    <row r="33" ht="15" customHeight="1">
      <c r="A33" s="34" t="n">
        <v>399</v>
      </c>
      <c r="B33" s="34" t="n">
        <v>1</v>
      </c>
      <c r="C33" s="35" t="inlineStr">
        <is>
          <t>Хоккей</t>
        </is>
      </c>
      <c r="D33" s="35" t="inlineStr">
        <is>
          <t>КХЛ. Регулярный чемпионат</t>
        </is>
      </c>
      <c r="E33" s="35" t="inlineStr">
        <is>
          <t>Динамо Москва - СКА</t>
        </is>
      </c>
      <c r="F33" s="35" t="inlineStr">
        <is>
          <t>ТБ 4,5</t>
        </is>
      </c>
      <c r="G33" s="130" t="n">
        <v>1.62</v>
      </c>
      <c r="H33" s="35" t="inlineStr">
        <is>
          <t>Выигрыш</t>
        </is>
      </c>
      <c r="I33" s="35" t="inlineStr">
        <is>
          <t>3:3 (2:0, 0:1, 1:2)</t>
        </is>
      </c>
      <c r="J33" s="35" t="inlineStr">
        <is>
          <t>Прематч</t>
        </is>
      </c>
    </row>
    <row r="34" ht="15" customHeight="1">
      <c r="A34" s="34" t="n">
        <v>400</v>
      </c>
      <c r="B34" s="34" t="n">
        <v>1</v>
      </c>
      <c r="C34" s="35" t="inlineStr">
        <is>
          <t>Футбол</t>
        </is>
      </c>
      <c r="D34" s="35" t="inlineStr">
        <is>
          <t>Индонезия. Суперлига</t>
        </is>
      </c>
      <c r="E34" s="35" t="inlineStr">
        <is>
          <t>ПСС Слеман - ПСМ Макассар</t>
        </is>
      </c>
      <c r="F34" s="35" t="inlineStr">
        <is>
          <t>ТБ 2,5</t>
        </is>
      </c>
      <c r="G34" s="130" t="n">
        <v>2.5</v>
      </c>
      <c r="H34" s="35" t="inlineStr">
        <is>
          <t>Выигрыш</t>
        </is>
      </c>
      <c r="I34" s="35" t="inlineStr">
        <is>
          <t>3:0 (1:0)</t>
        </is>
      </c>
      <c r="J34" s="35" t="inlineStr">
        <is>
          <t>Live</t>
        </is>
      </c>
    </row>
    <row r="35" ht="15" customHeight="1">
      <c r="A35" s="34" t="n">
        <v>401</v>
      </c>
      <c r="B35" s="34" t="n">
        <v>1</v>
      </c>
      <c r="C35" s="35" t="inlineStr">
        <is>
          <t>Футбол</t>
        </is>
      </c>
      <c r="D35" s="35" t="inlineStr">
        <is>
          <t>Россия. Премьер-лига. Статистика</t>
        </is>
      </c>
      <c r="E35" s="35" t="inlineStr">
        <is>
          <t>Рубин - Динамо Москва</t>
        </is>
      </c>
      <c r="F35" s="35" t="inlineStr">
        <is>
          <t>ТМ 28,5 фолов</t>
        </is>
      </c>
      <c r="G35" s="130" t="n">
        <v>1.62</v>
      </c>
      <c r="H35" s="35" t="inlineStr">
        <is>
          <t>Выигрыш</t>
        </is>
      </c>
      <c r="I35" s="35" t="inlineStr">
        <is>
          <t>Фолы 9:13 (3:5)</t>
        </is>
      </c>
      <c r="J35" s="35" t="inlineStr">
        <is>
          <t>Прематч</t>
        </is>
      </c>
    </row>
    <row r="36" ht="15" customHeight="1">
      <c r="A36" s="34" t="n">
        <v>402</v>
      </c>
      <c r="B36" s="34" t="n">
        <v>1</v>
      </c>
      <c r="C36" s="35" t="inlineStr">
        <is>
          <t>Футбол</t>
        </is>
      </c>
      <c r="D36" s="35" t="inlineStr">
        <is>
          <t>Нидерланды. Эредивизи</t>
        </is>
      </c>
      <c r="E36" s="35" t="inlineStr">
        <is>
          <t>Эксельсиор - Гронинген</t>
        </is>
      </c>
      <c r="F36" s="35" t="inlineStr">
        <is>
          <t>ТБ 3</t>
        </is>
      </c>
      <c r="G36" s="130" t="n">
        <v>1.85</v>
      </c>
      <c r="H36" s="35" t="inlineStr">
        <is>
          <t>Выигрыш</t>
        </is>
      </c>
      <c r="I36" s="35" t="inlineStr">
        <is>
          <t>1:5 (1:2)</t>
        </is>
      </c>
      <c r="J36" s="35" t="inlineStr">
        <is>
          <t>Прематч</t>
        </is>
      </c>
    </row>
    <row r="37" ht="15" customHeight="1">
      <c r="A37" s="34" t="n">
        <v>403</v>
      </c>
      <c r="B37" s="34" t="n">
        <v>1</v>
      </c>
      <c r="C37" s="35" t="inlineStr">
        <is>
          <t>Теннис</t>
        </is>
      </c>
      <c r="D37" s="35" t="inlineStr">
        <is>
          <t>ATP 1000. Шанхай. Хард</t>
        </is>
      </c>
      <c r="E37" s="35" t="inlineStr">
        <is>
          <t>Александр Зверев - Феликс Оже-Альяссим</t>
        </is>
      </c>
      <c r="F37" s="35" t="inlineStr">
        <is>
          <t>ТБ 22,5</t>
        </is>
      </c>
      <c r="G37" s="130" t="n">
        <v>1.98</v>
      </c>
      <c r="H37" s="35" t="inlineStr">
        <is>
          <t>Выигрыш</t>
        </is>
      </c>
      <c r="I37" s="35" t="inlineStr">
        <is>
          <t>2:1 (6:4, 6:7, 6:3)</t>
        </is>
      </c>
      <c r="J37" s="35" t="inlineStr">
        <is>
          <t>Прематч</t>
        </is>
      </c>
    </row>
    <row r="38" ht="15" customHeight="1">
      <c r="A38" s="34" t="n">
        <v>404</v>
      </c>
      <c r="B38" s="34" t="n">
        <v>1</v>
      </c>
      <c r="C38" s="35" t="inlineStr">
        <is>
          <t>Футбол</t>
        </is>
      </c>
      <c r="D38" s="35" t="inlineStr">
        <is>
          <t>Беларусь. Высшая лига</t>
        </is>
      </c>
      <c r="E38" s="35" t="inlineStr">
        <is>
          <t>Днепр Могилев - Динамо Минск</t>
        </is>
      </c>
      <c r="F38" s="35" t="inlineStr">
        <is>
          <t>ТМ 2,5</t>
        </is>
      </c>
      <c r="G38" s="130" t="n">
        <v>1.85</v>
      </c>
      <c r="H38" s="35" t="inlineStr">
        <is>
          <t>Проигрыш</t>
        </is>
      </c>
      <c r="I38" s="35" t="inlineStr">
        <is>
          <t>2:3 (0:1)</t>
        </is>
      </c>
      <c r="J38" s="35" t="inlineStr">
        <is>
          <t>Прематч</t>
        </is>
      </c>
    </row>
    <row r="39" ht="15" customHeight="1">
      <c r="A39" s="34" t="n">
        <v>405</v>
      </c>
      <c r="B39" s="34" t="n">
        <v>1</v>
      </c>
      <c r="C39" s="35" t="inlineStr">
        <is>
          <t>Футбол</t>
        </is>
      </c>
      <c r="D39" s="35" t="inlineStr">
        <is>
          <t>Беларусь. Высшая лига</t>
        </is>
      </c>
      <c r="E39" s="35" t="inlineStr">
        <is>
          <t>Днепр Могилев - Динамо Минск</t>
        </is>
      </c>
      <c r="F39" s="35" t="inlineStr">
        <is>
          <t>ТМ 2,5</t>
        </is>
      </c>
      <c r="G39" s="130" t="n">
        <v>1.85</v>
      </c>
      <c r="H39" s="35" t="inlineStr">
        <is>
          <t>Проигрыш</t>
        </is>
      </c>
      <c r="I39" s="35" t="inlineStr">
        <is>
          <t>2:3 (0:1)</t>
        </is>
      </c>
      <c r="J39" s="35" t="inlineStr">
        <is>
          <t>Прематч</t>
        </is>
      </c>
    </row>
    <row r="40" ht="30" customHeight="1">
      <c r="A40" s="34" t="n">
        <v>406</v>
      </c>
      <c r="B40" s="34" t="n">
        <v>1</v>
      </c>
      <c r="C40" s="35" t="inlineStr">
        <is>
          <t>Хоккей</t>
        </is>
      </c>
      <c r="D40" s="35" t="inlineStr">
        <is>
          <t>КХЛ. Регулярный чемпионат</t>
        </is>
      </c>
      <c r="E40" s="35" t="inlineStr">
        <is>
          <t>Динамо Москва - СКА</t>
        </is>
      </c>
      <c r="F40" s="35" t="inlineStr">
        <is>
          <t>СКА (+1)</t>
        </is>
      </c>
      <c r="G40" s="130" t="n">
        <v>1.37</v>
      </c>
      <c r="H40" s="35" t="inlineStr">
        <is>
          <t>Выигрыш</t>
        </is>
      </c>
      <c r="I40" s="35" t="inlineStr">
        <is>
          <t>Экспресс выиграл; 372</t>
        </is>
      </c>
      <c r="J40" s="35" t="inlineStr">
        <is>
          <t>Прематч</t>
        </is>
      </c>
    </row>
    <row r="41" ht="30" customHeight="1">
      <c r="A41" s="34" t="n">
        <v>406</v>
      </c>
      <c r="B41" s="34" t="n">
        <v>2</v>
      </c>
      <c r="C41" s="35" t="inlineStr">
        <is>
          <t>Хоккей</t>
        </is>
      </c>
      <c r="D41" s="35" t="inlineStr">
        <is>
          <t>НХЛ. Регулярный сезон</t>
        </is>
      </c>
      <c r="E41" s="35" t="inlineStr">
        <is>
          <t>Вашингтон Кэпиталс - Сиэтл Кракен</t>
        </is>
      </c>
      <c r="F41" s="35" t="inlineStr">
        <is>
          <t>Сиэтл Кракен (+2,5)</t>
        </is>
      </c>
      <c r="G41" s="130" t="n">
        <v>1.36</v>
      </c>
      <c r="H41" s="35" t="inlineStr">
        <is>
          <t>Выигрыш</t>
        </is>
      </c>
      <c r="I41" s="35" t="inlineStr">
        <is>
          <t>Экспресс выиграл; 372</t>
        </is>
      </c>
      <c r="J41" s="35" t="inlineStr">
        <is>
          <t>Прематч</t>
        </is>
      </c>
    </row>
    <row r="42" ht="15" customHeight="1">
      <c r="A42" s="34" t="n">
        <v>407</v>
      </c>
      <c r="B42" s="34" t="n">
        <v>1</v>
      </c>
      <c r="C42" s="35" t="inlineStr">
        <is>
          <t>Теннис</t>
        </is>
      </c>
      <c r="D42" s="35" t="inlineStr">
        <is>
          <t>ATP Challenger. Ольбия. Квалификация</t>
        </is>
      </c>
      <c r="E42" s="35" t="inlineStr">
        <is>
          <t>Георгий Кравченко - Александр Донски</t>
        </is>
      </c>
      <c r="F42" s="35" t="inlineStr">
        <is>
          <t>ТБ 9,5 в 1-м сете</t>
        </is>
      </c>
      <c r="G42" s="130" t="n">
        <v>1.68</v>
      </c>
      <c r="H42" s="35" t="inlineStr">
        <is>
          <t>Выигрыш</t>
        </is>
      </c>
      <c r="I42" s="35" t="inlineStr">
        <is>
          <t>2:0 (7:5, 6:2)</t>
        </is>
      </c>
      <c r="J42" s="35" t="inlineStr">
        <is>
          <t>Прематч</t>
        </is>
      </c>
    </row>
    <row r="43" ht="15" customHeight="1">
      <c r="A43" s="34" t="n">
        <v>408</v>
      </c>
      <c r="B43" s="34" t="n">
        <v>1</v>
      </c>
      <c r="C43" s="35" t="inlineStr">
        <is>
          <t>Хоккей</t>
        </is>
      </c>
      <c r="D43" s="35" t="inlineStr">
        <is>
          <t>AHL. Регулярный сезон</t>
        </is>
      </c>
      <c r="E43" s="35" t="inlineStr">
        <is>
          <t>Калгари Рэнглерс - Бейкерсфилд Кондорс</t>
        </is>
      </c>
      <c r="F43" s="35" t="inlineStr">
        <is>
          <t>Победитель матча - Калгари Рэнглерс</t>
        </is>
      </c>
      <c r="G43" s="130" t="n">
        <v>1.71</v>
      </c>
      <c r="H43" s="35" t="inlineStr">
        <is>
          <t>Проигрыш</t>
        </is>
      </c>
      <c r="I43" s="35" t="inlineStr">
        <is>
          <t>4:5 (1:2, 2:2, 1:1)</t>
        </is>
      </c>
      <c r="J43" s="35" t="inlineStr">
        <is>
          <t>Прематч</t>
        </is>
      </c>
    </row>
    <row r="44" ht="15" customHeight="1">
      <c r="A44" s="34" t="n">
        <v>409</v>
      </c>
      <c r="B44" s="34" t="n">
        <v>1</v>
      </c>
      <c r="C44" s="35" t="inlineStr">
        <is>
          <t>Хоккей</t>
        </is>
      </c>
      <c r="D44" s="35" t="inlineStr">
        <is>
          <t>Швейцария. National League</t>
        </is>
      </c>
      <c r="E44" s="35" t="inlineStr">
        <is>
          <t>Клотен - Цуг</t>
        </is>
      </c>
      <c r="F44" s="35" t="inlineStr">
        <is>
          <t>Цуг с форой (0)</t>
        </is>
      </c>
      <c r="G44" s="130" t="n">
        <v>1.67</v>
      </c>
      <c r="H44" s="35" t="inlineStr">
        <is>
          <t>Выигрыш</t>
        </is>
      </c>
      <c r="I44" s="35" t="inlineStr">
        <is>
          <t>1:3 (0:0, 1:1, 0:2)</t>
        </is>
      </c>
      <c r="J44" s="35" t="inlineStr">
        <is>
          <t>Прематч</t>
        </is>
      </c>
    </row>
    <row r="45" ht="15" customHeight="1">
      <c r="A45" s="34" t="n">
        <v>410</v>
      </c>
      <c r="B45" s="34" t="n">
        <v>1</v>
      </c>
      <c r="C45" s="35" t="inlineStr">
        <is>
          <t>Хоккей</t>
        </is>
      </c>
      <c r="D45" s="35" t="inlineStr">
        <is>
          <t>OLIMPBET ВХЛ. Регулярный чемпионат</t>
        </is>
      </c>
      <c r="E45" s="35" t="inlineStr">
        <is>
          <t>Рубин - Буран</t>
        </is>
      </c>
      <c r="F45" s="35" t="inlineStr">
        <is>
          <t>Буран с форой (0)</t>
        </is>
      </c>
      <c r="G45" s="130" t="n">
        <v>1.96</v>
      </c>
      <c r="H45" s="35" t="inlineStr">
        <is>
          <t>Возврат</t>
        </is>
      </c>
      <c r="I45" s="35" t="inlineStr">
        <is>
          <t>3:3 (1:0, 1:2, 1:1)</t>
        </is>
      </c>
      <c r="J45" s="35" t="inlineStr">
        <is>
          <t>Прематч</t>
        </is>
      </c>
    </row>
    <row r="46" ht="15" customHeight="1">
      <c r="A46" s="34" t="n">
        <v>411</v>
      </c>
      <c r="B46" s="34" t="n">
        <v>1</v>
      </c>
      <c r="C46" s="35" t="inlineStr">
        <is>
          <t>Хоккей</t>
        </is>
      </c>
      <c r="D46" s="35" t="inlineStr">
        <is>
          <t>Финляндия. SM-Sarja до 20 лет</t>
        </is>
      </c>
      <c r="E46" s="35" t="inlineStr">
        <is>
          <t>ХИФК до 20 - Киекко-Эспоо до 20</t>
        </is>
      </c>
      <c r="F46" s="35" t="inlineStr">
        <is>
          <t>Киекко-Эспоо (+2,5)</t>
        </is>
      </c>
      <c r="G46" s="130" t="n">
        <v>1.77</v>
      </c>
      <c r="H46" s="35" t="inlineStr">
        <is>
          <t>Выигрыш</t>
        </is>
      </c>
      <c r="I46" s="35" t="inlineStr">
        <is>
          <t>4:2 (2:0, 2:0, 0:2)</t>
        </is>
      </c>
      <c r="J46" s="35" t="inlineStr">
        <is>
          <t>Live</t>
        </is>
      </c>
    </row>
    <row r="47" ht="15" customHeight="1">
      <c r="A47" s="34" t="n">
        <v>412</v>
      </c>
      <c r="B47" s="34" t="n">
        <v>1</v>
      </c>
      <c r="C47" s="35" t="inlineStr">
        <is>
          <t>Футбол</t>
        </is>
      </c>
      <c r="D47" s="35" t="inlineStr">
        <is>
          <t>Россия. Премьер-лига</t>
        </is>
      </c>
      <c r="E47" s="35" t="inlineStr">
        <is>
          <t>Рубин - Динамо Москва</t>
        </is>
      </c>
      <c r="F47" s="35" t="inlineStr">
        <is>
          <t>ТБ 2</t>
        </is>
      </c>
      <c r="G47" s="130" t="n">
        <v>1.54</v>
      </c>
      <c r="H47" s="35" t="inlineStr">
        <is>
          <t>Проигрыш</t>
        </is>
      </c>
      <c r="I47" s="35" t="inlineStr">
        <is>
          <t>0:1 (0:1)</t>
        </is>
      </c>
      <c r="J47" s="35" t="inlineStr">
        <is>
          <t>Прематч</t>
        </is>
      </c>
    </row>
    <row r="48" ht="15" customHeight="1">
      <c r="A48" s="34" t="n">
        <v>413</v>
      </c>
      <c r="B48" s="34" t="n">
        <v>1</v>
      </c>
      <c r="C48" s="35" t="inlineStr">
        <is>
          <t>Теннис</t>
        </is>
      </c>
      <c r="D48" s="35" t="inlineStr">
        <is>
          <t>WTA 125. Роверето. Квалификация</t>
        </is>
      </c>
      <c r="E48" s="35" t="inlineStr">
        <is>
          <t>Ана Тиминджич - Тесса Йоханна Брокманн</t>
        </is>
      </c>
      <c r="F48" s="35" t="inlineStr">
        <is>
          <t>ТМ 13,5</t>
        </is>
      </c>
      <c r="G48" s="130" t="n">
        <v>3.13</v>
      </c>
      <c r="H48" s="35" t="inlineStr">
        <is>
          <t>Проигрыш</t>
        </is>
      </c>
      <c r="I48" s="35" t="inlineStr">
        <is>
          <t>0:2 (1:6, 1:6); ошибочная фора - в настройках стояла галочка "принимать изменение форы"</t>
        </is>
      </c>
      <c r="J48" s="35" t="inlineStr">
        <is>
          <t>Live</t>
        </is>
      </c>
    </row>
    <row r="49" ht="30" customHeight="1">
      <c r="A49" s="34" t="n">
        <v>414</v>
      </c>
      <c r="B49" s="34" t="n">
        <v>1</v>
      </c>
      <c r="C49" s="35" t="inlineStr">
        <is>
          <t>Хоккей</t>
        </is>
      </c>
      <c r="D49" s="35" t="inlineStr">
        <is>
          <t>Финляндия. SM-Sarja до 20 лет</t>
        </is>
      </c>
      <c r="E49" s="35" t="inlineStr">
        <is>
          <t>ХИФК до 20 - Киекко-Эспоо до 20</t>
        </is>
      </c>
      <c r="F49" s="35" t="inlineStr">
        <is>
          <t>Киекко-Эспоо (+2,5)</t>
        </is>
      </c>
      <c r="G49" s="130" t="n">
        <v>1.73</v>
      </c>
      <c r="H49" s="35" t="inlineStr">
        <is>
          <t>Выигрыш</t>
        </is>
      </c>
      <c r="I49" s="35" t="inlineStr">
        <is>
          <t>4:2 (2:0, 2:0, 0:2); купон продан</t>
        </is>
      </c>
      <c r="J49" s="35" t="inlineStr">
        <is>
          <t>Live</t>
        </is>
      </c>
    </row>
    <row r="50" ht="15" customHeight="1">
      <c r="A50" s="34" t="n">
        <v>415</v>
      </c>
      <c r="B50" s="34" t="n">
        <v>1</v>
      </c>
      <c r="C50" s="35" t="inlineStr">
        <is>
          <t>Футбол</t>
        </is>
      </c>
      <c r="D50" s="35" t="inlineStr">
        <is>
          <t>Испания. Ла Лига 2</t>
        </is>
      </c>
      <c r="E50" s="35" t="inlineStr">
        <is>
          <t>Андорра - Кастельон</t>
        </is>
      </c>
      <c r="F50" s="35" t="inlineStr">
        <is>
          <t>ТБ 2,5</t>
        </is>
      </c>
      <c r="G50" s="130" t="n">
        <v>1.86</v>
      </c>
      <c r="H50" s="35" t="inlineStr">
        <is>
          <t>Проигрыш</t>
        </is>
      </c>
      <c r="I50" s="35" t="inlineStr">
        <is>
          <t>1:0 (1:0)</t>
        </is>
      </c>
      <c r="J50" s="35" t="inlineStr">
        <is>
          <t>Live</t>
        </is>
      </c>
    </row>
    <row r="51" ht="15" customHeight="1">
      <c r="A51" s="34" t="n">
        <v>416</v>
      </c>
      <c r="B51" s="34" t="n">
        <v>1</v>
      </c>
      <c r="C51" s="35" t="inlineStr">
        <is>
          <t>Футбол</t>
        </is>
      </c>
      <c r="D51" s="35" t="inlineStr">
        <is>
          <t>Англия. Премьер-лига</t>
        </is>
      </c>
      <c r="E51" s="35" t="inlineStr">
        <is>
          <t>Кристал Пэлас - Ноттингем Форест</t>
        </is>
      </c>
      <c r="F51" s="35" t="inlineStr">
        <is>
          <t>ТБ 1,5 в 1-м тайме</t>
        </is>
      </c>
      <c r="G51" s="130" t="n">
        <v>2.71</v>
      </c>
      <c r="H51" s="35" t="inlineStr">
        <is>
          <t>Выигрыш</t>
        </is>
      </c>
      <c r="I51" s="35" t="inlineStr">
        <is>
          <t>3:1 (2:1)</t>
        </is>
      </c>
      <c r="J51" s="35" t="inlineStr">
        <is>
          <t>Live</t>
        </is>
      </c>
    </row>
    <row r="52" ht="15" customHeight="1">
      <c r="A52" s="34" t="n">
        <v>417</v>
      </c>
      <c r="B52" s="34" t="n">
        <v>1</v>
      </c>
      <c r="C52" s="35" t="inlineStr">
        <is>
          <t>Футбол</t>
        </is>
      </c>
      <c r="D52" s="35" t="inlineStr">
        <is>
          <t>Италия. Серия A</t>
        </is>
      </c>
      <c r="E52" s="35" t="inlineStr">
        <is>
          <t>Сассуоло - Милан</t>
        </is>
      </c>
      <c r="F52" s="35" t="inlineStr">
        <is>
          <t>ТБ 1 в 1-м тайме</t>
        </is>
      </c>
      <c r="G52" s="130" t="n">
        <v>1.59</v>
      </c>
      <c r="H52" s="35" t="inlineStr">
        <is>
          <t>Проигрыш</t>
        </is>
      </c>
      <c r="I52" s="35" t="inlineStr">
        <is>
          <t>1:1 (0:0)</t>
        </is>
      </c>
      <c r="J52" s="35" t="inlineStr">
        <is>
          <t>Прематч</t>
        </is>
      </c>
    </row>
    <row r="53" ht="15" customHeight="1">
      <c r="A53" s="34" t="n">
        <v>418</v>
      </c>
      <c r="B53" s="34" t="n">
        <v>1</v>
      </c>
      <c r="C53" s="35" t="inlineStr">
        <is>
          <t>Футбол</t>
        </is>
      </c>
      <c r="D53" s="35" t="inlineStr">
        <is>
          <t>Испания. Ла Лига</t>
        </is>
      </c>
      <c r="E53" s="35" t="inlineStr">
        <is>
          <t>Эльче - Сельта</t>
        </is>
      </c>
      <c r="F53" s="35" t="inlineStr">
        <is>
          <t>ТБ 0,5</t>
        </is>
      </c>
      <c r="G53" s="130" t="n">
        <v>5.57</v>
      </c>
      <c r="H53" s="35" t="inlineStr">
        <is>
          <t>Проигрыш</t>
        </is>
      </c>
      <c r="I53" s="35" t="inlineStr">
        <is>
          <t>0:0 (0:0)</t>
        </is>
      </c>
      <c r="J53" s="35" t="inlineStr">
        <is>
          <t>Live</t>
        </is>
      </c>
    </row>
    <row r="54" ht="15" customHeight="1">
      <c r="A54" s="34" t="n">
        <v>419</v>
      </c>
      <c r="B54" s="34" t="n">
        <v>1</v>
      </c>
      <c r="C54" s="35" t="inlineStr">
        <is>
          <t>Футбол</t>
        </is>
      </c>
      <c r="D54" s="35" t="inlineStr">
        <is>
          <t>Англия. Премьер-лига</t>
        </is>
      </c>
      <c r="E54" s="35" t="inlineStr">
        <is>
          <t>Халл Сити - Эвертон</t>
        </is>
      </c>
      <c r="F54" s="35" t="inlineStr">
        <is>
          <t>ТБ 1,5</t>
        </is>
      </c>
      <c r="G54" s="130" t="n">
        <v>2.17</v>
      </c>
      <c r="H54" s="35" t="inlineStr">
        <is>
          <t>Выигрыш</t>
        </is>
      </c>
      <c r="I54" s="35" t="inlineStr">
        <is>
          <t>2:2 (0:0)</t>
        </is>
      </c>
      <c r="J54" s="35" t="inlineStr">
        <is>
          <t>Live</t>
        </is>
      </c>
    </row>
    <row r="55" ht="15" customHeight="1">
      <c r="A55" s="34" t="n">
        <v>420</v>
      </c>
      <c r="B55" s="34" t="n">
        <v>1</v>
      </c>
      <c r="C55" s="35" t="inlineStr">
        <is>
          <t>Хоккей</t>
        </is>
      </c>
      <c r="D55" s="35" t="inlineStr">
        <is>
          <t>НХЛ. Регулярный сезон</t>
        </is>
      </c>
      <c r="E55" s="35" t="inlineStr">
        <is>
          <t>Миннесота Уайлд - Вегас Голден Найтс</t>
        </is>
      </c>
      <c r="F55" s="35" t="inlineStr">
        <is>
          <t>ТМ 6</t>
        </is>
      </c>
      <c r="G55" s="130" t="n">
        <v>1.82</v>
      </c>
      <c r="H55" s="35" t="inlineStr">
        <is>
          <t>Открыт</t>
        </is>
      </c>
      <c r="I55" s="35" t="inlineStr">
        <is>
          <t>13.10.2026</t>
        </is>
      </c>
      <c r="J55" s="35" t="inlineStr">
        <is>
          <t>Прематч</t>
        </is>
      </c>
    </row>
    <row r="56" ht="15" customHeight="1">
      <c r="A56" s="34" t="n">
        <v>421</v>
      </c>
      <c r="B56" s="34" t="n">
        <v>1</v>
      </c>
      <c r="C56" s="35" t="inlineStr">
        <is>
          <t>Футбол</t>
        </is>
      </c>
      <c r="D56" s="35" t="inlineStr">
        <is>
          <t>Англия. Премьер-лига</t>
        </is>
      </c>
      <c r="E56" s="35" t="inlineStr">
        <is>
          <t>Ливерпуль - Манчестер Сити</t>
        </is>
      </c>
      <c r="F56" s="35" t="inlineStr">
        <is>
          <t>ТБ 1 в 1-м тайме</t>
        </is>
      </c>
      <c r="G56" s="130" t="n">
        <v>1.58</v>
      </c>
      <c r="H56" s="35" t="inlineStr">
        <is>
          <t>Проигрыш</t>
        </is>
      </c>
      <c r="I56" s="35" t="inlineStr">
        <is>
          <t>0:3 (0:0)</t>
        </is>
      </c>
      <c r="J56" s="35" t="inlineStr">
        <is>
          <t>Прематч</t>
        </is>
      </c>
    </row>
    <row r="57" ht="15" customHeight="1">
      <c r="A57" s="34" t="n">
        <v>422</v>
      </c>
      <c r="B57" s="34" t="n">
        <v>1</v>
      </c>
      <c r="C57" s="35" t="inlineStr">
        <is>
          <t>Теннис</t>
        </is>
      </c>
      <c r="D57" s="35" t="inlineStr">
        <is>
          <t>ATP Challenger. Ольбия. Италия. Хард</t>
        </is>
      </c>
      <c r="E57" s="35" t="inlineStr">
        <is>
          <t>Майкл Ммо - Ласло Джере</t>
        </is>
      </c>
      <c r="F57" s="35" t="inlineStr">
        <is>
          <t>Майкл Ммо (+3,5) по геймам</t>
        </is>
      </c>
      <c r="G57" s="130" t="n">
        <v>1.68</v>
      </c>
      <c r="H57" s="35" t="inlineStr">
        <is>
          <t>Открыт</t>
        </is>
      </c>
      <c r="I57" s="35" t="inlineStr">
        <is>
          <t>13.10.2026</t>
        </is>
      </c>
      <c r="J57" s="35" t="inlineStr">
        <is>
          <t>Прематч</t>
        </is>
      </c>
    </row>
    <row r="58" ht="26.39999961853027" customHeight="1">
      <c r="A58" s="34" t="n">
        <v>423</v>
      </c>
      <c r="B58" s="34" t="n">
        <v>1</v>
      </c>
      <c r="C58" s="35" t="inlineStr">
        <is>
          <t>Теннис</t>
        </is>
      </c>
      <c r="D58" s="35" t="inlineStr">
        <is>
          <t>ATP Challenger. Роан. Франция. Хард. Квалификация</t>
        </is>
      </c>
      <c r="E58" s="35" t="inlineStr">
        <is>
          <t>Олег Приходько - Патрик Брэди</t>
        </is>
      </c>
      <c r="F58" s="35" t="inlineStr">
        <is>
          <t>П2</t>
        </is>
      </c>
      <c r="G58" s="130" t="n">
        <v>1.6</v>
      </c>
      <c r="H58" s="35" t="inlineStr">
        <is>
          <t>Выигрыш</t>
        </is>
      </c>
      <c r="I58" s="35" t="inlineStr">
        <is>
          <t>0:2 (1:6, 2:6)</t>
        </is>
      </c>
      <c r="J58" s="35" t="inlineStr">
        <is>
          <t>Прематч</t>
        </is>
      </c>
    </row>
    <row r="59" ht="15" customHeight="1">
      <c r="A59" s="34" t="n">
        <v>424</v>
      </c>
      <c r="B59" s="34" t="n">
        <v>1</v>
      </c>
      <c r="C59" s="35" t="inlineStr">
        <is>
          <t>Футбол</t>
        </is>
      </c>
      <c r="D59" s="35" t="inlineStr">
        <is>
          <t>Турция. Суперлига</t>
        </is>
      </c>
      <c r="E59" s="35" t="inlineStr">
        <is>
          <t>Бешикташ - Коджаэлиспор</t>
        </is>
      </c>
      <c r="F59" s="35" t="inlineStr">
        <is>
          <t>ТБ 1,5 в 1-м тайме</t>
        </is>
      </c>
      <c r="G59" s="130" t="n">
        <v>1.96</v>
      </c>
      <c r="H59" s="35" t="inlineStr">
        <is>
          <t>Выигрыш</t>
        </is>
      </c>
      <c r="I59" s="35" t="inlineStr">
        <is>
          <t>2:1 (2:1)</t>
        </is>
      </c>
      <c r="J59" s="35" t="inlineStr">
        <is>
          <t>Прематч</t>
        </is>
      </c>
    </row>
    <row r="60" ht="39.59999847412109" customHeight="1">
      <c r="A60" s="34" t="n">
        <v>425</v>
      </c>
      <c r="B60" s="34" t="n">
        <v>1</v>
      </c>
      <c r="C60" s="35" t="inlineStr">
        <is>
          <t>Футбол</t>
        </is>
      </c>
      <c r="D60" s="35" t="inlineStr">
        <is>
          <t>Англия. Премьер-лига</t>
        </is>
      </c>
      <c r="E60" s="35" t="inlineStr">
        <is>
          <t>Ливерпуль - Манчестер Сити</t>
        </is>
      </c>
      <c r="F60" s="35" t="inlineStr">
        <is>
          <t>ТБ 0,5 в 1-м тайме</t>
        </is>
      </c>
      <c r="G60" s="130" t="n">
        <v>2.02</v>
      </c>
      <c r="H60" s="35" t="inlineStr">
        <is>
          <t>Проигрыш</t>
        </is>
      </c>
      <c r="I60" s="35" t="inlineStr">
        <is>
          <t>0:3 (0:0); сумма 200 подтверждена итоговым скрином</t>
        </is>
      </c>
      <c r="J60" s="35" t="inlineStr">
        <is>
          <t>Live</t>
        </is>
      </c>
    </row>
    <row r="61" ht="26.39999961853027" customHeight="1">
      <c r="A61" s="34" t="n">
        <v>426</v>
      </c>
      <c r="B61" s="34" t="n">
        <v>1</v>
      </c>
      <c r="C61" s="35" t="inlineStr">
        <is>
          <t>Футбол</t>
        </is>
      </c>
      <c r="D61" s="35" t="inlineStr">
        <is>
          <t>Португалия. Примейра-лига</t>
        </is>
      </c>
      <c r="E61" s="35" t="inlineStr">
        <is>
          <t>Риу Аве - Насьонал</t>
        </is>
      </c>
      <c r="F61" s="35" t="inlineStr">
        <is>
          <t>ТБ 5,5</t>
        </is>
      </c>
      <c r="G61" s="130" t="n">
        <v>3.77</v>
      </c>
      <c r="H61" s="35" t="inlineStr">
        <is>
          <t>Проигрыш</t>
        </is>
      </c>
      <c r="I61" s="35" t="inlineStr">
        <is>
          <t>3:2 (1:1)</t>
        </is>
      </c>
      <c r="J61" s="35" t="inlineStr">
        <is>
          <t>Live</t>
        </is>
      </c>
    </row>
    <row r="62" ht="26.39999961853027" customHeight="1">
      <c r="A62" s="34" t="n">
        <v>427</v>
      </c>
      <c r="B62" s="34" t="n">
        <v>1</v>
      </c>
      <c r="C62" s="35" t="inlineStr">
        <is>
          <t>Футбол</t>
        </is>
      </c>
      <c r="D62" s="35" t="inlineStr">
        <is>
          <t>Испания. Ла Лига. Статистика</t>
        </is>
      </c>
      <c r="E62" s="35" t="inlineStr">
        <is>
          <t>Бетис - Осасуна</t>
        </is>
      </c>
      <c r="F62" s="35" t="inlineStr">
        <is>
          <t>ТМ 36,5 аутов</t>
        </is>
      </c>
      <c r="G62" s="130" t="n">
        <v>1.49</v>
      </c>
      <c r="H62" s="35" t="inlineStr">
        <is>
          <t>Выигрыш</t>
        </is>
      </c>
      <c r="I62" s="35" t="inlineStr">
        <is>
          <t>Ауты 17:10 (8:3)</t>
        </is>
      </c>
      <c r="J62" s="35" t="inlineStr">
        <is>
          <t>Live</t>
        </is>
      </c>
    </row>
    <row r="63" ht="15" customHeight="1">
      <c r="A63" s="34" t="n">
        <v>428</v>
      </c>
      <c r="B63" s="34" t="n">
        <v>1</v>
      </c>
      <c r="C63" s="35" t="inlineStr">
        <is>
          <t>Футбол</t>
        </is>
      </c>
      <c r="D63" s="35" t="inlineStr">
        <is>
          <t>Испания. Ла Лига. Статистика</t>
        </is>
      </c>
      <c r="E63" s="35" t="inlineStr">
        <is>
          <t>Бетис - Осасуна</t>
        </is>
      </c>
      <c r="F63" s="35" t="inlineStr">
        <is>
          <t>ТМ 11,5 фолов в 1-м тайме</t>
        </is>
      </c>
      <c r="G63" s="130" t="n">
        <v>1.59</v>
      </c>
      <c r="H63" s="35" t="inlineStr">
        <is>
          <t>Проигрыш</t>
        </is>
      </c>
      <c r="I63" s="35" t="inlineStr">
        <is>
          <t>Фолы 11:13 (6:7); ошибочный матч</t>
        </is>
      </c>
      <c r="J63" s="35" t="inlineStr">
        <is>
          <t>Live</t>
        </is>
      </c>
    </row>
    <row r="64" ht="15" customHeight="1">
      <c r="A64" s="34" t="n">
        <v>429</v>
      </c>
      <c r="B64" s="34" t="n">
        <v>1</v>
      </c>
      <c r="C64" s="35" t="inlineStr">
        <is>
          <t>Футбол</t>
        </is>
      </c>
      <c r="D64" s="35" t="inlineStr">
        <is>
          <t>Испания. Ла Лига. Статистика</t>
        </is>
      </c>
      <c r="E64" s="35" t="inlineStr">
        <is>
          <t>Бетис - Осасуна</t>
        </is>
      </c>
      <c r="F64" s="35" t="inlineStr">
        <is>
          <t>ТМ 11,5 фолов в 1-м тайме</t>
        </is>
      </c>
      <c r="G64" s="130" t="n">
        <v>1.57</v>
      </c>
      <c r="H64" s="35" t="inlineStr">
        <is>
          <t>Проигрыш</t>
        </is>
      </c>
      <c r="I64" s="35" t="inlineStr">
        <is>
          <t>Фолы 11:13 (6:7); ошибочный матч</t>
        </is>
      </c>
      <c r="J64" s="35" t="inlineStr">
        <is>
          <t>Live</t>
        </is>
      </c>
    </row>
    <row r="65" ht="15" customHeight="1">
      <c r="A65" s="34" t="n">
        <v>430</v>
      </c>
      <c r="B65" s="34" t="n">
        <v>1</v>
      </c>
      <c r="C65" s="35" t="inlineStr">
        <is>
          <t>Футбол</t>
        </is>
      </c>
      <c r="D65" s="35" t="inlineStr">
        <is>
          <t>Англия. Премьер-лига</t>
        </is>
      </c>
      <c r="E65" s="35" t="inlineStr">
        <is>
          <t>Ливерпуль - Манчестер Сити</t>
        </is>
      </c>
      <c r="F65" s="35" t="inlineStr">
        <is>
          <t>ТБ 1</t>
        </is>
      </c>
      <c r="G65" s="130" t="n">
        <v>1.62</v>
      </c>
      <c r="H65" s="35" t="inlineStr">
        <is>
          <t>Выигрыш</t>
        </is>
      </c>
      <c r="I65" s="35" t="inlineStr">
        <is>
          <t>0:3 (0:0)</t>
        </is>
      </c>
      <c r="J65" s="35" t="inlineStr">
        <is>
          <t>Live</t>
        </is>
      </c>
    </row>
    <row r="66" ht="26.39999961853027" customHeight="1">
      <c r="A66" s="34" t="n">
        <v>431</v>
      </c>
      <c r="B66" s="34" t="n">
        <v>1</v>
      </c>
      <c r="C66" s="35" t="inlineStr">
        <is>
          <t>Футбол</t>
        </is>
      </c>
      <c r="D66" s="35" t="inlineStr">
        <is>
          <t>Испания. Сегунда дивизион RFEF. Группа 2</t>
        </is>
      </c>
      <c r="E66" s="35" t="inlineStr">
        <is>
          <t>Олот - Терраса</t>
        </is>
      </c>
      <c r="F66" s="35" t="inlineStr">
        <is>
          <t>ТБ 3,5</t>
        </is>
      </c>
      <c r="G66" s="130" t="n">
        <v>2.53</v>
      </c>
      <c r="H66" s="35" t="inlineStr">
        <is>
          <t>Проигрыш</t>
        </is>
      </c>
      <c r="I66" s="35" t="inlineStr">
        <is>
          <t>1:1 (1:1)</t>
        </is>
      </c>
      <c r="J66" s="35" t="inlineStr">
        <is>
          <t>Live</t>
        </is>
      </c>
    </row>
    <row r="67" ht="26.39999961853027" customHeight="1">
      <c r="A67" s="34" t="n">
        <v>432</v>
      </c>
      <c r="B67" s="34" t="n">
        <v>1</v>
      </c>
      <c r="C67" s="35" t="inlineStr">
        <is>
          <t>Хоккей</t>
        </is>
      </c>
      <c r="D67" s="35" t="inlineStr">
        <is>
          <t>AHL. Регулярный сезон</t>
        </is>
      </c>
      <c r="E67" s="35" t="inlineStr">
        <is>
          <t>Милуоки Адмиралс - Колорадо Иглс</t>
        </is>
      </c>
      <c r="F67" s="35" t="inlineStr">
        <is>
          <t>Победа Милуоки Адмиралс в основное время</t>
        </is>
      </c>
      <c r="G67" s="130" t="n">
        <v>2.29</v>
      </c>
      <c r="H67" s="35" t="inlineStr">
        <is>
          <t>Открыт</t>
        </is>
      </c>
      <c r="I67" s="35" t="inlineStr">
        <is>
          <t>17.10.2026</t>
        </is>
      </c>
      <c r="J67" s="35" t="inlineStr">
        <is>
          <t>Прематч</t>
        </is>
      </c>
    </row>
    <row r="68" ht="26.39999961853027" customHeight="1">
      <c r="A68" s="37" t="n">
        <v>433</v>
      </c>
      <c r="B68" s="37" t="n">
        <v>1</v>
      </c>
      <c r="C68" s="38" t="inlineStr">
        <is>
          <t>Футбол</t>
        </is>
      </c>
      <c r="D68" s="38" t="inlineStr">
        <is>
          <t>Эквадор. Серия A</t>
        </is>
      </c>
      <c r="E68" s="38" t="inlineStr">
        <is>
          <t>Унив. Католика Кито - Макара</t>
        </is>
      </c>
      <c r="F68" s="38" t="inlineStr">
        <is>
          <t>ТБ 1,5</t>
        </is>
      </c>
      <c r="G68" s="131" t="n">
        <v>1.81</v>
      </c>
      <c r="H68" s="38" t="inlineStr">
        <is>
          <t>Проигрыш</t>
        </is>
      </c>
      <c r="I68" s="38" t="inlineStr">
        <is>
          <t>0:1 (0:1)</t>
        </is>
      </c>
      <c r="J68" s="38" t="inlineStr">
        <is>
          <t>Live</t>
        </is>
      </c>
    </row>
    <row r="69">
      <c r="A69" s="37" t="n">
        <v>434</v>
      </c>
      <c r="B69" s="37" t="n">
        <v>1</v>
      </c>
      <c r="C69" s="38" t="inlineStr">
        <is>
          <t>Футбол</t>
        </is>
      </c>
      <c r="D69" s="38" t="inlineStr">
        <is>
          <t>Греция. Суперлига</t>
        </is>
      </c>
      <c r="E69" s="38" t="inlineStr">
        <is>
          <t>Олимпиакос - Панатинаикос</t>
        </is>
      </c>
      <c r="F69" s="38" t="inlineStr">
        <is>
          <t>ТБ 0,5 в 1-м тайме</t>
        </is>
      </c>
      <c r="G69" s="131" t="n">
        <v>2.11</v>
      </c>
      <c r="H69" s="38" t="inlineStr">
        <is>
          <t>Выигрыш</t>
        </is>
      </c>
      <c r="I69" s="38" t="inlineStr">
        <is>
          <t>1:0 (1:0)</t>
        </is>
      </c>
      <c r="J69" s="38" t="inlineStr">
        <is>
          <t>Live</t>
        </is>
      </c>
    </row>
    <row r="70">
      <c r="A70" s="37" t="n">
        <v>435</v>
      </c>
      <c r="B70" s="37" t="n">
        <v>1</v>
      </c>
      <c r="C70" s="38" t="inlineStr">
        <is>
          <t>Футбол</t>
        </is>
      </c>
      <c r="D70" s="38" t="inlineStr">
        <is>
          <t>Португалия. Примейра-лига</t>
        </is>
      </c>
      <c r="E70" s="38" t="inlineStr">
        <is>
          <t>Бенфика - Витория Гимарайнш</t>
        </is>
      </c>
      <c r="F70" s="38" t="inlineStr">
        <is>
          <t>Следующий гол - 2-й гол: Бенфика</t>
        </is>
      </c>
      <c r="G70" s="131" t="n">
        <v>1.79</v>
      </c>
      <c r="H70" s="38" t="inlineStr">
        <is>
          <t>Выигрыш</t>
        </is>
      </c>
      <c r="I70" s="38" t="inlineStr">
        <is>
          <t>2:0 (1:0)</t>
        </is>
      </c>
      <c r="J70" s="38" t="inlineStr">
        <is>
          <t>Live</t>
        </is>
      </c>
    </row>
    <row r="71">
      <c r="A71" s="37" t="n">
        <v>436</v>
      </c>
      <c r="B71" s="37" t="n">
        <v>1</v>
      </c>
      <c r="C71" s="38" t="inlineStr">
        <is>
          <t>Хоккей</t>
        </is>
      </c>
      <c r="D71" s="38" t="inlineStr">
        <is>
          <t>Германия. DEL</t>
        </is>
      </c>
      <c r="E71" s="38" t="inlineStr">
        <is>
          <t>Адлер Мангейм - Штраубинг Тайгерс</t>
        </is>
      </c>
      <c r="F71" s="38" t="inlineStr">
        <is>
          <t>ТБ 4,5</t>
        </is>
      </c>
      <c r="G71" s="131" t="n">
        <v>2.58</v>
      </c>
      <c r="H71" s="38" t="inlineStr">
        <is>
          <t>Проигрыш</t>
        </is>
      </c>
      <c r="I71" s="38" t="inlineStr">
        <is>
          <t>2:1 (1:1, 0:0, 1:0)</t>
        </is>
      </c>
      <c r="J71" s="38" t="inlineStr">
        <is>
          <t>Live</t>
        </is>
      </c>
    </row>
    <row r="72">
      <c r="A72" s="37" t="n">
        <v>437</v>
      </c>
      <c r="B72" s="37" t="n">
        <v>1</v>
      </c>
      <c r="C72" s="38" t="inlineStr">
        <is>
          <t>Футбол</t>
        </is>
      </c>
      <c r="D72" s="38" t="inlineStr">
        <is>
          <t>Аргентина. Примера Насьональ</t>
        </is>
      </c>
      <c r="E72" s="38" t="inlineStr">
        <is>
          <t>Атлетико Атланта - Сан-Мартин де Тукуман</t>
        </is>
      </c>
      <c r="F72" s="38" t="inlineStr">
        <is>
          <t>ТБ 1 во 2-м тайме</t>
        </is>
      </c>
      <c r="G72" s="131" t="n">
        <v>1.58</v>
      </c>
      <c r="H72" s="38" t="inlineStr">
        <is>
          <t>Возврат</t>
        </is>
      </c>
      <c r="I72" s="38" t="inlineStr">
        <is>
          <t>1:0 (0:0)</t>
        </is>
      </c>
      <c r="J72" s="38" t="inlineStr">
        <is>
          <t>Live</t>
        </is>
      </c>
    </row>
    <row r="73">
      <c r="A73" s="37" t="n">
        <v>438</v>
      </c>
      <c r="B73" s="37" t="n">
        <v>1</v>
      </c>
      <c r="C73" s="38" t="inlineStr">
        <is>
          <t>Футбол</t>
        </is>
      </c>
      <c r="D73" s="38" t="inlineStr">
        <is>
          <t>Аргентина. Примера Насьональ</t>
        </is>
      </c>
      <c r="E73" s="38" t="inlineStr">
        <is>
          <t>Атлетико Атланта - Сан-Мартин де Тукуман</t>
        </is>
      </c>
      <c r="F73" s="38" t="inlineStr">
        <is>
          <t>ТБ 0,5</t>
        </is>
      </c>
      <c r="G73" s="131" t="n">
        <v>1.78</v>
      </c>
      <c r="H73" s="38" t="inlineStr">
        <is>
          <t>Выигрыш</t>
        </is>
      </c>
      <c r="I73" s="38" t="inlineStr">
        <is>
          <t>1:0 (0:0)</t>
        </is>
      </c>
      <c r="J73" s="38" t="inlineStr">
        <is>
          <t>Live</t>
        </is>
      </c>
    </row>
    <row r="74">
      <c r="A74" s="37" t="n">
        <v>439</v>
      </c>
      <c r="B74" s="37" t="n">
        <v>1</v>
      </c>
      <c r="C74" s="38" t="inlineStr">
        <is>
          <t>Футбол</t>
        </is>
      </c>
      <c r="D74" s="38" t="inlineStr">
        <is>
          <t>Польша. 1-я лига</t>
        </is>
      </c>
      <c r="E74" s="38" t="inlineStr">
        <is>
          <t>Одра Ополе - Медзь Легница</t>
        </is>
      </c>
      <c r="F74" s="38" t="inlineStr">
        <is>
          <t>ТБ 1</t>
        </is>
      </c>
      <c r="G74" s="131" t="n">
        <v>2.07</v>
      </c>
      <c r="H74" s="38" t="inlineStr">
        <is>
          <t>Возврат</t>
        </is>
      </c>
      <c r="I74" s="38" t="inlineStr">
        <is>
          <t>1:0 (0:0)</t>
        </is>
      </c>
      <c r="J74" s="38" t="inlineStr">
        <is>
          <t>Live</t>
        </is>
      </c>
    </row>
    <row r="75" ht="30" customHeight="1">
      <c r="A75" s="37" t="n">
        <v>440</v>
      </c>
      <c r="B75" s="37" t="n">
        <v>1</v>
      </c>
      <c r="C75" s="38" t="inlineStr">
        <is>
          <t>Баскетбол</t>
        </is>
      </c>
      <c r="D75" s="38" t="inlineStr">
        <is>
          <t>НБА. Предсезонные матчи</t>
        </is>
      </c>
      <c r="E75" s="38" t="inlineStr">
        <is>
          <t>Шарлотт Хорнетс - Милуоки Бакс</t>
        </is>
      </c>
      <c r="F75" s="38" t="inlineStr">
        <is>
          <t>Милуоки Бакс (+5,5)</t>
        </is>
      </c>
      <c r="G75" s="131" t="n">
        <v>1.73</v>
      </c>
      <c r="H75" s="38" t="inlineStr">
        <is>
          <t>Проигрыш</t>
        </is>
      </c>
      <c r="I75" s="38" t="inlineStr">
        <is>
          <t>105:90 (29:26, 31:19, 27:22, 18:23)</t>
        </is>
      </c>
      <c r="J75" s="38" t="inlineStr">
        <is>
          <t>Прематч</t>
        </is>
      </c>
    </row>
    <row r="76">
      <c r="A76" s="37" t="n">
        <v>441</v>
      </c>
      <c r="B76" s="37" t="n">
        <v>1</v>
      </c>
      <c r="C76" s="38" t="inlineStr">
        <is>
          <t>Футбол</t>
        </is>
      </c>
      <c r="D76" s="38" t="inlineStr">
        <is>
          <t>Испания. Ла Лига</t>
        </is>
      </c>
      <c r="E76" s="38" t="inlineStr">
        <is>
          <t>Расинг Сантандер - Валенсия</t>
        </is>
      </c>
      <c r="F76" s="38" t="inlineStr">
        <is>
          <t>ТБ 3,5</t>
        </is>
      </c>
      <c r="G76" s="131" t="n">
        <v>1.96</v>
      </c>
      <c r="H76" s="38" t="inlineStr">
        <is>
          <t>Выигрыш</t>
        </is>
      </c>
      <c r="I76" s="38" t="inlineStr">
        <is>
          <t>2:2 (1:1)</t>
        </is>
      </c>
      <c r="J76" s="38" t="inlineStr">
        <is>
          <t>Live</t>
        </is>
      </c>
    </row>
    <row r="77">
      <c r="A77" s="37" t="n">
        <v>442</v>
      </c>
      <c r="B77" s="37" t="n">
        <v>1</v>
      </c>
      <c r="C77" s="38" t="inlineStr">
        <is>
          <t>Футбол</t>
        </is>
      </c>
      <c r="D77" s="38" t="inlineStr">
        <is>
          <t>Италия. Серия A</t>
        </is>
      </c>
      <c r="E77" s="38" t="inlineStr">
        <is>
          <t>Кальяри - Ювентус</t>
        </is>
      </c>
      <c r="F77" s="38" t="inlineStr">
        <is>
          <t>ТБ 1,5</t>
        </is>
      </c>
      <c r="G77" s="131" t="n">
        <v>1.96</v>
      </c>
      <c r="H77" s="38" t="inlineStr">
        <is>
          <t>Выигрыш</t>
        </is>
      </c>
      <c r="I77" s="38" t="inlineStr">
        <is>
          <t>1:1 (1:0)</t>
        </is>
      </c>
      <c r="J77" s="38" t="inlineStr">
        <is>
          <t>Live</t>
        </is>
      </c>
    </row>
    <row r="78">
      <c r="A78" s="37" t="n">
        <v>443</v>
      </c>
      <c r="B78" s="37" t="n">
        <v>1</v>
      </c>
      <c r="C78" s="38" t="inlineStr">
        <is>
          <t>Футбол</t>
        </is>
      </c>
      <c r="D78" s="38" t="inlineStr">
        <is>
          <t>Китай. 2-я лига</t>
        </is>
      </c>
      <c r="E78" s="38" t="inlineStr">
        <is>
          <t>Гуанчжоу Данделион Альфа - Шанхай Сэгэньда</t>
        </is>
      </c>
      <c r="F78" s="38" t="inlineStr">
        <is>
          <t>ТБ 2,5 в 1-м тайме</t>
        </is>
      </c>
      <c r="G78" s="131" t="n">
        <v>2.38</v>
      </c>
      <c r="H78" s="38" t="inlineStr">
        <is>
          <t>Выигрыш</t>
        </is>
      </c>
      <c r="I78" s="38" t="inlineStr">
        <is>
          <t>3:1 (2:1); Фрибет 500: выплачена только чистая прибыль 690 без возврата номинала.</t>
        </is>
      </c>
      <c r="J78" s="38" t="inlineStr">
        <is>
          <t>Live</t>
        </is>
      </c>
    </row>
    <row r="79">
      <c r="A79" s="37" t="n">
        <v>444</v>
      </c>
      <c r="B79" s="37" t="n">
        <v>1</v>
      </c>
      <c r="C79" s="38" t="inlineStr">
        <is>
          <t>Футбол</t>
        </is>
      </c>
      <c r="D79" s="38" t="inlineStr">
        <is>
          <t>Вьетнам. Национальная лига. Женщины</t>
        </is>
      </c>
      <c r="E79" s="38" t="inlineStr">
        <is>
          <t>Хошимин II (жен) - Тхан КСВН (жен)</t>
        </is>
      </c>
      <c r="F79" s="38" t="inlineStr">
        <is>
          <t>ТБ 4,5</t>
        </is>
      </c>
      <c r="G79" s="131" t="n">
        <v>1.84</v>
      </c>
      <c r="H79" s="38" t="inlineStr">
        <is>
          <t>Выигрыш</t>
        </is>
      </c>
      <c r="I79" s="38" t="inlineStr">
        <is>
          <t>1:6 (1:2)</t>
        </is>
      </c>
      <c r="J79" s="38" t="inlineStr">
        <is>
          <t>Live</t>
        </is>
      </c>
    </row>
    <row r="80">
      <c r="A80" s="37" t="n">
        <v>445</v>
      </c>
      <c r="B80" s="37" t="n">
        <v>1</v>
      </c>
      <c r="C80" s="38" t="inlineStr">
        <is>
          <t>Футбол</t>
        </is>
      </c>
      <c r="D80" s="38" t="inlineStr">
        <is>
          <t>Китай. 2-я лига</t>
        </is>
      </c>
      <c r="E80" s="38" t="inlineStr">
        <is>
          <t>Гуанчжоу Данделион Альфа - Шанхай Сэгэньда</t>
        </is>
      </c>
      <c r="F80" s="38" t="inlineStr">
        <is>
          <t>ТБ 4</t>
        </is>
      </c>
      <c r="G80" s="131" t="n">
        <v>1.59</v>
      </c>
      <c r="H80" s="38" t="inlineStr">
        <is>
          <t>Возврат</t>
        </is>
      </c>
      <c r="I80" s="38" t="inlineStr">
        <is>
          <t>3:1 (2:1)</t>
        </is>
      </c>
      <c r="J80" s="38" t="inlineStr">
        <is>
          <t>Live</t>
        </is>
      </c>
    </row>
    <row r="81">
      <c r="A81" s="37" t="n">
        <v>446</v>
      </c>
      <c r="B81" s="37" t="n">
        <v>1</v>
      </c>
      <c r="C81" s="38" t="inlineStr">
        <is>
          <t>Теннис</t>
        </is>
      </c>
      <c r="D81" s="38" t="inlineStr">
        <is>
          <t>ATP 1000. Шанхай. Хард</t>
        </is>
      </c>
      <c r="E81" s="38" t="inlineStr">
        <is>
          <t>Фис Артур - Ван де Зандсхулп Ботик</t>
        </is>
      </c>
      <c r="F81" s="38" t="inlineStr">
        <is>
          <t>Ф2 (+4,5)</t>
        </is>
      </c>
      <c r="G81" s="131" t="n">
        <v>1.83</v>
      </c>
      <c r="H81" s="38" t="inlineStr">
        <is>
          <t>Выигрыш</t>
        </is>
      </c>
      <c r="I81" s="38" t="inlineStr">
        <is>
          <t>0:2 (5:7, 4:6)</t>
        </is>
      </c>
      <c r="J81" s="38" t="inlineStr">
        <is>
          <t>Прематч</t>
        </is>
      </c>
    </row>
    <row r="82">
      <c r="A82" s="37" t="n">
        <v>447</v>
      </c>
      <c r="B82" s="37" t="n">
        <v>1</v>
      </c>
      <c r="C82" s="38" t="inlineStr">
        <is>
          <t>Хоккей</t>
        </is>
      </c>
      <c r="D82" s="38" t="inlineStr">
        <is>
          <t>КХЛ. Регулярный чемпионат</t>
        </is>
      </c>
      <c r="E82" s="38" t="inlineStr">
        <is>
          <t>Барыс - Сибирь</t>
        </is>
      </c>
      <c r="F82" s="38" t="inlineStr">
        <is>
          <t>ИТБ Барыса 2,5</t>
        </is>
      </c>
      <c r="G82" s="131" t="n">
        <v>1.81</v>
      </c>
      <c r="H82" s="38" t="inlineStr">
        <is>
          <t>Открыт</t>
        </is>
      </c>
      <c r="I82" s="38" t="str"/>
      <c r="J82" s="38" t="inlineStr">
        <is>
          <t>Прематч</t>
        </is>
      </c>
    </row>
    <row r="83">
      <c r="A83" s="37" t="n">
        <v>448</v>
      </c>
      <c r="B83" s="37" t="n">
        <v>1</v>
      </c>
      <c r="C83" s="38" t="inlineStr">
        <is>
          <t>Футбол</t>
        </is>
      </c>
      <c r="D83" s="38" t="inlineStr">
        <is>
          <t>Парагвай. Примера. Резерв</t>
        </is>
      </c>
      <c r="E83" s="38" t="inlineStr">
        <is>
          <t>Либертад (рез) - Гуарани Асунсьон (рез)</t>
        </is>
      </c>
      <c r="F83" s="38" t="inlineStr">
        <is>
          <t>ТБ 2,5</t>
        </is>
      </c>
      <c r="G83" s="131" t="n">
        <v>1.89</v>
      </c>
      <c r="H83" s="38" t="inlineStr">
        <is>
          <t>Проигрыш</t>
        </is>
      </c>
      <c r="I83" s="38" t="inlineStr">
        <is>
          <t>1:1 (1:0)</t>
        </is>
      </c>
      <c r="J83" s="38" t="inlineStr">
        <is>
          <t>Live</t>
        </is>
      </c>
    </row>
    <row r="84">
      <c r="A84" s="37" t="n">
        <v>449</v>
      </c>
      <c r="B84" s="37" t="n">
        <v>1</v>
      </c>
      <c r="C84" s="38" t="inlineStr">
        <is>
          <t>Хоккей</t>
        </is>
      </c>
      <c r="D84" s="38" t="inlineStr">
        <is>
          <t>OLIMPBET-ВХЛ. Регулярный чемпионат</t>
        </is>
      </c>
      <c r="E84" s="38" t="inlineStr">
        <is>
          <t>Норильск - Молот Пермь</t>
        </is>
      </c>
      <c r="F84" s="38" t="inlineStr">
        <is>
          <t>2-й период ТБ 1,5</t>
        </is>
      </c>
      <c r="G84" s="131" t="n">
        <v>1.82</v>
      </c>
      <c r="H84" s="38" t="inlineStr">
        <is>
          <t>Выигрыш</t>
        </is>
      </c>
      <c r="I84" s="38" t="inlineStr">
        <is>
          <t>Результат подтверждён скрином 12.10.2026</t>
        </is>
      </c>
      <c r="J84" s="38" t="inlineStr">
        <is>
          <t>Live</t>
        </is>
      </c>
    </row>
    <row r="85">
      <c r="A85" s="37" t="n">
        <v>450</v>
      </c>
      <c r="B85" s="37" t="n">
        <v>1</v>
      </c>
      <c r="C85" s="38" t="inlineStr">
        <is>
          <t>Футбол</t>
        </is>
      </c>
      <c r="D85" s="38" t="inlineStr">
        <is>
          <t>Испания. Ла Лига 2. Статистика</t>
        </is>
      </c>
      <c r="E85" s="38" t="inlineStr">
        <is>
          <t>ЖК Вальядолид - ЖК Альбасете</t>
        </is>
      </c>
      <c r="F85" s="38" t="inlineStr">
        <is>
          <t>ТМ 5,5</t>
        </is>
      </c>
      <c r="G85" s="131" t="n">
        <v>1.61</v>
      </c>
      <c r="H85" s="38" t="inlineStr">
        <is>
          <t>Проигрыш</t>
        </is>
      </c>
      <c r="I85" s="38" t="inlineStr">
        <is>
          <t>Результат подтверждён скрином 12.10.2026</t>
        </is>
      </c>
      <c r="J85" s="38" t="inlineStr">
        <is>
          <t>Live</t>
        </is>
      </c>
    </row>
    <row r="86">
      <c r="A86" s="37" t="n">
        <v>451</v>
      </c>
      <c r="B86" s="37" t="n">
        <v>1</v>
      </c>
      <c r="C86" s="38" t="inlineStr">
        <is>
          <t>Футбол</t>
        </is>
      </c>
      <c r="D86" s="38" t="inlineStr">
        <is>
          <t>Ливан. 1-й дивизион</t>
        </is>
      </c>
      <c r="E86" s="38" t="inlineStr">
        <is>
          <t>Шабаб Аль-Сахел - Сафа Бейрут</t>
        </is>
      </c>
      <c r="F86" s="38" t="inlineStr">
        <is>
          <t>ТБ 3,5</t>
        </is>
      </c>
      <c r="G86" s="131" t="n">
        <v>2.21</v>
      </c>
      <c r="H86" s="38" t="inlineStr">
        <is>
          <t>Открыт</t>
        </is>
      </c>
      <c r="I86" s="38" t="str"/>
      <c r="J86" s="38" t="inlineStr">
        <is>
          <t>Прематч</t>
        </is>
      </c>
    </row>
    <row r="87">
      <c r="A87" s="37" t="n">
        <v>452</v>
      </c>
      <c r="B87" s="37" t="n">
        <v>1</v>
      </c>
      <c r="C87" s="38" t="inlineStr">
        <is>
          <t>Хоккей</t>
        </is>
      </c>
      <c r="D87" s="38" t="inlineStr">
        <is>
          <t>Казахстан. Про Лига</t>
        </is>
      </c>
      <c r="E87" s="38" t="inlineStr">
        <is>
          <t>Алматы - Горняк Рудный</t>
        </is>
      </c>
      <c r="F87" s="38" t="inlineStr">
        <is>
          <t>Победитель матча: Горняк Рудный</t>
        </is>
      </c>
      <c r="G87" s="131" t="n">
        <v>1.65</v>
      </c>
      <c r="H87" s="38" t="inlineStr">
        <is>
          <t>Открыт</t>
        </is>
      </c>
      <c r="I87" s="38" t="str"/>
      <c r="J87" s="38" t="inlineStr">
        <is>
          <t>Прематч</t>
        </is>
      </c>
    </row>
    <row r="88">
      <c r="A88" s="37" t="n">
        <v>453</v>
      </c>
      <c r="B88" s="37" t="n">
        <v>1</v>
      </c>
      <c r="C88" s="38" t="inlineStr">
        <is>
          <t>Хоккей</t>
        </is>
      </c>
      <c r="D88" s="38" t="inlineStr">
        <is>
          <t>КХЛ. Регулярный чемпионат</t>
        </is>
      </c>
      <c r="E88" s="38" t="inlineStr">
        <is>
          <t>Торпедо НН - Металлург Мг</t>
        </is>
      </c>
      <c r="F88" s="38" t="inlineStr">
        <is>
          <t>ИТБ Металлурга Мг 2,5</t>
        </is>
      </c>
      <c r="G88" s="131" t="n">
        <v>1.76</v>
      </c>
      <c r="H88" s="38" t="inlineStr">
        <is>
          <t>Открыт</t>
        </is>
      </c>
      <c r="I88" s="38" t="str"/>
      <c r="J88" s="38" t="inlineStr">
        <is>
          <t>Прематч</t>
        </is>
      </c>
    </row>
    <row r="89">
      <c r="A89" s="37" t="n">
        <v>454</v>
      </c>
      <c r="B89" s="37" t="n">
        <v>1</v>
      </c>
      <c r="C89" s="38" t="inlineStr">
        <is>
          <t>Футбол</t>
        </is>
      </c>
      <c r="D89" s="38" t="inlineStr">
        <is>
          <t>Англия. Премьер-лига</t>
        </is>
      </c>
      <c r="E89" s="38" t="inlineStr">
        <is>
          <t>Ковентри Сити - Ньюкасл Юнайтед</t>
        </is>
      </c>
      <c r="F89" s="38" t="inlineStr">
        <is>
          <t>Ф2 (0)</t>
        </is>
      </c>
      <c r="G89" s="131" t="n">
        <v>1.6</v>
      </c>
      <c r="H89" s="38" t="inlineStr">
        <is>
          <t>Открыт</t>
        </is>
      </c>
      <c r="I89" s="38" t="str"/>
      <c r="J89" s="38" t="inlineStr">
        <is>
          <t>Прематч</t>
        </is>
      </c>
    </row>
    <row r="90">
      <c r="A90" s="37" t="n">
        <v>455</v>
      </c>
      <c r="B90" s="37" t="n">
        <v>1</v>
      </c>
      <c r="C90" s="38" t="inlineStr">
        <is>
          <t>Футбол</t>
        </is>
      </c>
      <c r="D90" s="38" t="inlineStr">
        <is>
          <t>Италия. Серия A</t>
        </is>
      </c>
      <c r="E90" s="38" t="inlineStr">
        <is>
          <t>Аталанта - Венеция</t>
        </is>
      </c>
      <c r="F90" s="38" t="inlineStr">
        <is>
          <t>П1</t>
        </is>
      </c>
      <c r="G90" s="131" t="n">
        <v>1.53</v>
      </c>
      <c r="H90" s="38" t="inlineStr">
        <is>
          <t>Открыт</t>
        </is>
      </c>
      <c r="I90" s="38" t="str"/>
      <c r="J90" s="38" t="inlineStr">
        <is>
          <t>Прематч</t>
        </is>
      </c>
    </row>
    <row r="91">
      <c r="A91" s="37" t="n">
        <v>456</v>
      </c>
      <c r="B91" s="37" t="n">
        <v>1</v>
      </c>
      <c r="C91" s="38" t="inlineStr">
        <is>
          <t>Хоккей</t>
        </is>
      </c>
      <c r="D91" s="38" t="inlineStr">
        <is>
          <t>Беларусь. Экстралига</t>
        </is>
      </c>
      <c r="E91" s="38" t="inlineStr">
        <is>
          <t>Брест - Металлург Жлобин</t>
        </is>
      </c>
      <c r="F91" s="38" t="inlineStr">
        <is>
          <t>ТБ 4,5</t>
        </is>
      </c>
      <c r="G91" s="131" t="n">
        <v>1.71</v>
      </c>
      <c r="H91" s="38" t="inlineStr">
        <is>
          <t>Открыт</t>
        </is>
      </c>
      <c r="I91" s="38" t="str"/>
      <c r="J91" s="38" t="inlineStr">
        <is>
          <t>Прематч</t>
        </is>
      </c>
    </row>
    <row r="92">
      <c r="A92" s="37" t="n">
        <v>457</v>
      </c>
      <c r="B92" s="37" t="n">
        <v>1</v>
      </c>
      <c r="C92" s="38" t="inlineStr">
        <is>
          <t>Хоккей</t>
        </is>
      </c>
      <c r="D92" s="38" t="inlineStr">
        <is>
          <t>Дания. Metal Ligaen</t>
        </is>
      </c>
      <c r="E92" s="38" t="inlineStr">
        <is>
          <t>Херлев - Ольборг</t>
        </is>
      </c>
      <c r="F92" s="38" t="inlineStr">
        <is>
          <t>Х2</t>
        </is>
      </c>
      <c r="G92" s="131" t="n">
        <v>1.83</v>
      </c>
      <c r="H92" s="38" t="inlineStr">
        <is>
          <t>Открыт</t>
        </is>
      </c>
      <c r="I92" s="38" t="str"/>
      <c r="J92" s="38" t="inlineStr">
        <is>
          <t>Прематч</t>
        </is>
      </c>
    </row>
    <row r="93">
      <c r="A93" s="37" t="n">
        <v>458</v>
      </c>
      <c r="B93" s="37" t="n">
        <v>1</v>
      </c>
      <c r="C93" s="38" t="inlineStr">
        <is>
          <t>Хоккей</t>
        </is>
      </c>
      <c r="D93" s="38" t="inlineStr">
        <is>
          <t>КХЛ. Регулярный чемпионат</t>
        </is>
      </c>
      <c r="E93" s="38" t="inlineStr">
        <is>
          <t>Барыс - Сибирь</t>
        </is>
      </c>
      <c r="F93" s="38" t="inlineStr">
        <is>
          <t>П1</t>
        </is>
      </c>
      <c r="G93" s="131" t="n">
        <v>2.01</v>
      </c>
      <c r="H93" s="38" t="inlineStr">
        <is>
          <t>Открыт</t>
        </is>
      </c>
      <c r="I93" s="38" t="str"/>
      <c r="J93" s="38" t="inlineStr">
        <is>
          <t>Прематч</t>
        </is>
      </c>
    </row>
    <row r="94">
      <c r="A94" s="37" t="n">
        <v>459</v>
      </c>
      <c r="B94" s="37" t="n">
        <v>1</v>
      </c>
      <c r="C94" s="38" t="inlineStr">
        <is>
          <t>Футбол</t>
        </is>
      </c>
      <c r="D94" s="38" t="inlineStr">
        <is>
          <t>Саудовская Аравия. Элит лига до 21 года</t>
        </is>
      </c>
      <c r="E94" s="38" t="inlineStr">
        <is>
          <t>Аль-Ахли Джидда (до 21) - Аль-Вахда Мекка (до 21)</t>
        </is>
      </c>
      <c r="F94" s="38" t="inlineStr">
        <is>
          <t>Аль-Вахда Мекка забьёт: да</t>
        </is>
      </c>
      <c r="G94" s="131" t="n">
        <v>2.67</v>
      </c>
      <c r="H94" s="38" t="inlineStr">
        <is>
          <t>Открыт</t>
        </is>
      </c>
      <c r="I94" s="38" t="str"/>
      <c r="J94" s="38" t="inlineStr">
        <is>
          <t>Прематч</t>
        </is>
      </c>
    </row>
    <row r="95">
      <c r="A95" s="37" t="n">
        <v>460</v>
      </c>
      <c r="B95" s="37" t="n">
        <v>1</v>
      </c>
      <c r="C95" s="38" t="inlineStr">
        <is>
          <t>Хоккей</t>
        </is>
      </c>
      <c r="D95" s="38" t="inlineStr">
        <is>
          <t>Швеция. Allsvenskan</t>
        </is>
      </c>
      <c r="E95" s="38" t="inlineStr">
        <is>
          <t>АИК - Эстерсунд</t>
        </is>
      </c>
      <c r="F95" s="38" t="inlineStr">
        <is>
          <t>Ф1 (-1,5)</t>
        </is>
      </c>
      <c r="G95" s="131" t="n">
        <v>1.75</v>
      </c>
      <c r="H95" s="38" t="inlineStr">
        <is>
          <t>Открыт</t>
        </is>
      </c>
      <c r="I95" s="38" t="str"/>
      <c r="J95" s="38" t="inlineStr">
        <is>
          <t>Прематч</t>
        </is>
      </c>
    </row>
    <row r="96">
      <c r="A96" s="37" t="n">
        <v>461</v>
      </c>
      <c r="B96" s="37" t="n">
        <v>1</v>
      </c>
      <c r="C96" s="38" t="inlineStr">
        <is>
          <t>Футбол</t>
        </is>
      </c>
      <c r="D96" s="38" t="inlineStr">
        <is>
          <t>Англия. Премьер-лига</t>
        </is>
      </c>
      <c r="E96" s="38" t="inlineStr">
        <is>
          <t>Ковентри Сити - Ньюкасл Юнайтед</t>
        </is>
      </c>
      <c r="F96" s="38" t="inlineStr">
        <is>
          <t>ТБ 2,5</t>
        </is>
      </c>
      <c r="G96" s="131" t="n">
        <v>1.65</v>
      </c>
      <c r="H96" s="38" t="inlineStr">
        <is>
          <t>Открыт</t>
        </is>
      </c>
      <c r="I96" s="38" t="str"/>
      <c r="J96" s="38" t="inlineStr">
        <is>
          <t>Прематч</t>
        </is>
      </c>
    </row>
    <row r="97">
      <c r="A97" s="37" t="n">
        <v>462</v>
      </c>
      <c r="B97" s="37" t="n">
        <v>1</v>
      </c>
      <c r="C97" s="38" t="inlineStr">
        <is>
          <t>Футбол</t>
        </is>
      </c>
      <c r="D97" s="38" t="inlineStr">
        <is>
          <t>Испания. Ла Лига</t>
        </is>
      </c>
      <c r="E97" s="38" t="inlineStr">
        <is>
          <t>Леванте - Севилья</t>
        </is>
      </c>
      <c r="F97" s="38" t="inlineStr">
        <is>
          <t>Ф2 (0)</t>
        </is>
      </c>
      <c r="G97" s="131" t="n">
        <v>1.88</v>
      </c>
      <c r="H97" s="38" t="inlineStr">
        <is>
          <t>Открыт</t>
        </is>
      </c>
      <c r="I97" s="38" t="str"/>
      <c r="J97" s="38" t="inlineStr">
        <is>
          <t>Прематч</t>
        </is>
      </c>
    </row>
    <row r="98">
      <c r="A98" s="37" t="n">
        <v>463</v>
      </c>
      <c r="B98" s="37" t="n">
        <v>1</v>
      </c>
      <c r="C98" s="38" t="inlineStr">
        <is>
          <t>Футбол</t>
        </is>
      </c>
      <c r="D98" s="38" t="inlineStr">
        <is>
          <t>Румыния. Суперлига</t>
        </is>
      </c>
      <c r="E98" s="38" t="inlineStr">
        <is>
          <t>Арджеш - ЧФР Клуж</t>
        </is>
      </c>
      <c r="F98" s="38" t="inlineStr">
        <is>
          <t>Ф2 (0)</t>
        </is>
      </c>
      <c r="G98" s="131" t="n">
        <v>1.77</v>
      </c>
      <c r="H98" s="38" t="inlineStr">
        <is>
          <t>Открыт</t>
        </is>
      </c>
      <c r="I98" s="38" t="str"/>
      <c r="J98" s="38" t="inlineStr">
        <is>
          <t>Прематч</t>
        </is>
      </c>
    </row>
    <row r="99">
      <c r="A99" s="37" t="n">
        <v>464</v>
      </c>
      <c r="B99" s="37" t="n">
        <v>1</v>
      </c>
      <c r="C99" s="38" t="inlineStr">
        <is>
          <t>Хоккей</t>
        </is>
      </c>
      <c r="D99" s="38" t="inlineStr">
        <is>
          <t>КХЛ. Регулярный чемпионат</t>
        </is>
      </c>
      <c r="E99" s="38" t="inlineStr">
        <is>
          <t>Торпедо НН - Металлург Мг</t>
        </is>
      </c>
      <c r="F99" s="38" t="inlineStr">
        <is>
          <t>ИТМ Торпедо НН 2,5</t>
        </is>
      </c>
      <c r="G99" s="131" t="n">
        <v>1.6</v>
      </c>
      <c r="H99" s="38" t="inlineStr">
        <is>
          <t>Открыт</t>
        </is>
      </c>
      <c r="I99" s="38" t="str"/>
      <c r="J99" s="38" t="inlineStr">
        <is>
          <t>Прематч</t>
        </is>
      </c>
    </row>
    <row r="100">
      <c r="A100" s="37" t="n">
        <v>465</v>
      </c>
      <c r="B100" s="37" t="n">
        <v>1</v>
      </c>
      <c r="C100" s="38" t="inlineStr">
        <is>
          <t>Футбол</t>
        </is>
      </c>
      <c r="D100" s="38" t="inlineStr">
        <is>
          <t>Испания. Ла Лига</t>
        </is>
      </c>
      <c r="E100" s="38" t="inlineStr">
        <is>
          <t>Леванте - Севилья</t>
        </is>
      </c>
      <c r="F100" s="38" t="inlineStr">
        <is>
          <t>ТМ 2,5</t>
        </is>
      </c>
      <c r="G100" s="131" t="n">
        <v>1.69</v>
      </c>
      <c r="H100" s="38" t="inlineStr">
        <is>
          <t>Открыт</t>
        </is>
      </c>
      <c r="I100" s="38" t="str"/>
      <c r="J100" s="38" t="inlineStr">
        <is>
          <t>Прематч</t>
        </is>
      </c>
    </row>
    <row r="101">
      <c r="A101" s="37" t="n">
        <v>466</v>
      </c>
      <c r="B101" s="37" t="n">
        <v>1</v>
      </c>
      <c r="C101" s="38" t="inlineStr">
        <is>
          <t>Хоккей</t>
        </is>
      </c>
      <c r="D101" s="38" t="inlineStr">
        <is>
          <t>КХЛ. Регулярный чемпионат</t>
        </is>
      </c>
      <c r="E101" s="38" t="inlineStr">
        <is>
          <t>Шанхай Дрэгонс - Динамо Минск</t>
        </is>
      </c>
      <c r="F101" s="38" t="inlineStr">
        <is>
          <t>1X</t>
        </is>
      </c>
      <c r="G101" s="131" t="n">
        <v>1.56</v>
      </c>
      <c r="H101" s="38" t="inlineStr">
        <is>
          <t>Открыт</t>
        </is>
      </c>
      <c r="I101" s="38" t="str"/>
      <c r="J101" s="38" t="inlineStr">
        <is>
          <t>Прематч</t>
        </is>
      </c>
    </row>
    <row r="102">
      <c r="A102" s="37" t="n">
        <v>467</v>
      </c>
      <c r="B102" s="37" t="n">
        <v>1</v>
      </c>
      <c r="C102" s="38" t="inlineStr">
        <is>
          <t>Хоккей</t>
        </is>
      </c>
      <c r="D102" s="38" t="inlineStr">
        <is>
          <t>КХЛ. Регулярный чемпионат</t>
        </is>
      </c>
      <c r="E102" s="38" t="inlineStr">
        <is>
          <t>Торпедо НН - Металлург Мг</t>
        </is>
      </c>
      <c r="F102" s="38" t="inlineStr">
        <is>
          <t>Победитель матча: Металлург Мг</t>
        </is>
      </c>
      <c r="G102" s="131" t="n">
        <v>1.62</v>
      </c>
      <c r="H102" s="38" t="inlineStr">
        <is>
          <t>Открыт</t>
        </is>
      </c>
      <c r="I102" s="38" t="str"/>
      <c r="J102" s="38" t="inlineStr">
        <is>
          <t>Прематч</t>
        </is>
      </c>
    </row>
    <row r="103">
      <c r="A103" s="37" t="n">
        <v>468</v>
      </c>
      <c r="B103" s="37" t="n">
        <v>1</v>
      </c>
      <c r="C103" s="38" t="inlineStr">
        <is>
          <t>Теннис</t>
        </is>
      </c>
      <c r="D103" s="38" t="inlineStr">
        <is>
          <t>WTA 125. Лиссабон. Грунт</t>
        </is>
      </c>
      <c r="E103" s="38" t="inlineStr">
        <is>
          <t>Кольменья Мартина - Джонс Франческа</t>
        </is>
      </c>
      <c r="F103" s="38" t="inlineStr">
        <is>
          <t>Ф2 (-5,5)</t>
        </is>
      </c>
      <c r="G103" s="131" t="n">
        <v>1.44</v>
      </c>
      <c r="H103" s="38" t="inlineStr">
        <is>
          <t>Открыт</t>
        </is>
      </c>
      <c r="I103" s="38" t="str"/>
      <c r="J103" s="38" t="inlineStr">
        <is>
          <t>Прематч</t>
        </is>
      </c>
    </row>
    <row r="104">
      <c r="A104" s="37" t="n">
        <v>469</v>
      </c>
      <c r="B104" s="37" t="n">
        <v>1</v>
      </c>
      <c r="C104" s="38" t="inlineStr">
        <is>
          <t>Хоккей</t>
        </is>
      </c>
      <c r="D104" s="38" t="inlineStr">
        <is>
          <t>КХЛ. Регулярный чемпионат</t>
        </is>
      </c>
      <c r="E104" s="38" t="inlineStr">
        <is>
          <t>Барыс - Сибирь</t>
        </is>
      </c>
      <c r="F104" s="38" t="inlineStr">
        <is>
          <t>Ф2 (+1)</t>
        </is>
      </c>
      <c r="G104" s="131" t="n">
        <v>1.61</v>
      </c>
      <c r="H104" s="38" t="inlineStr">
        <is>
          <t>Открыт</t>
        </is>
      </c>
      <c r="I104" s="38" t="str"/>
      <c r="J104" s="38" t="inlineStr">
        <is>
          <t>Прематч</t>
        </is>
      </c>
    </row>
    <row r="105">
      <c r="A105" s="37" t="n">
        <v>470</v>
      </c>
      <c r="B105" s="37" t="n">
        <v>1</v>
      </c>
      <c r="C105" s="38" t="inlineStr">
        <is>
          <t>Хоккей</t>
        </is>
      </c>
      <c r="D105" s="38" t="inlineStr">
        <is>
          <t>OLIMPBET-ВХЛ. Регулярный чемпионат</t>
        </is>
      </c>
      <c r="E105" s="38" t="inlineStr">
        <is>
          <t>ЦСК ВВС - СКА-ВМФ</t>
        </is>
      </c>
      <c r="F105" s="38" t="inlineStr">
        <is>
          <t>Победитель матча: СКА-ВМФ</t>
        </is>
      </c>
      <c r="G105" s="131" t="n">
        <v>1.52</v>
      </c>
      <c r="H105" s="38" t="inlineStr">
        <is>
          <t>Открыт</t>
        </is>
      </c>
      <c r="I105" s="38" t="str"/>
      <c r="J105" s="38" t="inlineStr">
        <is>
          <t>Прематч</t>
        </is>
      </c>
    </row>
    <row r="106">
      <c r="A106" s="37" t="n">
        <v>471</v>
      </c>
      <c r="B106" s="37" t="n">
        <v>1</v>
      </c>
      <c r="C106" s="38" t="inlineStr">
        <is>
          <t>Футбол</t>
        </is>
      </c>
      <c r="D106" s="38" t="inlineStr">
        <is>
          <t>Португалия. Примейра-лига</t>
        </is>
      </c>
      <c r="E106" s="38" t="inlineStr">
        <is>
          <t>Фамаликан - Алверка</t>
        </is>
      </c>
      <c r="F106" s="38" t="inlineStr">
        <is>
          <t>П1</t>
        </is>
      </c>
      <c r="G106" s="131" t="n">
        <v>1.91</v>
      </c>
      <c r="H106" s="38" t="inlineStr">
        <is>
          <t>Открыт</t>
        </is>
      </c>
      <c r="I106" s="38" t="str"/>
      <c r="J106" s="38" t="inlineStr">
        <is>
          <t>Прематч</t>
        </is>
      </c>
    </row>
    <row r="107">
      <c r="A107" s="37" t="n">
        <v>472</v>
      </c>
      <c r="B107" s="37" t="n">
        <v>1</v>
      </c>
      <c r="C107" s="38" t="inlineStr">
        <is>
          <t>Хоккей</t>
        </is>
      </c>
      <c r="D107" s="38" t="inlineStr">
        <is>
          <t>Казахстан. Про Лига</t>
        </is>
      </c>
      <c r="E107" s="38" t="inlineStr">
        <is>
          <t>Актобе - Бейбарыс</t>
        </is>
      </c>
      <c r="F107" s="38" t="inlineStr">
        <is>
          <t>Победитель матча: Бейбарыс</t>
        </is>
      </c>
      <c r="G107" s="131" t="n">
        <v>1.41</v>
      </c>
      <c r="H107" s="38" t="inlineStr">
        <is>
          <t>Открыт</t>
        </is>
      </c>
      <c r="I107" s="38" t="str"/>
      <c r="J107" s="38" t="inlineStr">
        <is>
          <t>Прематч</t>
        </is>
      </c>
    </row>
    <row r="108">
      <c r="A108" s="37" t="n">
        <v>473</v>
      </c>
      <c r="B108" s="37" t="n">
        <v>1</v>
      </c>
      <c r="C108" s="38" t="inlineStr">
        <is>
          <t>Хоккей</t>
        </is>
      </c>
      <c r="D108" s="38" t="inlineStr">
        <is>
          <t>Беларусь. Экстралига</t>
        </is>
      </c>
      <c r="E108" s="38" t="inlineStr">
        <is>
          <t>Славутич - Лида</t>
        </is>
      </c>
      <c r="F108" s="38" t="inlineStr">
        <is>
          <t>П1</t>
        </is>
      </c>
      <c r="G108" s="131" t="n">
        <v>1.5</v>
      </c>
      <c r="H108" s="38" t="inlineStr">
        <is>
          <t>Открыт</t>
        </is>
      </c>
      <c r="I108" s="38" t="str"/>
      <c r="J108" s="38" t="inlineStr">
        <is>
          <t>Прематч</t>
        </is>
      </c>
    </row>
    <row r="109">
      <c r="A109" s="37" t="n">
        <v>474</v>
      </c>
      <c r="B109" s="37" t="n">
        <v>1</v>
      </c>
      <c r="C109" s="38" t="inlineStr">
        <is>
          <t>Теннис</t>
        </is>
      </c>
      <c r="D109" s="38" t="inlineStr">
        <is>
          <t>WTA 125. Роверето. Хард</t>
        </is>
      </c>
      <c r="E109" s="38" t="inlineStr">
        <is>
          <t>Ятченко Полина - Тан Хармони</t>
        </is>
      </c>
      <c r="F109" s="38" t="inlineStr">
        <is>
          <t>П1</t>
        </is>
      </c>
      <c r="G109" s="131" t="n">
        <v>1.51</v>
      </c>
      <c r="H109" s="38" t="inlineStr">
        <is>
          <t>Открыт</t>
        </is>
      </c>
      <c r="I109" s="38" t="str"/>
      <c r="J109" s="38" t="inlineStr">
        <is>
          <t>Прематч</t>
        </is>
      </c>
    </row>
    <row r="110">
      <c r="A110" s="37" t="n">
        <v>475</v>
      </c>
      <c r="B110" s="37" t="n">
        <v>1</v>
      </c>
      <c r="C110" s="38" t="inlineStr">
        <is>
          <t>Футбол</t>
        </is>
      </c>
      <c r="D110" s="38" t="inlineStr">
        <is>
          <t>Италия. Примавера 1 до 20 лет</t>
        </is>
      </c>
      <c r="E110" s="38" t="inlineStr">
        <is>
          <t>Кальяри (до 20) - Монца (до 20)</t>
        </is>
      </c>
      <c r="F110" s="38" t="inlineStr">
        <is>
          <t>ТБ 1,5</t>
        </is>
      </c>
      <c r="G110" s="131" t="n">
        <v>2.07</v>
      </c>
      <c r="H110" s="38" t="inlineStr">
        <is>
          <t>Открыт</t>
        </is>
      </c>
      <c r="I110" s="38" t="str"/>
      <c r="J110" s="38" t="inlineStr">
        <is>
          <t>Live</t>
        </is>
      </c>
    </row>
    <row r="111">
      <c r="A111" s="37" t="n">
        <v>476</v>
      </c>
      <c r="B111" s="37" t="n">
        <v>1</v>
      </c>
      <c r="C111" s="38" t="inlineStr">
        <is>
          <t>Футбол</t>
        </is>
      </c>
      <c r="D111" s="38" t="inlineStr">
        <is>
          <t>Мозамбик. Мокамбола</t>
        </is>
      </c>
      <c r="E111" s="38" t="inlineStr">
        <is>
          <t>Машакене - Ферровиарио Лишинга</t>
        </is>
      </c>
      <c r="F111" s="38" t="inlineStr">
        <is>
          <t>ТБ 1,5</t>
        </is>
      </c>
      <c r="G111" s="131" t="n">
        <v>2.37</v>
      </c>
      <c r="H111" s="38" t="inlineStr">
        <is>
          <t>Открыт</t>
        </is>
      </c>
      <c r="I111" s="38" t="str"/>
      <c r="J111" s="38" t="inlineStr">
        <is>
          <t>Live</t>
        </is>
      </c>
    </row>
    <row r="112">
      <c r="A112" s="37" t="n">
        <v>477</v>
      </c>
      <c r="B112" s="37" t="n">
        <v>1</v>
      </c>
      <c r="C112" s="38" t="inlineStr">
        <is>
          <t>Футбол</t>
        </is>
      </c>
      <c r="D112" s="38" t="inlineStr">
        <is>
          <t>Египет. Премьер-лига</t>
        </is>
      </c>
      <c r="E112" s="38" t="inlineStr">
        <is>
          <t>Аль-Мокавлун - ЗЕД</t>
        </is>
      </c>
      <c r="F112" s="38" t="inlineStr">
        <is>
          <t>ТБ 2,5</t>
        </is>
      </c>
      <c r="G112" s="131" t="n">
        <v>2.85</v>
      </c>
      <c r="H112" s="38" t="inlineStr">
        <is>
          <t>Открыт</t>
        </is>
      </c>
      <c r="I112" s="38" t="str"/>
      <c r="J112" s="38" t="inlineStr">
        <is>
          <t>Live</t>
        </is>
      </c>
    </row>
    <row r="113">
      <c r="A113" s="37" t="n">
        <v>478</v>
      </c>
      <c r="B113" s="37" t="n">
        <v>1</v>
      </c>
      <c r="C113" s="38" t="inlineStr">
        <is>
          <t>Футбол</t>
        </is>
      </c>
      <c r="D113" s="38" t="inlineStr">
        <is>
          <t>Англия. Премьер-лига</t>
        </is>
      </c>
      <c r="E113" s="38" t="inlineStr">
        <is>
          <t>Ковентри Сити - Ньюкасл Юнайтед</t>
        </is>
      </c>
      <c r="F113" s="38" t="inlineStr">
        <is>
          <t>Х2</t>
        </is>
      </c>
      <c r="G113" s="131" t="n">
        <v>1.36</v>
      </c>
      <c r="H113" s="38" t="inlineStr">
        <is>
          <t>Открыт</t>
        </is>
      </c>
      <c r="I113" s="38" t="str"/>
      <c r="J113" s="38" t="inlineStr">
        <is>
          <t>Прематч</t>
        </is>
      </c>
    </row>
    <row r="114">
      <c r="A114" s="37" t="n">
        <v>478</v>
      </c>
      <c r="B114" s="37" t="n">
        <v>2</v>
      </c>
      <c r="C114" s="38" t="inlineStr">
        <is>
          <t>Футбол</t>
        </is>
      </c>
      <c r="D114" s="38" t="inlineStr">
        <is>
          <t>Испания. Ла Лига</t>
        </is>
      </c>
      <c r="E114" s="38" t="inlineStr">
        <is>
          <t>Леванте - Севилья</t>
        </is>
      </c>
      <c r="F114" s="38" t="inlineStr">
        <is>
          <t>ИТБ Севильи 0,5</t>
        </is>
      </c>
      <c r="G114" s="131" t="n">
        <v>1.35</v>
      </c>
      <c r="H114" s="38" t="inlineStr">
        <is>
          <t>Открыт</t>
        </is>
      </c>
      <c r="I114" s="38" t="str"/>
      <c r="J114" s="38" t="inlineStr">
        <is>
          <t>Прематч</t>
        </is>
      </c>
    </row>
    <row r="115">
      <c r="A115" s="37" t="n">
        <v>479</v>
      </c>
      <c r="B115" s="37" t="n">
        <v>1</v>
      </c>
      <c r="C115" s="38" t="inlineStr">
        <is>
          <t>Футбол</t>
        </is>
      </c>
      <c r="D115" s="38" t="inlineStr">
        <is>
          <t>Италия. Примавера 1 до 20 лет</t>
        </is>
      </c>
      <c r="E115" s="38" t="inlineStr">
        <is>
          <t>Кальяри (до 20) - Монца (до 20)</t>
        </is>
      </c>
      <c r="F115" s="38" t="inlineStr">
        <is>
          <t>ТБ 1</t>
        </is>
      </c>
      <c r="G115" s="131" t="n">
        <v>1.66</v>
      </c>
      <c r="H115" s="38" t="inlineStr">
        <is>
          <t>Открыт</t>
        </is>
      </c>
      <c r="I115" s="38" t="n"/>
      <c r="J115" s="38" t="inlineStr">
        <is>
          <t>Live</t>
        </is>
      </c>
    </row>
  </sheetData>
  <dataValidations count="3">
    <dataValidation sqref="J6:J77" showDropDown="0" showInputMessage="0" showErrorMessage="0" allowBlank="0" type="list">
      <formula1>"Live,Прематч"</formula1>
    </dataValidation>
    <dataValidation sqref="J115:J1000" showDropDown="0" showInputMessage="0" showErrorMessage="0" allowBlank="0" type="list">
      <formula1>"Live,Прематч"</formula1>
    </dataValidation>
    <dataValidation sqref="J78:J114" showDropDown="0" showInputMessage="0" showErrorMessage="0" allowBlank="0" type="list">
      <formula1>"Live,Прематч"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2" t="inlineStr">
        <is>
          <t>Правила ведения дневника</t>
        </is>
      </c>
      <c r="B1" s="2" t="n"/>
    </row>
    <row r="2">
      <c r="A2" s="1" t="n"/>
      <c r="B2" s="1" t="n"/>
    </row>
    <row r="3" ht="15" customHeight="1">
      <c r="A3" s="40" t="inlineStr">
        <is>
          <t>Правило</t>
        </is>
      </c>
      <c r="B3" s="7" t="inlineStr">
        <is>
          <t>Описание</t>
        </is>
      </c>
    </row>
    <row r="4" ht="15" customHeight="1">
      <c r="A4" s="1" t="inlineStr">
        <is>
          <t>Основной ключ</t>
        </is>
      </c>
      <c r="B4" s="50" t="inlineStr">
        <is>
          <t>Уникальный № купона из истории букмекера.</t>
        </is>
      </c>
    </row>
    <row r="5" ht="15" customHeight="1">
      <c r="A5" s="1" t="inlineStr">
        <is>
          <t>Видео и скрины</t>
        </is>
      </c>
      <c r="B5" s="50" t="inlineStr">
        <is>
          <t>Используются для переноса данных, но не являются ключами записей.</t>
        </is>
      </c>
    </row>
    <row r="6" ht="15" customHeight="1">
      <c r="A6" s="1" t="inlineStr">
        <is>
          <t>Экспресс</t>
        </is>
      </c>
      <c r="B6" s="50" t="inlineStr">
        <is>
          <t>Один купон в реестре и отдельная строка на каждый исход на листе «Исходы».</t>
        </is>
      </c>
    </row>
    <row r="7" ht="15" customHeight="1">
      <c r="A7" s="1" t="inlineStr">
        <is>
          <t>Выигрыш</t>
        </is>
      </c>
      <c r="B7" s="50" t="inlineStr">
        <is>
          <t>Результат = фактический возврат - сумма.</t>
        </is>
      </c>
    </row>
    <row r="8" ht="15" customHeight="1">
      <c r="A8" s="1" t="inlineStr">
        <is>
          <t>Проигрыш</t>
        </is>
      </c>
      <c r="B8" s="50" t="inlineStr">
        <is>
          <t>Фактический возврат равен 0.</t>
        </is>
      </c>
    </row>
    <row r="9" ht="15" customHeight="1">
      <c r="A9" s="1" t="inlineStr">
        <is>
          <t>Возврат</t>
        </is>
      </c>
      <c r="B9" s="50" t="inlineStr">
        <is>
          <t>Результат равен 0 и не входит в проходимость.</t>
        </is>
      </c>
    </row>
    <row r="10" ht="15" customHeight="1">
      <c r="A10" s="1" t="inlineStr">
        <is>
          <t>Продано</t>
        </is>
      </c>
      <c r="B10" s="50" t="inlineStr">
        <is>
          <t>Учитывается по фактической сумме продажи.</t>
        </is>
      </c>
    </row>
    <row r="11" ht="15" customHeight="1">
      <c r="A11" s="1" t="inlineStr">
        <is>
          <t>Проходимость</t>
        </is>
      </c>
      <c r="B11" s="50" t="inlineStr">
        <is>
          <t>Выигрыши / (выигрыши + проигрыши).</t>
        </is>
      </c>
    </row>
    <row r="12" ht="15" customHeight="1">
      <c r="A12" s="1" t="inlineStr">
        <is>
          <t>Лимит на матч</t>
        </is>
      </c>
      <c r="B12" s="50" t="inlineStr">
        <is>
          <t>Не более двух купонов на один матч.</t>
        </is>
      </c>
    </row>
    <row r="13" ht="15" customHeight="1">
      <c r="A13" s="1" t="inlineStr">
        <is>
          <t>Режим</t>
        </is>
      </c>
      <c r="B13" s="50" t="inlineStr">
        <is>
          <t>Для новых купонов фиксировать Live или Прематч. Историю не размечать без подтверждения.</t>
        </is>
      </c>
    </row>
    <row r="14" ht="15" customHeight="1">
      <c r="A14" s="49" t="inlineStr">
        <is>
          <t>Порядок обновления</t>
        </is>
      </c>
      <c r="B14" s="51" t="str"/>
    </row>
    <row r="15" ht="15" customHeight="1">
      <c r="A15" s="1" t="inlineStr">
        <is>
          <t>1</t>
        </is>
      </c>
      <c r="B15" s="50" t="inlineStr">
        <is>
          <t>Добавить купон в «Реестр».</t>
        </is>
      </c>
    </row>
    <row r="16" ht="15" customHeight="1">
      <c r="A16" s="1" t="inlineStr">
        <is>
          <t>2</t>
        </is>
      </c>
      <c r="B16" s="50" t="inlineStr">
        <is>
          <t>Добавить его наполнение на лист «Исходы».</t>
        </is>
      </c>
    </row>
    <row r="17" ht="15" customHeight="1">
      <c r="A17" s="1" t="inlineStr">
        <is>
          <t>3</t>
        </is>
      </c>
      <c r="B17" s="50" t="inlineStr">
        <is>
          <t>После расчёта обновить статус и фактический возврат.</t>
        </is>
      </c>
    </row>
    <row r="18" ht="15" customHeight="1">
      <c r="A18" s="1" t="inlineStr">
        <is>
          <t>4</t>
        </is>
      </c>
      <c r="B18" s="50" t="inlineStr">
        <is>
          <t>Пересчитать и проверить сводку.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M95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34" customWidth="1" min="1" max="1"/>
    <col width="18" customWidth="1" min="2" max="2"/>
    <col width="4" customWidth="1" min="3" max="3"/>
    <col width="36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6" customHeight="1">
      <c r="A2" s="2" t="inlineStr">
        <is>
          <t>Полный анализ купонов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0" customHeight="1">
      <c r="A3" s="69" t="inlineStr">
        <is>
          <t>Финансовые метрики рассчитаны только по закрытым купонам. Проходимость исключает возвраты и проданный купон. Фрибет №443 не входит в денежный оборот; его чистый выигрыш включён в результат.</t>
        </is>
      </c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>
      <c r="A5" s="100" t="inlineStr">
        <is>
          <t>Ключевой показатель</t>
        </is>
      </c>
      <c r="B5" s="100" t="inlineStr">
        <is>
          <t>Значение</t>
        </is>
      </c>
      <c r="C5" s="1" t="n"/>
      <c r="D5" s="73" t="inlineStr">
        <is>
          <t>Режим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>
      <c r="A6" s="14" t="inlineStr">
        <is>
          <t>Всего купонов</t>
        </is>
      </c>
      <c r="B6" s="14" t="n">
        <v>104</v>
      </c>
      <c r="C6" s="1" t="n"/>
      <c r="D6" s="106" t="inlineStr">
        <is>
          <t>Сегмент</t>
        </is>
      </c>
      <c r="E6" s="106" t="inlineStr">
        <is>
          <t>Закрыто</t>
        </is>
      </c>
      <c r="F6" s="106" t="inlineStr">
        <is>
          <t>Открыто</t>
        </is>
      </c>
      <c r="G6" s="106" t="inlineStr">
        <is>
          <t>Выигр.</t>
        </is>
      </c>
      <c r="H6" s="106" t="inlineStr">
        <is>
          <t>Проигр.</t>
        </is>
      </c>
      <c r="I6" s="106" t="inlineStr">
        <is>
          <t>Оборот</t>
        </is>
      </c>
      <c r="J6" s="106" t="inlineStr">
        <is>
          <t>Результат</t>
        </is>
      </c>
      <c r="K6" s="106" t="inlineStr">
        <is>
          <t>ROI</t>
        </is>
      </c>
      <c r="L6" s="106" t="inlineStr">
        <is>
          <t>Проходимость</t>
        </is>
      </c>
      <c r="M6" s="106" t="inlineStr">
        <is>
          <t>ROI при 200</t>
        </is>
      </c>
    </row>
    <row r="7">
      <c r="A7" s="14" t="inlineStr">
        <is>
          <t>Закрыто</t>
        </is>
      </c>
      <c r="B7" s="14" t="n">
        <v>70</v>
      </c>
      <c r="C7" s="1" t="n"/>
      <c r="D7" s="14" t="inlineStr">
        <is>
          <t>Live</t>
        </is>
      </c>
      <c r="E7" s="14" t="n">
        <v>30</v>
      </c>
      <c r="F7" s="14" t="n">
        <v>4</v>
      </c>
      <c r="G7" s="14" t="n">
        <v>14</v>
      </c>
      <c r="H7" s="14" t="n">
        <v>12</v>
      </c>
      <c r="I7" s="113" t="n">
        <v>7933</v>
      </c>
      <c r="J7" s="113" t="n">
        <v>1165</v>
      </c>
      <c r="K7" s="114" t="n">
        <v>0.1468549098701626</v>
      </c>
      <c r="L7" s="114" t="n">
        <v>0.5384615384615384</v>
      </c>
      <c r="M7" s="114" t="n">
        <v>0.05723392809949018</v>
      </c>
    </row>
    <row r="8">
      <c r="A8" s="14" t="inlineStr">
        <is>
          <t>Открыто</t>
        </is>
      </c>
      <c r="B8" s="14" t="n">
        <v>34</v>
      </c>
      <c r="C8" s="1" t="n"/>
      <c r="D8" s="19" t="inlineStr">
        <is>
          <t>Прематч</t>
        </is>
      </c>
      <c r="E8" s="19" t="n">
        <v>40</v>
      </c>
      <c r="F8" s="19" t="n">
        <v>30</v>
      </c>
      <c r="G8" s="19" t="n">
        <v>21</v>
      </c>
      <c r="H8" s="19" t="n">
        <v>15</v>
      </c>
      <c r="I8" s="118" t="n">
        <v>5200</v>
      </c>
      <c r="J8" s="118" t="n">
        <v>337</v>
      </c>
      <c r="K8" s="120" t="n">
        <v>0.0648076923076923</v>
      </c>
      <c r="L8" s="120" t="n">
        <v>0.5833333333333334</v>
      </c>
      <c r="M8" s="120" t="n">
        <v>0.04075</v>
      </c>
    </row>
    <row r="9">
      <c r="A9" s="14" t="inlineStr">
        <is>
          <t>Оборот закрытых</t>
        </is>
      </c>
      <c r="B9" s="113" t="n">
        <v>13133</v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14" t="inlineStr">
        <is>
          <t>Фактический возврат</t>
        </is>
      </c>
      <c r="B10" s="113" t="n">
        <v>14635</v>
      </c>
      <c r="C10" s="1" t="n"/>
      <c r="D10" s="73" t="inlineStr">
        <is>
          <t>Вид спорта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A11" s="14" t="inlineStr">
        <is>
          <t>Результат</t>
        </is>
      </c>
      <c r="B11" s="113" t="n">
        <v>1502</v>
      </c>
      <c r="C11" s="1" t="n"/>
      <c r="D11" s="106" t="inlineStr">
        <is>
          <t>Сегмент</t>
        </is>
      </c>
      <c r="E11" s="106" t="inlineStr">
        <is>
          <t>Закрыто</t>
        </is>
      </c>
      <c r="F11" s="106" t="inlineStr">
        <is>
          <t>Открыто</t>
        </is>
      </c>
      <c r="G11" s="106" t="inlineStr">
        <is>
          <t>Выигр.</t>
        </is>
      </c>
      <c r="H11" s="106" t="inlineStr">
        <is>
          <t>Проигр.</t>
        </is>
      </c>
      <c r="I11" s="106" t="inlineStr">
        <is>
          <t>Оборот</t>
        </is>
      </c>
      <c r="J11" s="106" t="inlineStr">
        <is>
          <t>Результат</t>
        </is>
      </c>
      <c r="K11" s="106" t="inlineStr">
        <is>
          <t>ROI</t>
        </is>
      </c>
      <c r="L11" s="106" t="inlineStr">
        <is>
          <t>Проходимость</t>
        </is>
      </c>
      <c r="M11" s="106" t="inlineStr">
        <is>
          <t>ROI при 200</t>
        </is>
      </c>
    </row>
    <row r="12">
      <c r="A12" s="14" t="inlineStr">
        <is>
          <t>ROI</t>
        </is>
      </c>
      <c r="B12" s="114" t="n">
        <v>0.1143683849843905</v>
      </c>
      <c r="C12" s="1" t="n"/>
      <c r="D12" s="14" t="inlineStr">
        <is>
          <t>Футбол</t>
        </is>
      </c>
      <c r="E12" s="14" t="n">
        <v>50</v>
      </c>
      <c r="F12" s="14" t="n">
        <v>14</v>
      </c>
      <c r="G12" s="14" t="n">
        <v>24</v>
      </c>
      <c r="H12" s="14" t="n">
        <v>21</v>
      </c>
      <c r="I12" s="113" t="n">
        <v>7959</v>
      </c>
      <c r="J12" s="113" t="n">
        <v>1612</v>
      </c>
      <c r="K12" s="114" t="n">
        <v>0.2025380072873477</v>
      </c>
      <c r="L12" s="114" t="n">
        <v>0.5333333333333333</v>
      </c>
      <c r="M12" s="114" t="n">
        <v>0.02101815215882272</v>
      </c>
    </row>
    <row r="13">
      <c r="A13" s="14" t="inlineStr">
        <is>
          <t>Проходимость</t>
        </is>
      </c>
      <c r="B13" s="114" t="n">
        <v>0.5645161290322581</v>
      </c>
      <c r="C13" s="1" t="n"/>
      <c r="D13" s="14" t="inlineStr">
        <is>
          <t>Хоккей</t>
        </is>
      </c>
      <c r="E13" s="14" t="n">
        <v>12</v>
      </c>
      <c r="F13" s="14" t="n">
        <v>17</v>
      </c>
      <c r="G13" s="14" t="n">
        <v>6</v>
      </c>
      <c r="H13" s="14" t="n">
        <v>3</v>
      </c>
      <c r="I13" s="113" t="n">
        <v>3874</v>
      </c>
      <c r="J13" s="113" t="n">
        <v>-228</v>
      </c>
      <c r="K13" s="114" t="n">
        <v>-0.05885389778007228</v>
      </c>
      <c r="L13" s="114" t="n">
        <v>0.6666666666666666</v>
      </c>
      <c r="M13" s="114" t="n">
        <v>0.1241578715919085</v>
      </c>
    </row>
    <row r="14">
      <c r="A14" s="14" t="inlineStr">
        <is>
          <t>Результат при равной сумме 200</t>
        </is>
      </c>
      <c r="B14" s="113" t="n">
        <v>657.956782977044</v>
      </c>
      <c r="C14" s="1" t="n"/>
      <c r="D14" s="14" t="inlineStr">
        <is>
          <t>Теннис</t>
        </is>
      </c>
      <c r="E14" s="14" t="n">
        <v>7</v>
      </c>
      <c r="F14" s="14" t="n">
        <v>3</v>
      </c>
      <c r="G14" s="14" t="n">
        <v>5</v>
      </c>
      <c r="H14" s="14" t="n">
        <v>2</v>
      </c>
      <c r="I14" s="113" t="n">
        <v>1100</v>
      </c>
      <c r="J14" s="113" t="n">
        <v>318</v>
      </c>
      <c r="K14" s="114" t="n">
        <v>0.2890909090909091</v>
      </c>
      <c r="L14" s="114" t="n">
        <v>0.7142857142857143</v>
      </c>
      <c r="M14" s="114" t="n">
        <v>0.2528571428571428</v>
      </c>
    </row>
    <row r="15">
      <c r="A15" s="19" t="inlineStr">
        <is>
          <t>ROI при равной сумме 200</t>
        </is>
      </c>
      <c r="B15" s="120" t="n">
        <v>0.04767802775195971</v>
      </c>
      <c r="C15" s="1" t="n"/>
      <c r="D15" s="19" t="inlineStr">
        <is>
          <t>Баскетбол</t>
        </is>
      </c>
      <c r="E15" s="19" t="n">
        <v>1</v>
      </c>
      <c r="F15" s="19" t="n">
        <v>0</v>
      </c>
      <c r="G15" s="19" t="n">
        <v>0</v>
      </c>
      <c r="H15" s="19" t="n">
        <v>1</v>
      </c>
      <c r="I15" s="118" t="n">
        <v>200</v>
      </c>
      <c r="J15" s="118" t="n">
        <v>-200</v>
      </c>
      <c r="K15" s="120" t="n">
        <v>-1</v>
      </c>
      <c r="L15" s="120" t="n">
        <v>0</v>
      </c>
      <c r="M15" s="120" t="n">
        <v>-1</v>
      </c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</row>
    <row r="17">
      <c r="A17" s="1" t="n"/>
      <c r="B17" s="1" t="n"/>
      <c r="C17" s="1" t="n"/>
      <c r="D17" s="73" t="inlineStr">
        <is>
          <t>Тип исхода</t>
        </is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</row>
    <row r="18">
      <c r="A18" s="1" t="n"/>
      <c r="B18" s="1" t="n"/>
      <c r="C18" s="1" t="n"/>
      <c r="D18" s="106" t="inlineStr">
        <is>
          <t>Сегмент</t>
        </is>
      </c>
      <c r="E18" s="106" t="inlineStr">
        <is>
          <t>Закрыто</t>
        </is>
      </c>
      <c r="F18" s="106" t="inlineStr">
        <is>
          <t>Открыто</t>
        </is>
      </c>
      <c r="G18" s="106" t="inlineStr">
        <is>
          <t>Выигр.</t>
        </is>
      </c>
      <c r="H18" s="106" t="inlineStr">
        <is>
          <t>Проигр.</t>
        </is>
      </c>
      <c r="I18" s="106" t="inlineStr">
        <is>
          <t>Оборот</t>
        </is>
      </c>
      <c r="J18" s="106" t="inlineStr">
        <is>
          <t>Результат</t>
        </is>
      </c>
      <c r="K18" s="106" t="inlineStr">
        <is>
          <t>ROI</t>
        </is>
      </c>
      <c r="L18" s="106" t="inlineStr">
        <is>
          <t>Проходимость</t>
        </is>
      </c>
      <c r="M18" s="106" t="inlineStr">
        <is>
          <t>ROI при 200</t>
        </is>
      </c>
    </row>
    <row r="19">
      <c r="A19" s="1" t="n"/>
      <c r="B19" s="1" t="n"/>
      <c r="C19" s="1" t="n"/>
      <c r="D19" s="14" t="inlineStr">
        <is>
          <t>Тотал больше</t>
        </is>
      </c>
      <c r="E19" s="14" t="n">
        <v>35</v>
      </c>
      <c r="F19" s="14" t="n">
        <v>10</v>
      </c>
      <c r="G19" s="14" t="n">
        <v>19</v>
      </c>
      <c r="H19" s="14" t="n">
        <v>13</v>
      </c>
      <c r="I19" s="113" t="n">
        <v>6259</v>
      </c>
      <c r="J19" s="113" t="n">
        <v>1917</v>
      </c>
      <c r="K19" s="114" t="n">
        <v>0.3062789583000479</v>
      </c>
      <c r="L19" s="114" t="n">
        <v>0.59375</v>
      </c>
      <c r="M19" s="114" t="n">
        <v>0.1491143957583033</v>
      </c>
    </row>
    <row r="20">
      <c r="A20" s="1" t="n"/>
      <c r="B20" s="1" t="n"/>
      <c r="C20" s="1" t="n"/>
      <c r="D20" s="14" t="inlineStr">
        <is>
          <t>Фора</t>
        </is>
      </c>
      <c r="E20" s="14" t="n">
        <v>13</v>
      </c>
      <c r="F20" s="14" t="n">
        <v>7</v>
      </c>
      <c r="G20" s="14" t="n">
        <v>7</v>
      </c>
      <c r="H20" s="14" t="n">
        <v>2</v>
      </c>
      <c r="I20" s="113" t="n">
        <v>3774</v>
      </c>
      <c r="J20" s="113" t="n">
        <v>-267</v>
      </c>
      <c r="K20" s="114" t="n">
        <v>-0.07074721780604133</v>
      </c>
      <c r="L20" s="114" t="n">
        <v>0.7777777777777778</v>
      </c>
      <c r="M20" s="114" t="n">
        <v>0.149991881469454</v>
      </c>
    </row>
    <row r="21">
      <c r="A21" s="1" t="n"/>
      <c r="B21" s="1" t="n"/>
      <c r="C21" s="1" t="n"/>
      <c r="D21" s="14" t="inlineStr">
        <is>
          <t>Победа</t>
        </is>
      </c>
      <c r="E21" s="14" t="n">
        <v>7</v>
      </c>
      <c r="F21" s="14" t="n">
        <v>9</v>
      </c>
      <c r="G21" s="14" t="n">
        <v>3</v>
      </c>
      <c r="H21" s="14" t="n">
        <v>4</v>
      </c>
      <c r="I21" s="113" t="n">
        <v>800</v>
      </c>
      <c r="J21" s="113" t="n">
        <v>-152</v>
      </c>
      <c r="K21" s="114" t="n">
        <v>-0.19</v>
      </c>
      <c r="L21" s="114" t="n">
        <v>0.4285714285714285</v>
      </c>
      <c r="M21" s="114" t="n">
        <v>-0.3028571428571429</v>
      </c>
    </row>
    <row r="22">
      <c r="A22" s="1" t="n"/>
      <c r="B22" s="1" t="n"/>
      <c r="C22" s="1" t="n"/>
      <c r="D22" s="14" t="inlineStr">
        <is>
          <t>Статистика матча</t>
        </is>
      </c>
      <c r="E22" s="14" t="n">
        <v>5</v>
      </c>
      <c r="F22" s="14" t="n">
        <v>0</v>
      </c>
      <c r="G22" s="14" t="n">
        <v>2</v>
      </c>
      <c r="H22" s="14" t="n">
        <v>3</v>
      </c>
      <c r="I22" s="113" t="n">
        <v>800</v>
      </c>
      <c r="J22" s="113" t="n">
        <v>-178</v>
      </c>
      <c r="K22" s="114" t="n">
        <v>-0.2225</v>
      </c>
      <c r="L22" s="114" t="n">
        <v>0.4</v>
      </c>
      <c r="M22" s="114" t="n">
        <v>-0.378</v>
      </c>
    </row>
    <row r="23">
      <c r="A23" s="1" t="n"/>
      <c r="B23" s="1" t="n"/>
      <c r="C23" s="1" t="n"/>
      <c r="D23" s="14" t="inlineStr">
        <is>
          <t>Тотал меньше</t>
        </is>
      </c>
      <c r="E23" s="14" t="n">
        <v>4</v>
      </c>
      <c r="F23" s="14" t="n">
        <v>3</v>
      </c>
      <c r="G23" s="14" t="n">
        <v>0</v>
      </c>
      <c r="H23" s="14" t="n">
        <v>3</v>
      </c>
      <c r="I23" s="113" t="n">
        <v>600</v>
      </c>
      <c r="J23" s="113" t="n">
        <v>-400</v>
      </c>
      <c r="K23" s="114" t="n">
        <v>-0.6666666666666666</v>
      </c>
      <c r="L23" s="114" t="n">
        <v>0</v>
      </c>
      <c r="M23" s="114" t="n">
        <v>-0.75</v>
      </c>
    </row>
    <row r="24">
      <c r="A24" s="1" t="n"/>
      <c r="B24" s="1" t="n"/>
      <c r="C24" s="1" t="n"/>
      <c r="D24" s="14" t="inlineStr">
        <is>
          <t>Экспресс</t>
        </is>
      </c>
      <c r="E24" s="14" t="n">
        <v>3</v>
      </c>
      <c r="F24" s="14" t="n">
        <v>1</v>
      </c>
      <c r="G24" s="14" t="n">
        <v>3</v>
      </c>
      <c r="H24" s="14" t="n">
        <v>0</v>
      </c>
      <c r="I24" s="113" t="n">
        <v>500</v>
      </c>
      <c r="J24" s="113" t="n">
        <v>624</v>
      </c>
      <c r="K24" s="114" t="n">
        <v>1.248</v>
      </c>
      <c r="L24" s="114" t="n">
        <v>1</v>
      </c>
      <c r="M24" s="114" t="n">
        <v>1.496666666666667</v>
      </c>
    </row>
    <row r="25">
      <c r="A25" s="1" t="n"/>
      <c r="B25" s="1" t="n"/>
      <c r="C25" s="1" t="n"/>
      <c r="D25" s="14" t="inlineStr">
        <is>
          <t>Обе забьют</t>
        </is>
      </c>
      <c r="E25" s="14" t="n">
        <v>2</v>
      </c>
      <c r="F25" s="14" t="n">
        <v>1</v>
      </c>
      <c r="G25" s="14" t="n">
        <v>0</v>
      </c>
      <c r="H25" s="14" t="n">
        <v>2</v>
      </c>
      <c r="I25" s="113" t="n">
        <v>200</v>
      </c>
      <c r="J25" s="113" t="n">
        <v>-200</v>
      </c>
      <c r="K25" s="114" t="n">
        <v>-1</v>
      </c>
      <c r="L25" s="114" t="n">
        <v>0</v>
      </c>
      <c r="M25" s="114" t="n">
        <v>-1</v>
      </c>
    </row>
    <row r="26">
      <c r="A26" s="1" t="n"/>
      <c r="B26" s="1" t="n"/>
      <c r="C26" s="1" t="n"/>
      <c r="D26" s="14" t="inlineStr">
        <is>
          <t>Следующий гол</t>
        </is>
      </c>
      <c r="E26" s="14" t="n">
        <v>1</v>
      </c>
      <c r="F26" s="14" t="n">
        <v>0</v>
      </c>
      <c r="G26" s="14" t="n">
        <v>1</v>
      </c>
      <c r="H26" s="14" t="n">
        <v>0</v>
      </c>
      <c r="I26" s="113" t="n">
        <v>200</v>
      </c>
      <c r="J26" s="113" t="n">
        <v>158</v>
      </c>
      <c r="K26" s="114" t="n">
        <v>0.79</v>
      </c>
      <c r="L26" s="114" t="n">
        <v>1</v>
      </c>
      <c r="M26" s="114" t="n">
        <v>0.79</v>
      </c>
    </row>
    <row r="27">
      <c r="A27" s="1" t="n"/>
      <c r="B27" s="1" t="n"/>
      <c r="C27" s="1" t="n"/>
      <c r="D27" s="14" t="inlineStr">
        <is>
          <t>Прочее</t>
        </is>
      </c>
      <c r="E27" s="14" t="n">
        <v>0</v>
      </c>
      <c r="F27" s="14" t="n">
        <v>1</v>
      </c>
      <c r="G27" s="14" t="n">
        <v>0</v>
      </c>
      <c r="H27" s="14" t="n">
        <v>0</v>
      </c>
      <c r="I27" s="113" t="n">
        <v>0</v>
      </c>
      <c r="J27" s="113" t="n">
        <v>0</v>
      </c>
      <c r="K27" s="114" t="n"/>
      <c r="L27" s="114" t="n"/>
      <c r="M27" s="114" t="n"/>
    </row>
    <row r="28">
      <c r="A28" s="1" t="n"/>
      <c r="B28" s="1" t="n"/>
      <c r="C28" s="1" t="n"/>
      <c r="D28" s="19" t="inlineStr">
        <is>
          <t>Двойной шанс</t>
        </is>
      </c>
      <c r="E28" s="19" t="n">
        <v>0</v>
      </c>
      <c r="F28" s="19" t="n">
        <v>2</v>
      </c>
      <c r="G28" s="19" t="n">
        <v>0</v>
      </c>
      <c r="H28" s="19" t="n">
        <v>0</v>
      </c>
      <c r="I28" s="118" t="n">
        <v>0</v>
      </c>
      <c r="J28" s="118" t="n">
        <v>0</v>
      </c>
      <c r="K28" s="120" t="n"/>
      <c r="L28" s="120" t="n"/>
      <c r="M28" s="120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>
      <c r="A30" s="1" t="n"/>
      <c r="B30" s="1" t="n"/>
      <c r="C30" s="1" t="n"/>
      <c r="D30" s="73" t="inlineStr">
        <is>
          <t>Диапазон коэффициента</t>
        </is>
      </c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>
      <c r="A31" s="1" t="n"/>
      <c r="B31" s="1" t="n"/>
      <c r="C31" s="1" t="n"/>
      <c r="D31" s="106" t="inlineStr">
        <is>
          <t>Сегмент</t>
        </is>
      </c>
      <c r="E31" s="106" t="inlineStr">
        <is>
          <t>Закрыто</t>
        </is>
      </c>
      <c r="F31" s="106" t="inlineStr">
        <is>
          <t>Открыто</t>
        </is>
      </c>
      <c r="G31" s="106" t="inlineStr">
        <is>
          <t>Выигр.</t>
        </is>
      </c>
      <c r="H31" s="106" t="inlineStr">
        <is>
          <t>Проигр.</t>
        </is>
      </c>
      <c r="I31" s="106" t="inlineStr">
        <is>
          <t>Оборот</t>
        </is>
      </c>
      <c r="J31" s="106" t="inlineStr">
        <is>
          <t>Результат</t>
        </is>
      </c>
      <c r="K31" s="106" t="inlineStr">
        <is>
          <t>ROI</t>
        </is>
      </c>
      <c r="L31" s="106" t="inlineStr">
        <is>
          <t>Проходимость</t>
        </is>
      </c>
      <c r="M31" s="106" t="inlineStr">
        <is>
          <t>ROI при 200</t>
        </is>
      </c>
    </row>
    <row r="32">
      <c r="A32" s="1" t="n"/>
      <c r="B32" s="1" t="n"/>
      <c r="C32" s="1" t="n"/>
      <c r="D32" s="14" t="inlineStr">
        <is>
          <t>1,70-1,99</t>
        </is>
      </c>
      <c r="E32" s="14" t="n">
        <v>30</v>
      </c>
      <c r="F32" s="14" t="n">
        <v>11</v>
      </c>
      <c r="G32" s="14" t="n">
        <v>16</v>
      </c>
      <c r="H32" s="14" t="n">
        <v>11</v>
      </c>
      <c r="I32" s="113" t="n">
        <v>6774</v>
      </c>
      <c r="J32" s="113" t="n">
        <v>335</v>
      </c>
      <c r="K32" s="114" t="n">
        <v>0.04945379391792146</v>
      </c>
      <c r="L32" s="114" t="n">
        <v>0.5925925925925926</v>
      </c>
      <c r="M32" s="114" t="n">
        <v>0.07099648197009674</v>
      </c>
    </row>
    <row r="33">
      <c r="A33" s="1" t="n"/>
      <c r="B33" s="1" t="n"/>
      <c r="C33" s="1" t="n"/>
      <c r="D33" s="14" t="inlineStr">
        <is>
          <t>1,50-1,69</t>
        </is>
      </c>
      <c r="E33" s="14" t="n">
        <v>19</v>
      </c>
      <c r="F33" s="14" t="n">
        <v>13</v>
      </c>
      <c r="G33" s="14" t="n">
        <v>9</v>
      </c>
      <c r="H33" s="14" t="n">
        <v>7</v>
      </c>
      <c r="I33" s="113" t="n">
        <v>2800</v>
      </c>
      <c r="J33" s="113" t="n">
        <v>-342</v>
      </c>
      <c r="K33" s="114" t="n">
        <v>-0.1221428571428571</v>
      </c>
      <c r="L33" s="114" t="n">
        <v>0.5625</v>
      </c>
      <c r="M33" s="114" t="n">
        <v>-0.06631578947368422</v>
      </c>
    </row>
    <row r="34">
      <c r="A34" s="1" t="n"/>
      <c r="B34" s="1" t="n"/>
      <c r="C34" s="1" t="n"/>
      <c r="D34" s="14" t="inlineStr">
        <is>
          <t>2,50+</t>
        </is>
      </c>
      <c r="E34" s="14" t="n">
        <v>8</v>
      </c>
      <c r="F34" s="14" t="n">
        <v>2</v>
      </c>
      <c r="G34" s="14" t="n">
        <v>3</v>
      </c>
      <c r="H34" s="14" t="n">
        <v>5</v>
      </c>
      <c r="I34" s="113" t="n">
        <v>1224</v>
      </c>
      <c r="J34" s="113" t="n">
        <v>7</v>
      </c>
      <c r="K34" s="114" t="n">
        <v>0.005718954248366013</v>
      </c>
      <c r="L34" s="114" t="n">
        <v>0.375</v>
      </c>
      <c r="M34" s="114" t="n">
        <v>0.1187276785714286</v>
      </c>
    </row>
    <row r="35">
      <c r="A35" s="1" t="n"/>
      <c r="B35" s="1" t="n"/>
      <c r="C35" s="1" t="n"/>
      <c r="D35" s="14" t="inlineStr">
        <is>
          <t>2,00-2,49</t>
        </is>
      </c>
      <c r="E35" s="14" t="n">
        <v>8</v>
      </c>
      <c r="F35" s="14" t="n">
        <v>5</v>
      </c>
      <c r="G35" s="14" t="n">
        <v>3</v>
      </c>
      <c r="H35" s="14" t="n">
        <v>4</v>
      </c>
      <c r="I35" s="113" t="n">
        <v>1635</v>
      </c>
      <c r="J35" s="113" t="n">
        <v>1272</v>
      </c>
      <c r="K35" s="114" t="n">
        <v>0.7779816513761468</v>
      </c>
      <c r="L35" s="114" t="n">
        <v>0.4285714285714285</v>
      </c>
      <c r="M35" s="114" t="n">
        <v>-0.0485617103984451</v>
      </c>
    </row>
    <row r="36">
      <c r="A36" s="1" t="n"/>
      <c r="B36" s="1" t="n"/>
      <c r="C36" s="1" t="n"/>
      <c r="D36" s="19" t="inlineStr">
        <is>
          <t>до 1,50</t>
        </is>
      </c>
      <c r="E36" s="19" t="n">
        <v>5</v>
      </c>
      <c r="F36" s="19" t="n">
        <v>2</v>
      </c>
      <c r="G36" s="19" t="n">
        <v>4</v>
      </c>
      <c r="H36" s="19" t="n">
        <v>0</v>
      </c>
      <c r="I36" s="118" t="n">
        <v>700</v>
      </c>
      <c r="J36" s="118" t="n">
        <v>230</v>
      </c>
      <c r="K36" s="120" t="n">
        <v>0.3285714285714286</v>
      </c>
      <c r="L36" s="120" t="n">
        <v>1</v>
      </c>
      <c r="M36" s="120" t="n">
        <v>0.362</v>
      </c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s="1" t="n"/>
      <c r="B38" s="1" t="n"/>
      <c r="C38" s="1" t="n"/>
      <c r="D38" s="73" t="inlineStr">
        <is>
          <t>Диапазон суммы</t>
        </is>
      </c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06" t="inlineStr">
        <is>
          <t>Сегмент</t>
        </is>
      </c>
      <c r="E39" s="106" t="inlineStr">
        <is>
          <t>Закрыто</t>
        </is>
      </c>
      <c r="F39" s="106" t="inlineStr">
        <is>
          <t>Открыто</t>
        </is>
      </c>
      <c r="G39" s="106" t="inlineStr">
        <is>
          <t>Выигр.</t>
        </is>
      </c>
      <c r="H39" s="106" t="inlineStr">
        <is>
          <t>Проигр.</t>
        </is>
      </c>
      <c r="I39" s="106" t="inlineStr">
        <is>
          <t>Оборот</t>
        </is>
      </c>
      <c r="J39" s="106" t="inlineStr">
        <is>
          <t>Результат</t>
        </is>
      </c>
      <c r="K39" s="106" t="inlineStr">
        <is>
          <t>ROI</t>
        </is>
      </c>
      <c r="L39" s="106" t="inlineStr">
        <is>
          <t>Проходимость</t>
        </is>
      </c>
      <c r="M39" s="106" t="inlineStr">
        <is>
          <t>ROI при 200</t>
        </is>
      </c>
    </row>
    <row r="40">
      <c r="A40" s="1" t="n"/>
      <c r="B40" s="1" t="n"/>
      <c r="C40" s="1" t="n"/>
      <c r="D40" s="14" t="inlineStr">
        <is>
          <t>до 100</t>
        </is>
      </c>
      <c r="E40" s="14" t="n">
        <v>34</v>
      </c>
      <c r="F40" s="14" t="n">
        <v>1</v>
      </c>
      <c r="G40" s="14" t="n">
        <v>15</v>
      </c>
      <c r="H40" s="14" t="n">
        <v>16</v>
      </c>
      <c r="I40" s="113" t="n">
        <v>3400</v>
      </c>
      <c r="J40" s="113" t="n">
        <v>-361</v>
      </c>
      <c r="K40" s="114" t="n">
        <v>-0.1061764705882353</v>
      </c>
      <c r="L40" s="114" t="n">
        <v>0.4838709677419355</v>
      </c>
      <c r="M40" s="114" t="n">
        <v>-0.1061764705882353</v>
      </c>
    </row>
    <row r="41">
      <c r="A41" s="1" t="n"/>
      <c r="B41" s="1" t="n"/>
      <c r="C41" s="1" t="n"/>
      <c r="D41" s="14" t="inlineStr">
        <is>
          <t>200</t>
        </is>
      </c>
      <c r="E41" s="14" t="n">
        <v>31</v>
      </c>
      <c r="F41" s="14" t="n">
        <v>32</v>
      </c>
      <c r="G41" s="14" t="n">
        <v>17</v>
      </c>
      <c r="H41" s="14" t="n">
        <v>10</v>
      </c>
      <c r="I41" s="113" t="n">
        <v>6200</v>
      </c>
      <c r="J41" s="113" t="n">
        <v>776</v>
      </c>
      <c r="K41" s="114" t="n">
        <v>0.1251612903225806</v>
      </c>
      <c r="L41" s="114" t="n">
        <v>0.6296296296296297</v>
      </c>
      <c r="M41" s="114" t="n">
        <v>0.1251612903225806</v>
      </c>
    </row>
    <row r="42">
      <c r="A42" s="1" t="n"/>
      <c r="B42" s="1" t="n"/>
      <c r="C42" s="1" t="n"/>
      <c r="D42" s="14" t="inlineStr">
        <is>
          <t>201-499</t>
        </is>
      </c>
      <c r="E42" s="14" t="n">
        <v>2</v>
      </c>
      <c r="F42" s="14" t="n">
        <v>0</v>
      </c>
      <c r="G42" s="14" t="n">
        <v>1</v>
      </c>
      <c r="H42" s="14" t="n">
        <v>1</v>
      </c>
      <c r="I42" s="113" t="n">
        <v>524</v>
      </c>
      <c r="J42" s="113" t="n">
        <v>83</v>
      </c>
      <c r="K42" s="114" t="n">
        <v>0.1583969465648855</v>
      </c>
      <c r="L42" s="114" t="n">
        <v>0.5</v>
      </c>
      <c r="M42" s="114" t="n">
        <v>0.3549107142857142</v>
      </c>
    </row>
    <row r="43">
      <c r="A43" s="1" t="n"/>
      <c r="B43" s="1" t="n"/>
      <c r="C43" s="1" t="n"/>
      <c r="D43" s="14" t="inlineStr">
        <is>
          <t>500+</t>
        </is>
      </c>
      <c r="E43" s="14" t="n">
        <v>2</v>
      </c>
      <c r="F43" s="14" t="n">
        <v>0</v>
      </c>
      <c r="G43" s="14" t="n">
        <v>1</v>
      </c>
      <c r="H43" s="14" t="n">
        <v>0</v>
      </c>
      <c r="I43" s="113" t="n">
        <v>3009</v>
      </c>
      <c r="J43" s="113" t="n">
        <v>314</v>
      </c>
      <c r="K43" s="114" t="n">
        <v>0.1043536058491193</v>
      </c>
      <c r="L43" s="114" t="n">
        <v>1</v>
      </c>
      <c r="M43" s="114" t="n">
        <v>0.4649812431568933</v>
      </c>
    </row>
    <row r="44">
      <c r="A44" s="1" t="n"/>
      <c r="B44" s="1" t="n"/>
      <c r="C44" s="1" t="n"/>
      <c r="D44" s="19" t="inlineStr">
        <is>
          <t>Фрибет</t>
        </is>
      </c>
      <c r="E44" s="19" t="n">
        <v>1</v>
      </c>
      <c r="F44" s="19" t="n">
        <v>0</v>
      </c>
      <c r="G44" s="19" t="n">
        <v>1</v>
      </c>
      <c r="H44" s="19" t="n">
        <v>0</v>
      </c>
      <c r="I44" s="118" t="n">
        <v>0</v>
      </c>
      <c r="J44" s="118" t="n">
        <v>690</v>
      </c>
      <c r="K44" s="120" t="n"/>
      <c r="L44" s="120" t="n">
        <v>1</v>
      </c>
      <c r="M44" s="120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>
      <c r="A46" s="1" t="n"/>
      <c r="B46" s="1" t="n"/>
      <c r="C46" s="1" t="n"/>
      <c r="D46" s="73" t="inlineStr">
        <is>
          <t>Тип купона</t>
        </is>
      </c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>
      <c r="A47" s="1" t="n"/>
      <c r="B47" s="1" t="n"/>
      <c r="C47" s="1" t="n"/>
      <c r="D47" s="106" t="inlineStr">
        <is>
          <t>Сегмент</t>
        </is>
      </c>
      <c r="E47" s="106" t="inlineStr">
        <is>
          <t>Закрыто</t>
        </is>
      </c>
      <c r="F47" s="106" t="inlineStr">
        <is>
          <t>Открыто</t>
        </is>
      </c>
      <c r="G47" s="106" t="inlineStr">
        <is>
          <t>Выигр.</t>
        </is>
      </c>
      <c r="H47" s="106" t="inlineStr">
        <is>
          <t>Проигр.</t>
        </is>
      </c>
      <c r="I47" s="106" t="inlineStr">
        <is>
          <t>Оборот</t>
        </is>
      </c>
      <c r="J47" s="106" t="inlineStr">
        <is>
          <t>Результат</t>
        </is>
      </c>
      <c r="K47" s="106" t="inlineStr">
        <is>
          <t>ROI</t>
        </is>
      </c>
      <c r="L47" s="106" t="inlineStr">
        <is>
          <t>Проходимость</t>
        </is>
      </c>
      <c r="M47" s="106" t="inlineStr">
        <is>
          <t>ROI при 200</t>
        </is>
      </c>
    </row>
    <row r="48">
      <c r="A48" s="1" t="n"/>
      <c r="B48" s="1" t="n"/>
      <c r="C48" s="1" t="n"/>
      <c r="D48" s="14" t="inlineStr">
        <is>
          <t>Ординар</t>
        </is>
      </c>
      <c r="E48" s="14" t="n">
        <v>67</v>
      </c>
      <c r="F48" s="14" t="n">
        <v>32</v>
      </c>
      <c r="G48" s="14" t="n">
        <v>32</v>
      </c>
      <c r="H48" s="14" t="n">
        <v>27</v>
      </c>
      <c r="I48" s="113" t="n">
        <v>12633</v>
      </c>
      <c r="J48" s="113" t="n">
        <v>878</v>
      </c>
      <c r="K48" s="114" t="n">
        <v>0.06950051452544923</v>
      </c>
      <c r="L48" s="114" t="n">
        <v>0.5423728813559322</v>
      </c>
      <c r="M48" s="114" t="n">
        <v>-0.01818509219870893</v>
      </c>
    </row>
    <row r="49">
      <c r="A49" s="1" t="n"/>
      <c r="B49" s="1" t="n"/>
      <c r="C49" s="1" t="n"/>
      <c r="D49" s="19" t="inlineStr">
        <is>
          <t>Экспресс</t>
        </is>
      </c>
      <c r="E49" s="19" t="n">
        <v>3</v>
      </c>
      <c r="F49" s="19" t="n">
        <v>1</v>
      </c>
      <c r="G49" s="19" t="n">
        <v>3</v>
      </c>
      <c r="H49" s="19" t="n">
        <v>0</v>
      </c>
      <c r="I49" s="118" t="n">
        <v>500</v>
      </c>
      <c r="J49" s="118" t="n">
        <v>624</v>
      </c>
      <c r="K49" s="120" t="n">
        <v>1.248</v>
      </c>
      <c r="L49" s="120" t="n">
        <v>1</v>
      </c>
      <c r="M49" s="120" t="n">
        <v>1.496666666666667</v>
      </c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>
      <c r="A51" s="1" t="n"/>
      <c r="B51" s="1" t="n"/>
      <c r="C51" s="1" t="n"/>
      <c r="D51" s="73" t="inlineStr">
        <is>
          <t>Время оформления</t>
        </is>
      </c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>
      <c r="A52" s="1" t="n"/>
      <c r="B52" s="1" t="n"/>
      <c r="C52" s="1" t="n"/>
      <c r="D52" s="106" t="inlineStr">
        <is>
          <t>Сегмент</t>
        </is>
      </c>
      <c r="E52" s="106" t="inlineStr">
        <is>
          <t>Закрыто</t>
        </is>
      </c>
      <c r="F52" s="106" t="inlineStr">
        <is>
          <t>Открыто</t>
        </is>
      </c>
      <c r="G52" s="106" t="inlineStr">
        <is>
          <t>Выигр.</t>
        </is>
      </c>
      <c r="H52" s="106" t="inlineStr">
        <is>
          <t>Проигр.</t>
        </is>
      </c>
      <c r="I52" s="106" t="inlineStr">
        <is>
          <t>Оборот</t>
        </is>
      </c>
      <c r="J52" s="106" t="inlineStr">
        <is>
          <t>Результат</t>
        </is>
      </c>
      <c r="K52" s="106" t="inlineStr">
        <is>
          <t>ROI</t>
        </is>
      </c>
      <c r="L52" s="106" t="inlineStr">
        <is>
          <t>Проходимость</t>
        </is>
      </c>
      <c r="M52" s="106" t="inlineStr">
        <is>
          <t>ROI при 200</t>
        </is>
      </c>
    </row>
    <row r="53">
      <c r="A53" s="1" t="n"/>
      <c r="B53" s="1" t="n"/>
      <c r="C53" s="1" t="n"/>
      <c r="D53" s="14" t="inlineStr">
        <is>
          <t>День 12-17</t>
        </is>
      </c>
      <c r="E53" s="14" t="n">
        <v>26</v>
      </c>
      <c r="F53" s="14" t="n">
        <v>31</v>
      </c>
      <c r="G53" s="14" t="n">
        <v>13</v>
      </c>
      <c r="H53" s="14" t="n">
        <v>10</v>
      </c>
      <c r="I53" s="113" t="n">
        <v>6833</v>
      </c>
      <c r="J53" s="113" t="n">
        <v>505</v>
      </c>
      <c r="K53" s="114" t="n">
        <v>0.07390604419727792</v>
      </c>
      <c r="L53" s="114" t="n">
        <v>0.5652173913043478</v>
      </c>
      <c r="M53" s="114" t="n">
        <v>0.07076091980327734</v>
      </c>
    </row>
    <row r="54">
      <c r="A54" s="1" t="n"/>
      <c r="B54" s="1" t="n"/>
      <c r="C54" s="1" t="n"/>
      <c r="D54" s="14" t="inlineStr">
        <is>
          <t>Утро 00-11</t>
        </is>
      </c>
      <c r="E54" s="14" t="n">
        <v>24</v>
      </c>
      <c r="F54" s="14" t="n">
        <v>0</v>
      </c>
      <c r="G54" s="14" t="n">
        <v>13</v>
      </c>
      <c r="H54" s="14" t="n">
        <v>8</v>
      </c>
      <c r="I54" s="113" t="n">
        <v>2600</v>
      </c>
      <c r="J54" s="113" t="n">
        <v>1043</v>
      </c>
      <c r="K54" s="114" t="n">
        <v>0.4011538461538461</v>
      </c>
      <c r="L54" s="114" t="n">
        <v>0.6190476190476191</v>
      </c>
      <c r="M54" s="114" t="n">
        <v>0.1382608695652174</v>
      </c>
    </row>
    <row r="55">
      <c r="A55" s="1" t="n"/>
      <c r="B55" s="1" t="n"/>
      <c r="C55" s="1" t="n"/>
      <c r="D55" s="19" t="inlineStr">
        <is>
          <t>Вечер 18-23</t>
        </is>
      </c>
      <c r="E55" s="19" t="n">
        <v>20</v>
      </c>
      <c r="F55" s="19" t="n">
        <v>2</v>
      </c>
      <c r="G55" s="19" t="n">
        <v>9</v>
      </c>
      <c r="H55" s="19" t="n">
        <v>9</v>
      </c>
      <c r="I55" s="118" t="n">
        <v>3700</v>
      </c>
      <c r="J55" s="118" t="n">
        <v>-46</v>
      </c>
      <c r="K55" s="120" t="n">
        <v>-0.01243243243243243</v>
      </c>
      <c r="L55" s="120" t="n">
        <v>0.5</v>
      </c>
      <c r="M55" s="120" t="n">
        <v>-0.08649999999999999</v>
      </c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73" t="inlineStr">
        <is>
          <t>Период исхода</t>
        </is>
      </c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06" t="inlineStr">
        <is>
          <t>Сегмент</t>
        </is>
      </c>
      <c r="E58" s="106" t="inlineStr">
        <is>
          <t>Закрыто</t>
        </is>
      </c>
      <c r="F58" s="106" t="inlineStr">
        <is>
          <t>Открыто</t>
        </is>
      </c>
      <c r="G58" s="106" t="inlineStr">
        <is>
          <t>Выигр.</t>
        </is>
      </c>
      <c r="H58" s="106" t="inlineStr">
        <is>
          <t>Проигр.</t>
        </is>
      </c>
      <c r="I58" s="106" t="inlineStr">
        <is>
          <t>Оборот</t>
        </is>
      </c>
      <c r="J58" s="106" t="inlineStr">
        <is>
          <t>Результат</t>
        </is>
      </c>
      <c r="K58" s="106" t="inlineStr">
        <is>
          <t>ROI</t>
        </is>
      </c>
      <c r="L58" s="106" t="inlineStr">
        <is>
          <t>Проходимость</t>
        </is>
      </c>
      <c r="M58" s="106" t="inlineStr">
        <is>
          <t>ROI при 200</t>
        </is>
      </c>
    </row>
    <row r="59">
      <c r="A59" s="1" t="n"/>
      <c r="B59" s="1" t="n"/>
      <c r="C59" s="1" t="n"/>
      <c r="D59" s="14" t="inlineStr">
        <is>
          <t>Матч целиком</t>
        </is>
      </c>
      <c r="E59" s="14" t="n">
        <v>55</v>
      </c>
      <c r="F59" s="14" t="n">
        <v>32</v>
      </c>
      <c r="G59" s="14" t="n">
        <v>26</v>
      </c>
      <c r="H59" s="14" t="n">
        <v>22</v>
      </c>
      <c r="I59" s="113" t="n">
        <v>10809</v>
      </c>
      <c r="J59" s="113" t="n">
        <v>-141</v>
      </c>
      <c r="K59" s="114" t="n">
        <v>-0.01304468498473494</v>
      </c>
      <c r="L59" s="114" t="n">
        <v>0.5416666666666666</v>
      </c>
      <c r="M59" s="114" t="n">
        <v>-0.05200068206702202</v>
      </c>
    </row>
    <row r="60">
      <c r="A60" s="1" t="n"/>
      <c r="B60" s="1" t="n"/>
      <c r="C60" s="1" t="n"/>
      <c r="D60" s="14" t="inlineStr">
        <is>
          <t>1-й тайм</t>
        </is>
      </c>
      <c r="E60" s="14" t="n">
        <v>9</v>
      </c>
      <c r="F60" s="14" t="n">
        <v>0</v>
      </c>
      <c r="G60" s="14" t="n">
        <v>4</v>
      </c>
      <c r="H60" s="14" t="n">
        <v>5</v>
      </c>
      <c r="I60" s="113" t="n">
        <v>1324</v>
      </c>
      <c r="J60" s="113" t="n">
        <v>787</v>
      </c>
      <c r="K60" s="114" t="n">
        <v>0.5944108761329305</v>
      </c>
      <c r="L60" s="114" t="n">
        <v>0.4444444444444444</v>
      </c>
      <c r="M60" s="114" t="n">
        <v>0.01997767857142861</v>
      </c>
    </row>
    <row r="61">
      <c r="A61" s="1" t="n"/>
      <c r="B61" s="1" t="n"/>
      <c r="C61" s="1" t="n"/>
      <c r="D61" s="14" t="inlineStr">
        <is>
          <t>Экспресс / смешанный</t>
        </is>
      </c>
      <c r="E61" s="14" t="n">
        <v>3</v>
      </c>
      <c r="F61" s="14" t="n">
        <v>1</v>
      </c>
      <c r="G61" s="14" t="n">
        <v>3</v>
      </c>
      <c r="H61" s="14" t="n">
        <v>0</v>
      </c>
      <c r="I61" s="113" t="n">
        <v>500</v>
      </c>
      <c r="J61" s="113" t="n">
        <v>624</v>
      </c>
      <c r="K61" s="114" t="n">
        <v>1.248</v>
      </c>
      <c r="L61" s="114" t="n">
        <v>1</v>
      </c>
      <c r="M61" s="114" t="n">
        <v>1.496666666666667</v>
      </c>
    </row>
    <row r="62">
      <c r="A62" s="1" t="n"/>
      <c r="B62" s="1" t="n"/>
      <c r="C62" s="1" t="n"/>
      <c r="D62" s="14" t="inlineStr">
        <is>
          <t>1-й сет</t>
        </is>
      </c>
      <c r="E62" s="14" t="n">
        <v>1</v>
      </c>
      <c r="F62" s="14" t="n">
        <v>0</v>
      </c>
      <c r="G62" s="14" t="n">
        <v>1</v>
      </c>
      <c r="H62" s="14" t="n">
        <v>0</v>
      </c>
      <c r="I62" s="113" t="n">
        <v>100</v>
      </c>
      <c r="J62" s="113" t="n">
        <v>68</v>
      </c>
      <c r="K62" s="114" t="n">
        <v>0.68</v>
      </c>
      <c r="L62" s="114" t="n">
        <v>1</v>
      </c>
      <c r="M62" s="114" t="n">
        <v>0.68</v>
      </c>
    </row>
    <row r="63">
      <c r="A63" s="1" t="n"/>
      <c r="B63" s="1" t="n"/>
      <c r="C63" s="1" t="n"/>
      <c r="D63" s="14" t="inlineStr">
        <is>
          <t>2-й тайм</t>
        </is>
      </c>
      <c r="E63" s="14" t="n">
        <v>1</v>
      </c>
      <c r="F63" s="14" t="n">
        <v>0</v>
      </c>
      <c r="G63" s="14" t="n">
        <v>0</v>
      </c>
      <c r="H63" s="14" t="n">
        <v>0</v>
      </c>
      <c r="I63" s="113" t="n">
        <v>200</v>
      </c>
      <c r="J63" s="113" t="n">
        <v>0</v>
      </c>
      <c r="K63" s="114" t="n">
        <v>0</v>
      </c>
      <c r="L63" s="114" t="n"/>
      <c r="M63" s="114" t="n">
        <v>0</v>
      </c>
    </row>
    <row r="64">
      <c r="A64" s="1" t="n"/>
      <c r="B64" s="1" t="n"/>
      <c r="C64" s="1" t="n"/>
      <c r="D64" s="19" t="inlineStr">
        <is>
          <t>2-й период</t>
        </is>
      </c>
      <c r="E64" s="19" t="n">
        <v>1</v>
      </c>
      <c r="F64" s="19" t="n">
        <v>0</v>
      </c>
      <c r="G64" s="19" t="n">
        <v>1</v>
      </c>
      <c r="H64" s="19" t="n">
        <v>0</v>
      </c>
      <c r="I64" s="118" t="n">
        <v>200</v>
      </c>
      <c r="J64" s="118" t="n">
        <v>164</v>
      </c>
      <c r="K64" s="120" t="n">
        <v>0.82</v>
      </c>
      <c r="L64" s="120" t="n">
        <v>1</v>
      </c>
      <c r="M64" s="120" t="n">
        <v>0.82</v>
      </c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>
      <c r="A66" s="1" t="n"/>
      <c r="B66" s="1" t="n"/>
      <c r="C66" s="1" t="n"/>
      <c r="D66" s="73" t="inlineStr">
        <is>
          <t>Турниры с 2+ купонами</t>
        </is>
      </c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>
      <c r="A67" s="1" t="n"/>
      <c r="B67" s="1" t="n"/>
      <c r="C67" s="1" t="n"/>
      <c r="D67" s="106" t="inlineStr">
        <is>
          <t>Сегмент</t>
        </is>
      </c>
      <c r="E67" s="106" t="inlineStr">
        <is>
          <t>Закрыто</t>
        </is>
      </c>
      <c r="F67" s="106" t="inlineStr">
        <is>
          <t>Открыто</t>
        </is>
      </c>
      <c r="G67" s="106" t="inlineStr">
        <is>
          <t>Выигр.</t>
        </is>
      </c>
      <c r="H67" s="106" t="inlineStr">
        <is>
          <t>Проигр.</t>
        </is>
      </c>
      <c r="I67" s="106" t="inlineStr">
        <is>
          <t>Оборот</t>
        </is>
      </c>
      <c r="J67" s="106" t="inlineStr">
        <is>
          <t>Результат</t>
        </is>
      </c>
      <c r="K67" s="106" t="inlineStr">
        <is>
          <t>ROI</t>
        </is>
      </c>
      <c r="L67" s="106" t="inlineStr">
        <is>
          <t>Проходимость</t>
        </is>
      </c>
      <c r="M67" s="106" t="inlineStr">
        <is>
          <t>ROI при 200</t>
        </is>
      </c>
    </row>
    <row r="68">
      <c r="A68" s="1" t="n"/>
      <c r="B68" s="1" t="n"/>
      <c r="C68" s="1" t="n"/>
      <c r="D68" s="14" t="inlineStr">
        <is>
          <t>Англия. Премьер-лига</t>
        </is>
      </c>
      <c r="E68" s="14" t="n">
        <v>6</v>
      </c>
      <c r="F68" s="14" t="n">
        <v>2</v>
      </c>
      <c r="G68" s="14" t="n">
        <v>4</v>
      </c>
      <c r="H68" s="14" t="n">
        <v>2</v>
      </c>
      <c r="I68" s="113" t="n">
        <v>1659</v>
      </c>
      <c r="J68" s="113" t="n">
        <v>1036</v>
      </c>
      <c r="K68" s="114" t="n">
        <v>0.6244725738396625</v>
      </c>
      <c r="L68" s="114" t="n">
        <v>0.6666666666666666</v>
      </c>
      <c r="M68" s="114" t="n">
        <v>0.3649815759637189</v>
      </c>
    </row>
    <row r="69">
      <c r="A69" s="1" t="n"/>
      <c r="B69" s="1" t="n"/>
      <c r="C69" s="1" t="n"/>
      <c r="D69" s="14" t="inlineStr">
        <is>
          <t>Беларусь. Высшая лига</t>
        </is>
      </c>
      <c r="E69" s="14" t="n">
        <v>5</v>
      </c>
      <c r="F69" s="14" t="n">
        <v>0</v>
      </c>
      <c r="G69" s="14" t="n">
        <v>1</v>
      </c>
      <c r="H69" s="14" t="n">
        <v>3</v>
      </c>
      <c r="I69" s="113" t="n">
        <v>500</v>
      </c>
      <c r="J69" s="113" t="n">
        <v>-258</v>
      </c>
      <c r="K69" s="114" t="n">
        <v>-0.516</v>
      </c>
      <c r="L69" s="114" t="n">
        <v>0.25</v>
      </c>
      <c r="M69" s="114" t="n">
        <v>-0.516</v>
      </c>
    </row>
    <row r="70">
      <c r="A70" s="1" t="n"/>
      <c r="B70" s="1" t="n"/>
      <c r="C70" s="1" t="n"/>
      <c r="D70" s="14" t="inlineStr">
        <is>
          <t>ATP 1000. Шанхай. Хард</t>
        </is>
      </c>
      <c r="E70" s="14" t="n">
        <v>4</v>
      </c>
      <c r="F70" s="14" t="n">
        <v>0</v>
      </c>
      <c r="G70" s="14" t="n">
        <v>3</v>
      </c>
      <c r="H70" s="14" t="n">
        <v>1</v>
      </c>
      <c r="I70" s="113" t="n">
        <v>600</v>
      </c>
      <c r="J70" s="113" t="n">
        <v>330</v>
      </c>
      <c r="K70" s="114" t="n">
        <v>0.55</v>
      </c>
      <c r="L70" s="114" t="n">
        <v>0.75</v>
      </c>
      <c r="M70" s="114" t="n">
        <v>0.3725</v>
      </c>
    </row>
    <row r="71">
      <c r="A71" s="1" t="n"/>
      <c r="B71" s="1" t="n"/>
      <c r="C71" s="1" t="n"/>
      <c r="D71" s="14" t="inlineStr">
        <is>
          <t>Испания. Ла Лига</t>
        </is>
      </c>
      <c r="E71" s="14" t="n">
        <v>4</v>
      </c>
      <c r="F71" s="14" t="n">
        <v>2</v>
      </c>
      <c r="G71" s="14" t="n">
        <v>2</v>
      </c>
      <c r="H71" s="14" t="n">
        <v>1</v>
      </c>
      <c r="I71" s="113" t="n">
        <v>500</v>
      </c>
      <c r="J71" s="113" t="n">
        <v>138</v>
      </c>
      <c r="K71" s="114" t="n">
        <v>0.276</v>
      </c>
      <c r="L71" s="114" t="n">
        <v>0.6666666666666666</v>
      </c>
      <c r="M71" s="114" t="n">
        <v>0.105</v>
      </c>
    </row>
    <row r="72">
      <c r="A72" s="1" t="n"/>
      <c r="B72" s="1" t="n"/>
      <c r="C72" s="1" t="n"/>
      <c r="D72" s="14" t="inlineStr">
        <is>
          <t>КХЛ. Регулярный чемпионат</t>
        </is>
      </c>
      <c r="E72" s="14" t="n">
        <v>4</v>
      </c>
      <c r="F72" s="14" t="n">
        <v>8</v>
      </c>
      <c r="G72" s="14" t="n">
        <v>2</v>
      </c>
      <c r="H72" s="14" t="n">
        <v>1</v>
      </c>
      <c r="I72" s="113" t="n">
        <v>500</v>
      </c>
      <c r="J72" s="113" t="n">
        <v>61</v>
      </c>
      <c r="K72" s="114" t="n">
        <v>0.122</v>
      </c>
      <c r="L72" s="114" t="n">
        <v>0.6666666666666666</v>
      </c>
      <c r="M72" s="114" t="n">
        <v>0.1525</v>
      </c>
    </row>
    <row r="73">
      <c r="A73" s="1" t="n"/>
      <c r="B73" s="1" t="n"/>
      <c r="C73" s="1" t="n"/>
      <c r="D73" s="14" t="inlineStr">
        <is>
          <t>Несколько турниров</t>
        </is>
      </c>
      <c r="E73" s="14" t="n">
        <v>3</v>
      </c>
      <c r="F73" s="14" t="n">
        <v>1</v>
      </c>
      <c r="G73" s="14" t="n">
        <v>3</v>
      </c>
      <c r="H73" s="14" t="n">
        <v>0</v>
      </c>
      <c r="I73" s="113" t="n">
        <v>500</v>
      </c>
      <c r="J73" s="113" t="n">
        <v>624</v>
      </c>
      <c r="K73" s="114" t="n">
        <v>1.248</v>
      </c>
      <c r="L73" s="114" t="n">
        <v>1</v>
      </c>
      <c r="M73" s="114" t="n">
        <v>1.496666666666667</v>
      </c>
    </row>
    <row r="74">
      <c r="A74" s="1" t="n"/>
      <c r="B74" s="1" t="n"/>
      <c r="C74" s="1" t="n"/>
      <c r="D74" s="14" t="inlineStr">
        <is>
          <t>Италия. Серия A</t>
        </is>
      </c>
      <c r="E74" s="14" t="n">
        <v>3</v>
      </c>
      <c r="F74" s="14" t="n">
        <v>1</v>
      </c>
      <c r="G74" s="14" t="n">
        <v>2</v>
      </c>
      <c r="H74" s="14" t="n">
        <v>1</v>
      </c>
      <c r="I74" s="113" t="n">
        <v>400</v>
      </c>
      <c r="J74" s="113" t="n">
        <v>164</v>
      </c>
      <c r="K74" s="114" t="n">
        <v>0.41</v>
      </c>
      <c r="L74" s="114" t="n">
        <v>0.6666666666666666</v>
      </c>
      <c r="M74" s="114" t="n">
        <v>0.2266666666666667</v>
      </c>
    </row>
    <row r="75">
      <c r="A75" s="1" t="n"/>
      <c r="B75" s="1" t="n"/>
      <c r="C75" s="1" t="n"/>
      <c r="D75" s="14" t="inlineStr">
        <is>
          <t>Испания. Ла Лига. Статистика</t>
        </is>
      </c>
      <c r="E75" s="14" t="n">
        <v>3</v>
      </c>
      <c r="F75" s="14" t="n">
        <v>0</v>
      </c>
      <c r="G75" s="14" t="n">
        <v>1</v>
      </c>
      <c r="H75" s="14" t="n">
        <v>2</v>
      </c>
      <c r="I75" s="113" t="n">
        <v>400</v>
      </c>
      <c r="J75" s="113" t="n">
        <v>-102</v>
      </c>
      <c r="K75" s="114" t="n">
        <v>-0.255</v>
      </c>
      <c r="L75" s="114" t="n">
        <v>0.3333333333333333</v>
      </c>
      <c r="M75" s="114" t="n">
        <v>-0.5033333333333333</v>
      </c>
    </row>
    <row r="76">
      <c r="A76" s="1" t="n"/>
      <c r="B76" s="1" t="n"/>
      <c r="C76" s="1" t="n"/>
      <c r="D76" s="14" t="inlineStr">
        <is>
          <t>Россия. Премьер-лига</t>
        </is>
      </c>
      <c r="E76" s="14" t="n">
        <v>3</v>
      </c>
      <c r="F76" s="14" t="n">
        <v>0</v>
      </c>
      <c r="G76" s="14" t="n">
        <v>1</v>
      </c>
      <c r="H76" s="14" t="n">
        <v>2</v>
      </c>
      <c r="I76" s="113" t="n">
        <v>500</v>
      </c>
      <c r="J76" s="113" t="n">
        <v>-356</v>
      </c>
      <c r="K76" s="114" t="n">
        <v>-0.712</v>
      </c>
      <c r="L76" s="114" t="n">
        <v>0.3333333333333333</v>
      </c>
      <c r="M76" s="114" t="n">
        <v>-0.52</v>
      </c>
    </row>
    <row r="77">
      <c r="A77" s="1" t="n"/>
      <c r="B77" s="1" t="n"/>
      <c r="C77" s="1" t="n"/>
      <c r="D77" s="14" t="inlineStr">
        <is>
          <t>Китай. 2-я лига</t>
        </is>
      </c>
      <c r="E77" s="14" t="n">
        <v>2</v>
      </c>
      <c r="F77" s="14" t="n">
        <v>0</v>
      </c>
      <c r="G77" s="14" t="n">
        <v>1</v>
      </c>
      <c r="H77" s="14" t="n">
        <v>0</v>
      </c>
      <c r="I77" s="113" t="n">
        <v>200</v>
      </c>
      <c r="J77" s="113" t="n">
        <v>690</v>
      </c>
      <c r="K77" s="114" t="n">
        <v>3.45</v>
      </c>
      <c r="L77" s="114" t="n">
        <v>1</v>
      </c>
      <c r="M77" s="114" t="n">
        <v>1.38</v>
      </c>
    </row>
    <row r="78">
      <c r="A78" s="1" t="n"/>
      <c r="B78" s="1" t="n"/>
      <c r="C78" s="1" t="n"/>
      <c r="D78" s="14" t="inlineStr">
        <is>
          <t>Аргентина. Примера Насьональ</t>
        </is>
      </c>
      <c r="E78" s="14" t="n">
        <v>2</v>
      </c>
      <c r="F78" s="14" t="n">
        <v>0</v>
      </c>
      <c r="G78" s="14" t="n">
        <v>1</v>
      </c>
      <c r="H78" s="14" t="n">
        <v>0</v>
      </c>
      <c r="I78" s="113" t="n">
        <v>400</v>
      </c>
      <c r="J78" s="113" t="n">
        <v>156</v>
      </c>
      <c r="K78" s="114" t="n">
        <v>0.39</v>
      </c>
      <c r="L78" s="114" t="n">
        <v>1</v>
      </c>
      <c r="M78" s="114" t="n">
        <v>0.39</v>
      </c>
    </row>
    <row r="79">
      <c r="A79" s="1" t="n"/>
      <c r="B79" s="1" t="n"/>
      <c r="C79" s="1" t="n"/>
      <c r="D79" s="14" t="inlineStr">
        <is>
          <t>Португалия. Примейра-лига</t>
        </is>
      </c>
      <c r="E79" s="14" t="n">
        <v>2</v>
      </c>
      <c r="F79" s="14" t="n">
        <v>1</v>
      </c>
      <c r="G79" s="14" t="n">
        <v>1</v>
      </c>
      <c r="H79" s="14" t="n">
        <v>1</v>
      </c>
      <c r="I79" s="113" t="n">
        <v>300</v>
      </c>
      <c r="J79" s="113" t="n">
        <v>58</v>
      </c>
      <c r="K79" s="114" t="n">
        <v>0.1933333333333333</v>
      </c>
      <c r="L79" s="114" t="n">
        <v>0.5</v>
      </c>
      <c r="M79" s="114" t="n">
        <v>-0.105</v>
      </c>
    </row>
    <row r="80">
      <c r="A80" s="1" t="n"/>
      <c r="B80" s="1" t="n"/>
      <c r="C80" s="1" t="n"/>
      <c r="D80" s="14" t="inlineStr">
        <is>
          <t>Англия. Чемпионшип</t>
        </is>
      </c>
      <c r="E80" s="14" t="n">
        <v>2</v>
      </c>
      <c r="F80" s="14" t="n">
        <v>0</v>
      </c>
      <c r="G80" s="14" t="n">
        <v>1</v>
      </c>
      <c r="H80" s="14" t="n">
        <v>1</v>
      </c>
      <c r="I80" s="113" t="n">
        <v>200</v>
      </c>
      <c r="J80" s="113" t="n">
        <v>-44</v>
      </c>
      <c r="K80" s="114" t="n">
        <v>-0.22</v>
      </c>
      <c r="L80" s="114" t="n">
        <v>0.5</v>
      </c>
      <c r="M80" s="114" t="n">
        <v>-0.22</v>
      </c>
    </row>
    <row r="81">
      <c r="A81" s="1" t="n"/>
      <c r="B81" s="1" t="n"/>
      <c r="C81" s="1" t="n"/>
      <c r="D81" s="14" t="inlineStr">
        <is>
          <t>Бразилия. Серия A</t>
        </is>
      </c>
      <c r="E81" s="14" t="n">
        <v>2</v>
      </c>
      <c r="F81" s="14" t="n">
        <v>0</v>
      </c>
      <c r="G81" s="14" t="n">
        <v>1</v>
      </c>
      <c r="H81" s="14" t="n">
        <v>1</v>
      </c>
      <c r="I81" s="113" t="n">
        <v>200</v>
      </c>
      <c r="J81" s="113" t="n">
        <v>-63</v>
      </c>
      <c r="K81" s="114" t="n">
        <v>-0.315</v>
      </c>
      <c r="L81" s="114" t="n">
        <v>0.5</v>
      </c>
      <c r="M81" s="114" t="n">
        <v>-0.315</v>
      </c>
    </row>
    <row r="82">
      <c r="A82" s="1" t="n"/>
      <c r="B82" s="1" t="n"/>
      <c r="C82" s="1" t="n"/>
      <c r="D82" s="14" t="inlineStr">
        <is>
          <t>Финляндия. SM-Sarja до 20 лет</t>
        </is>
      </c>
      <c r="E82" s="14" t="n">
        <v>2</v>
      </c>
      <c r="F82" s="14" t="n">
        <v>0</v>
      </c>
      <c r="G82" s="14" t="n">
        <v>1</v>
      </c>
      <c r="H82" s="14" t="n">
        <v>0</v>
      </c>
      <c r="I82" s="113" t="n">
        <v>2474</v>
      </c>
      <c r="J82" s="113" t="n">
        <v>-392</v>
      </c>
      <c r="K82" s="114" t="n">
        <v>-0.158447857720291</v>
      </c>
      <c r="L82" s="114" t="n">
        <v>1</v>
      </c>
      <c r="M82" s="114" t="n">
        <v>0.2649472295514512</v>
      </c>
    </row>
    <row r="83">
      <c r="A83" s="1" t="n"/>
      <c r="B83" s="1" t="n"/>
      <c r="C83" s="1" t="n"/>
      <c r="D83" s="14" t="inlineStr">
        <is>
          <t>OLIMPBET-ВХЛ. Регулярный чемпионат</t>
        </is>
      </c>
      <c r="E83" s="14" t="n">
        <v>1</v>
      </c>
      <c r="F83" s="14" t="n">
        <v>1</v>
      </c>
      <c r="G83" s="14" t="n">
        <v>1</v>
      </c>
      <c r="H83" s="14" t="n">
        <v>0</v>
      </c>
      <c r="I83" s="113" t="n">
        <v>200</v>
      </c>
      <c r="J83" s="113" t="n">
        <v>164</v>
      </c>
      <c r="K83" s="114" t="n">
        <v>0.82</v>
      </c>
      <c r="L83" s="114" t="n">
        <v>1</v>
      </c>
      <c r="M83" s="114" t="n">
        <v>0.82</v>
      </c>
    </row>
    <row r="84">
      <c r="A84" s="1" t="n"/>
      <c r="B84" s="1" t="n"/>
      <c r="C84" s="1" t="n"/>
      <c r="D84" s="14" t="inlineStr">
        <is>
          <t>AHL. Регулярный сезон</t>
        </is>
      </c>
      <c r="E84" s="14" t="n">
        <v>1</v>
      </c>
      <c r="F84" s="14" t="n">
        <v>1</v>
      </c>
      <c r="G84" s="14" t="n">
        <v>0</v>
      </c>
      <c r="H84" s="14" t="n">
        <v>1</v>
      </c>
      <c r="I84" s="113" t="n">
        <v>100</v>
      </c>
      <c r="J84" s="113" t="n">
        <v>-100</v>
      </c>
      <c r="K84" s="114" t="n">
        <v>-1</v>
      </c>
      <c r="L84" s="114" t="n">
        <v>0</v>
      </c>
      <c r="M84" s="114" t="n">
        <v>-1</v>
      </c>
    </row>
    <row r="85">
      <c r="A85" s="1" t="n"/>
      <c r="B85" s="1" t="n"/>
      <c r="C85" s="1" t="n"/>
      <c r="D85" s="14" t="inlineStr">
        <is>
          <t>Казахстан. Про Лига</t>
        </is>
      </c>
      <c r="E85" s="14" t="n">
        <v>0</v>
      </c>
      <c r="F85" s="14" t="n">
        <v>2</v>
      </c>
      <c r="G85" s="14" t="n">
        <v>0</v>
      </c>
      <c r="H85" s="14" t="n">
        <v>0</v>
      </c>
      <c r="I85" s="113" t="n">
        <v>0</v>
      </c>
      <c r="J85" s="113" t="n">
        <v>0</v>
      </c>
      <c r="K85" s="114" t="n"/>
      <c r="L85" s="114" t="n"/>
      <c r="M85" s="114" t="n"/>
    </row>
    <row r="86">
      <c r="A86" s="1" t="n"/>
      <c r="B86" s="1" t="n"/>
      <c r="C86" s="1" t="n"/>
      <c r="D86" s="19" t="inlineStr">
        <is>
          <t>Беларусь. Экстралига</t>
        </is>
      </c>
      <c r="E86" s="19" t="n">
        <v>0</v>
      </c>
      <c r="F86" s="19" t="n">
        <v>2</v>
      </c>
      <c r="G86" s="19" t="n">
        <v>0</v>
      </c>
      <c r="H86" s="19" t="n">
        <v>0</v>
      </c>
      <c r="I86" s="118" t="n">
        <v>0</v>
      </c>
      <c r="J86" s="118" t="n">
        <v>0</v>
      </c>
      <c r="K86" s="120" t="n"/>
      <c r="L86" s="120" t="n"/>
      <c r="M86" s="120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</row>
    <row r="88">
      <c r="A88" s="1" t="n"/>
      <c r="B88" s="1" t="n"/>
      <c r="C88" s="1" t="n"/>
      <c r="D88" s="73" t="inlineStr">
        <is>
          <t>Проверка устойчивости</t>
        </is>
      </c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</row>
    <row r="89">
      <c r="A89" s="1" t="n"/>
      <c r="B89" s="1" t="n"/>
      <c r="C89" s="1" t="n"/>
      <c r="D89" s="112" t="inlineStr">
        <is>
          <t>Сценарий</t>
        </is>
      </c>
      <c r="E89" s="112" t="inlineStr">
        <is>
          <t>Закрыто</t>
        </is>
      </c>
      <c r="F89" s="112" t="inlineStr">
        <is>
          <t>Оборот</t>
        </is>
      </c>
      <c r="G89" s="112" t="inlineStr">
        <is>
          <t>Возврат</t>
        </is>
      </c>
      <c r="H89" s="112" t="inlineStr">
        <is>
          <t>Результат</t>
        </is>
      </c>
      <c r="I89" s="112" t="inlineStr">
        <is>
          <t>ROI</t>
        </is>
      </c>
      <c r="J89" s="1" t="n"/>
      <c r="K89" s="1" t="n"/>
      <c r="L89" s="1" t="n"/>
      <c r="M89" s="1" t="n"/>
    </row>
    <row r="90">
      <c r="A90" s="1" t="n"/>
      <c r="B90" s="1" t="n"/>
      <c r="C90" s="1" t="n"/>
      <c r="D90" s="86" t="inlineStr">
        <is>
          <t>Как записано</t>
        </is>
      </c>
      <c r="E90" s="86" t="n">
        <v>70</v>
      </c>
      <c r="F90" s="132" t="n">
        <v>13133</v>
      </c>
      <c r="G90" s="132" t="n">
        <v>14635</v>
      </c>
      <c r="H90" s="132" t="n">
        <v>1502</v>
      </c>
      <c r="I90" s="133" t="n">
        <v>0.1143683849843905</v>
      </c>
      <c r="J90" s="1" t="n"/>
      <c r="K90" s="1" t="n"/>
      <c r="L90" s="1" t="n"/>
      <c r="M90" s="1" t="n"/>
    </row>
    <row r="91">
      <c r="A91" s="1" t="n"/>
      <c r="B91" s="1" t="n"/>
      <c r="C91" s="1" t="n"/>
      <c r="D91" s="86" t="inlineStr">
        <is>
          <t>Равная сумма 200</t>
        </is>
      </c>
      <c r="E91" s="86" t="n">
        <v>70</v>
      </c>
      <c r="F91" s="132" t="n">
        <v>13800</v>
      </c>
      <c r="G91" s="132" t="n">
        <v>14457.95678297704</v>
      </c>
      <c r="H91" s="132" t="n">
        <v>657.956782977044</v>
      </c>
      <c r="I91" s="133" t="n">
        <v>0.04767802775195971</v>
      </c>
      <c r="J91" s="1" t="n"/>
      <c r="K91" s="1" t="n"/>
      <c r="L91" s="1" t="n"/>
      <c r="M91" s="1" t="n"/>
    </row>
    <row r="92">
      <c r="A92" s="1" t="n"/>
      <c r="B92" s="1" t="n"/>
      <c r="C92" s="1" t="n"/>
      <c r="D92" s="86" t="inlineStr">
        <is>
          <t>Без отмеченных ошибок</t>
        </is>
      </c>
      <c r="E92" s="86" t="n">
        <v>67</v>
      </c>
      <c r="F92" s="132" t="n">
        <v>12733</v>
      </c>
      <c r="G92" s="132" t="n">
        <v>14635</v>
      </c>
      <c r="H92" s="132" t="n">
        <v>1902</v>
      </c>
      <c r="I92" s="133" t="n">
        <v>0.1493756381057096</v>
      </c>
      <c r="J92" s="1" t="n"/>
      <c r="K92" s="1" t="n"/>
      <c r="L92" s="1" t="n"/>
      <c r="M92" s="1" t="n"/>
    </row>
    <row r="93">
      <c r="A93" s="1" t="n"/>
      <c r="B93" s="1" t="n"/>
      <c r="C93" s="1" t="n"/>
      <c r="D93" s="86" t="inlineStr">
        <is>
          <t>Без проданного №414</t>
        </is>
      </c>
      <c r="E93" s="86" t="n">
        <v>69</v>
      </c>
      <c r="F93" s="132" t="n">
        <v>10859</v>
      </c>
      <c r="G93" s="132" t="n">
        <v>12907</v>
      </c>
      <c r="H93" s="132" t="n">
        <v>2048</v>
      </c>
      <c r="I93" s="133" t="n">
        <v>0.1885993185376186</v>
      </c>
      <c r="J93" s="1" t="n"/>
      <c r="K93" s="1" t="n"/>
      <c r="L93" s="1" t="n"/>
      <c r="M93" s="1" t="n"/>
    </row>
    <row r="94">
      <c r="A94" s="1" t="n"/>
      <c r="B94" s="1" t="n"/>
      <c r="C94" s="1" t="n"/>
      <c r="D94" s="86" t="inlineStr">
        <is>
          <t>Без крупнейшего выигрыша №419</t>
        </is>
      </c>
      <c r="E94" s="86" t="n">
        <v>69</v>
      </c>
      <c r="F94" s="132" t="n">
        <v>12398</v>
      </c>
      <c r="G94" s="132" t="n">
        <v>13040</v>
      </c>
      <c r="H94" s="132" t="n">
        <v>642</v>
      </c>
      <c r="I94" s="133" t="n">
        <v>0.05178254557186643</v>
      </c>
      <c r="J94" s="1" t="n"/>
      <c r="K94" s="1" t="n"/>
      <c r="L94" s="1" t="n"/>
      <c r="M94" s="1" t="n"/>
    </row>
    <row r="95">
      <c r="A95" s="1" t="n"/>
      <c r="B95" s="1" t="n"/>
      <c r="C95" s="1" t="n"/>
      <c r="D95" s="89" t="inlineStr">
        <is>
          <t>Без №414 и №419</t>
        </is>
      </c>
      <c r="E95" s="89" t="n">
        <v>68</v>
      </c>
      <c r="F95" s="134" t="n">
        <v>10124</v>
      </c>
      <c r="G95" s="134" t="n">
        <v>11312</v>
      </c>
      <c r="H95" s="134" t="n">
        <v>1188</v>
      </c>
      <c r="I95" s="135" t="n">
        <v>0.1173449229553536</v>
      </c>
      <c r="J95" s="1" t="n"/>
      <c r="K95" s="1" t="n"/>
      <c r="L95" s="1" t="n"/>
      <c r="M95" s="1" t="n"/>
    </row>
  </sheetData>
  <conditionalFormatting sqref="J6:J95">
    <cfRule type="cellIs" priority="1" operator="lessThan" dxfId="4">
      <formula>0</formula>
    </cfRule>
    <cfRule type="cellIs" priority="2" operator="greaterThan" dxfId="5">
      <formula>0</formula>
    </cfRule>
  </conditionalFormatting>
  <conditionalFormatting sqref="K6:K95">
    <cfRule type="cellIs" priority="3" operator="lessThan" dxfId="4">
      <formula>0</formula>
    </cfRule>
    <cfRule type="cellIs" priority="4" operator="greaterThan" dxfId="5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2026-10-12T14:19:50Z</dcterms:created>
  <dcterms:modified xmlns:dcterms="http://purl.org/dc/terms/" xmlns:xsi="http://www.w3.org/2001/XMLSchema-instance" xsi:type="dcterms:W3CDTF">2026-10-12T14:20:01Z</dcterms:modified>
</cp:coreProperties>
</file>